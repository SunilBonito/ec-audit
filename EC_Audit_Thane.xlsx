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44" documentId="11_703F3D52AECE729A0BB474D394E728B5BC60D7EA" xr6:coauthVersionLast="47" xr6:coauthVersionMax="47" xr10:uidLastSave="{D93A118F-EF8A-4707-84E4-10FA6271988F}"/>
  <bookViews>
    <workbookView xWindow="-108" yWindow="-108" windowWidth="23256" windowHeight="12456" tabRatio="840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Legs'!$A$4:$AW$4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Membrane'!$A$4:$AW$4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Q17" i="1" s="1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H17" i="1" s="1"/>
  <c r="M11" i="13"/>
  <c r="AW10" i="13"/>
  <c r="AN10" i="13"/>
  <c r="AE10" i="13"/>
  <c r="V10" i="13"/>
  <c r="M10" i="13"/>
  <c r="AW9" i="13"/>
  <c r="U17" i="1" s="1"/>
  <c r="AN9" i="13"/>
  <c r="AE9" i="13"/>
  <c r="V9" i="13"/>
  <c r="M9" i="13"/>
  <c r="AW8" i="13"/>
  <c r="AN8" i="13"/>
  <c r="AE8" i="13"/>
  <c r="V8" i="13"/>
  <c r="I17" i="1" s="1"/>
  <c r="M8" i="13"/>
  <c r="AW7" i="13"/>
  <c r="AN7" i="13"/>
  <c r="AE7" i="13"/>
  <c r="V7" i="13"/>
  <c r="M7" i="13"/>
  <c r="AW6" i="13"/>
  <c r="AN6" i="13"/>
  <c r="AE6" i="13"/>
  <c r="M17" i="1" s="1"/>
  <c r="V6" i="13"/>
  <c r="M6" i="13"/>
  <c r="AW5" i="13"/>
  <c r="AN5" i="13"/>
  <c r="AE5" i="13"/>
  <c r="V5" i="13"/>
  <c r="M5" i="13"/>
  <c r="D17" i="1" s="1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T16" i="1" s="1"/>
  <c r="AN6" i="12"/>
  <c r="AE6" i="12"/>
  <c r="M16" i="1" s="1"/>
  <c r="V6" i="12"/>
  <c r="M6" i="12"/>
  <c r="AW5" i="12"/>
  <c r="U16" i="1" s="1"/>
  <c r="AN5" i="12"/>
  <c r="AE5" i="12"/>
  <c r="V5" i="12"/>
  <c r="H16" i="1" s="1"/>
  <c r="M5" i="12"/>
  <c r="E16" i="1" s="1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I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E12" i="1"/>
  <c r="D12" i="1"/>
  <c r="V11" i="1"/>
  <c r="U11" i="1"/>
  <c r="T11" i="1"/>
  <c r="R11" i="1"/>
  <c r="Q11" i="1"/>
  <c r="P11" i="1"/>
  <c r="N11" i="1"/>
  <c r="M11" i="1"/>
  <c r="L11" i="1"/>
  <c r="J11" i="1"/>
  <c r="I11" i="1"/>
  <c r="H11" i="1"/>
  <c r="F11" i="1"/>
  <c r="E11" i="1"/>
  <c r="D11" i="1"/>
  <c r="V10" i="1"/>
  <c r="R10" i="1"/>
  <c r="N10" i="1"/>
  <c r="J10" i="1"/>
  <c r="F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R6" i="1"/>
  <c r="N6" i="1"/>
  <c r="J6" i="1"/>
  <c r="F6" i="1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P6" i="1" l="1"/>
  <c r="Q6" i="1"/>
  <c r="I6" i="1"/>
  <c r="D6" i="1"/>
  <c r="M6" i="1"/>
  <c r="E6" i="1"/>
  <c r="T6" i="1"/>
  <c r="U6" i="1"/>
  <c r="L6" i="1"/>
  <c r="H6" i="1"/>
  <c r="L16" i="1"/>
  <c r="Q16" i="1"/>
  <c r="D16" i="1"/>
  <c r="P16" i="1"/>
  <c r="P17" i="1"/>
  <c r="E17" i="1"/>
  <c r="T17" i="1"/>
  <c r="L17" i="1"/>
  <c r="E10" i="1"/>
  <c r="D10" i="1"/>
  <c r="I10" i="1"/>
  <c r="H10" i="1"/>
  <c r="M10" i="1"/>
  <c r="L10" i="1"/>
  <c r="Q10" i="1"/>
  <c r="P10" i="1"/>
  <c r="U10" i="1"/>
  <c r="T10" i="1"/>
</calcChain>
</file>

<file path=xl/sharedStrings.xml><?xml version="1.0" encoding="utf-8"?>
<sst xmlns="http://schemas.openxmlformats.org/spreadsheetml/2006/main" count="86508" uniqueCount="6223">
  <si>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</si>
  <si>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</si>
  <si>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</si>
  <si>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</si>
  <si>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</si>
  <si>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</si>
  <si>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</si>
  <si>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</si>
  <si>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</si>
  <si>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</si>
  <si>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</si>
  <si>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</si>
  <si>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</si>
  <si>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</si>
  <si>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</si>
  <si>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</si>
  <si>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</si>
  <si>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</si>
  <si>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</si>
  <si>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</si>
  <si>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</si>
  <si>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</si>
  <si>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</si>
  <si>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</si>
  <si>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</si>
  <si>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</si>
  <si>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</si>
  <si>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</si>
  <si>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</si>
  <si>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</si>
  <si>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</si>
  <si>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</si>
  <si>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</si>
  <si>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</si>
  <si>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</si>
  <si>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</si>
  <si>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</si>
  <si>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</si>
  <si>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</si>
  <si>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</si>
  <si>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</si>
  <si>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</si>
  <si>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</si>
  <si>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</si>
  <si>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</si>
  <si>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</si>
  <si>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</si>
  <si>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</si>
  <si>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</si>
  <si>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</si>
  <si>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</si>
  <si>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</si>
  <si>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</si>
  <si>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</si>
  <si>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</si>
  <si>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</si>
  <si>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</si>
  <si>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</si>
  <si>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</si>
  <si>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</si>
  <si>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Discontinued</t>
  </si>
  <si>
    <t>18-09-2026</t>
  </si>
  <si>
    <t>Sunil CR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</si>
  <si>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</si>
  <si>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</si>
  <si>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</si>
  <si>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</si>
  <si>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</si>
  <si>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</si>
  <si>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</si>
  <si>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</si>
  <si>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</si>
  <si>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</si>
  <si>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</si>
  <si>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</si>
  <si>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</si>
  <si>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</si>
  <si>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</si>
  <si>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</si>
  <si>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</si>
  <si>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</si>
  <si>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</si>
  <si>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</si>
  <si>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</si>
  <si>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</si>
  <si>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</si>
  <si>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</si>
  <si>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</si>
  <si>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</si>
  <si>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</si>
  <si>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</si>
  <si>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</si>
  <si>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</si>
  <si>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</si>
  <si>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</si>
  <si>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</si>
  <si>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</si>
  <si>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</si>
  <si>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</si>
  <si>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</si>
  <si>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</si>
  <si>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</si>
  <si>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</si>
  <si>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</si>
  <si>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</si>
  <si>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</si>
  <si>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</si>
  <si>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</si>
  <si>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</si>
  <si>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</si>
  <si>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</si>
  <si>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</si>
  <si>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</si>
  <si>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</si>
  <si>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</si>
  <si>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</si>
  <si>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</si>
  <si>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</si>
  <si>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</si>
  <si>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</si>
  <si>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</si>
  <si>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</si>
  <si>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</si>
  <si>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</si>
  <si>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</si>
  <si>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</si>
  <si>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</si>
  <si>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</si>
  <si>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</si>
  <si>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</si>
  <si>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</si>
  <si>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</si>
  <si>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</si>
  <si>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</si>
  <si>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</si>
  <si>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</si>
  <si>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</si>
  <si>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</si>
  <si>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</si>
  <si>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</si>
  <si>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</si>
  <si>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</si>
  <si>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</si>
  <si>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</si>
  <si>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</si>
  <si>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</si>
  <si>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</si>
  <si>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</si>
  <si>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</si>
  <si>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</si>
  <si>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</si>
  <si>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</si>
  <si>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</si>
  <si>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</si>
  <si>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</si>
  <si>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</si>
  <si>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</si>
  <si>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</si>
  <si>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</si>
  <si>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</si>
  <si>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</si>
  <si>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</si>
  <si>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</si>
  <si>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</si>
  <si>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</si>
  <si>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</si>
  <si>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</si>
  <si>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</si>
  <si>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</si>
  <si>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</si>
  <si>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</si>
  <si>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</si>
  <si>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</si>
  <si>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</si>
  <si>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</si>
  <si>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</si>
  <si>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</si>
  <si>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</si>
  <si>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</si>
  <si>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</si>
  <si>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</si>
  <si>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</si>
  <si>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</si>
  <si>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</si>
  <si>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</si>
  <si>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</si>
  <si>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</si>
  <si>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</si>
  <si>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</si>
  <si>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</si>
  <si>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</si>
  <si>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</si>
  <si>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</si>
  <si>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</si>
  <si>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</si>
  <si>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</si>
  <si>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</si>
  <si>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</si>
  <si>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</si>
  <si>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</si>
  <si>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</si>
  <si>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</si>
  <si>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</si>
  <si>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</si>
  <si>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</si>
  <si>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</si>
  <si>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</si>
  <si>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</si>
  <si>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</si>
  <si>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</si>
  <si>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</si>
  <si>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</si>
  <si>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</si>
  <si>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</si>
  <si>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</si>
  <si>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</si>
  <si>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</si>
  <si>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</si>
  <si>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</si>
  <si>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</si>
  <si>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</si>
  <si>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</si>
  <si>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</si>
  <si>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</si>
  <si>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</si>
  <si>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</si>
  <si>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</si>
  <si>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</si>
  <si>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</si>
  <si>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</si>
  <si>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</si>
  <si>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</si>
  <si>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</si>
  <si>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</si>
  <si>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</si>
  <si>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</si>
  <si>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</si>
  <si>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</si>
  <si>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</si>
  <si>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</si>
  <si>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</si>
  <si>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</si>
  <si>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</si>
  <si>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</si>
  <si>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</si>
  <si>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</si>
  <si>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</si>
  <si>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</si>
  <si>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</si>
  <si>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</si>
  <si>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</si>
  <si>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</si>
  <si>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</si>
  <si>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</si>
  <si>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</si>
  <si>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</si>
  <si>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</si>
  <si>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</si>
  <si>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</si>
  <si>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</si>
  <si>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</si>
  <si>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</si>
  <si>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</si>
  <si>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</si>
  <si>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</si>
  <si>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</si>
  <si>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</si>
  <si>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</si>
  <si>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</si>
  <si>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</si>
  <si>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</si>
  <si>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</si>
  <si>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</si>
  <si>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</si>
  <si>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</si>
  <si>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</si>
  <si>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</si>
  <si>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</si>
  <si>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</si>
  <si>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</si>
  <si>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</si>
  <si>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</si>
  <si>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</si>
  <si>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</si>
  <si>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</si>
  <si>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</si>
  <si>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</si>
  <si>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</si>
  <si>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</si>
  <si>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</si>
  <si>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</si>
  <si>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</si>
  <si>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</si>
  <si>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</si>
  <si>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</si>
  <si>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</si>
  <si>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</si>
  <si>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</si>
  <si>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</si>
  <si>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</si>
  <si>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</si>
  <si>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</si>
  <si>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</si>
  <si>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</si>
  <si>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</si>
  <si>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</si>
  <si>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</si>
  <si>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</si>
  <si>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</si>
  <si>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</si>
  <si>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</si>
  <si>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</si>
  <si>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</si>
  <si>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</si>
  <si>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</si>
  <si>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</si>
  <si>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</si>
  <si>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</si>
  <si>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</si>
  <si>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</si>
  <si>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</si>
  <si>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</si>
  <si>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</si>
  <si>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</si>
  <si>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</si>
  <si>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</si>
  <si>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</si>
  <si>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</si>
  <si>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</si>
  <si>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</si>
  <si>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</si>
  <si>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</si>
  <si>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</si>
  <si>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</si>
  <si>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</si>
  <si>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</si>
  <si>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</si>
  <si>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</si>
  <si>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</si>
  <si>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</si>
  <si>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</si>
  <si>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</si>
  <si>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</si>
  <si>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</si>
  <si>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</si>
  <si>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</si>
  <si>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</si>
  <si>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</si>
  <si>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</si>
  <si>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</si>
  <si>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</si>
  <si>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</si>
  <si>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</si>
  <si>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</si>
  <si>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</si>
  <si>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</si>
  <si>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</si>
  <si>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</si>
  <si>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</si>
  <si>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</si>
  <si>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</si>
  <si>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</si>
  <si>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</si>
  <si>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</si>
  <si>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Borken in corner (Book 5 and 12)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</si>
  <si>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</si>
  <si>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</si>
  <si>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</si>
  <si>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</si>
  <si>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</si>
  <si>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</si>
  <si>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</si>
  <si>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</si>
  <si>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</si>
  <si>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</si>
  <si>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</si>
  <si>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</si>
  <si>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</si>
  <si>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</si>
  <si>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</si>
  <si>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</si>
  <si>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</si>
  <si>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</si>
  <si>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</si>
  <si>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</si>
  <si>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</si>
  <si>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</si>
  <si>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</si>
  <si>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</si>
  <si>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</si>
  <si>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</si>
  <si>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</si>
  <si>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</si>
  <si>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</si>
  <si>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</si>
  <si>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</si>
  <si>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</si>
  <si>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</si>
  <si>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</si>
  <si>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</si>
  <si>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</si>
  <si>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</si>
  <si>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</si>
  <si>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</si>
  <si>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</si>
  <si>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</si>
  <si>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</si>
  <si>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</si>
  <si>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</si>
  <si>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</si>
  <si>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</si>
  <si>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</si>
  <si>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</si>
  <si>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</si>
  <si>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</si>
  <si>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</si>
  <si>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</si>
  <si>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</si>
  <si>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</si>
  <si>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</si>
  <si>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</si>
  <si>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</si>
  <si>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</si>
  <si>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</si>
  <si>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</si>
  <si>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</si>
  <si>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</si>
  <si>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</si>
  <si>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</si>
  <si>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</si>
  <si>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</si>
  <si>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</si>
  <si>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</si>
  <si>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</si>
  <si>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</si>
  <si>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</si>
  <si>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</si>
  <si>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</si>
  <si>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</si>
  <si>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</si>
  <si>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</si>
  <si>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</si>
  <si>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</si>
  <si>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</si>
  <si>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</si>
  <si>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</si>
  <si>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</si>
  <si>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</si>
  <si>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</si>
  <si>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</si>
  <si>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</si>
  <si>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</si>
  <si>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</si>
  <si>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</si>
  <si>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</si>
  <si>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</si>
  <si>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</si>
  <si>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</si>
  <si>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</si>
  <si>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</si>
  <si>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</si>
  <si>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</si>
  <si>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</si>
  <si>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</si>
  <si>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</si>
  <si>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</si>
  <si>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</si>
  <si>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</si>
  <si>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</si>
  <si>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</si>
  <si>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</si>
  <si>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</si>
  <si>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</si>
  <si>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</si>
  <si>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</si>
  <si>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</si>
  <si>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</si>
  <si>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</si>
  <si>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</si>
  <si>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</si>
  <si>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</si>
  <si>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</si>
  <si>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</si>
  <si>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</si>
  <si>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</si>
  <si>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</si>
  <si>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</si>
  <si>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</si>
  <si>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</si>
  <si>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</si>
  <si>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</si>
  <si>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</si>
  <si>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</si>
  <si>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</si>
  <si>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</si>
  <si>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</si>
  <si>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</si>
  <si>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</si>
  <si>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</si>
  <si>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</si>
  <si>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</si>
  <si>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</si>
  <si>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</si>
  <si>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</si>
  <si>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</si>
  <si>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</si>
  <si>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</si>
  <si>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</si>
  <si>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</si>
  <si>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</si>
  <si>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</si>
  <si>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</si>
  <si>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</si>
  <si>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</si>
  <si>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</si>
  <si>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</si>
  <si>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</si>
  <si>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</si>
  <si>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</si>
  <si>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</si>
  <si>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</si>
  <si>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</si>
  <si>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</si>
  <si>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</si>
  <si>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</si>
  <si>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</si>
  <si>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</si>
  <si>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</si>
  <si>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</si>
  <si>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</si>
  <si>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</si>
  <si>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</si>
  <si>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</si>
  <si>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</si>
  <si>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</si>
  <si>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</si>
  <si>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</si>
  <si>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</si>
  <si>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</si>
  <si>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</si>
  <si>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</si>
  <si>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</si>
  <si>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</si>
  <si>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</si>
  <si>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</si>
  <si>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</si>
  <si>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</si>
  <si>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</si>
  <si>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</si>
  <si>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</si>
  <si>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</si>
  <si>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</si>
  <si>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</si>
  <si>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</si>
  <si>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</si>
  <si>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</si>
  <si>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</si>
  <si>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</si>
  <si>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</si>
  <si>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</si>
  <si>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</si>
  <si>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</si>
  <si>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</si>
  <si>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</si>
  <si>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</si>
  <si>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</si>
  <si>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</si>
  <si>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</si>
  <si>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</si>
  <si>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</si>
  <si>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</si>
  <si>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</si>
  <si>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</si>
  <si>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</si>
  <si>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</si>
  <si>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</si>
  <si>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</si>
  <si>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</si>
  <si>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</si>
  <si>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</si>
  <si>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</si>
  <si>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</si>
  <si>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</si>
  <si>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</si>
  <si>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</si>
  <si>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</si>
  <si>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</si>
  <si>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</si>
  <si>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</si>
  <si>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</si>
  <si>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</si>
  <si>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</si>
  <si>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</si>
  <si>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</si>
  <si>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</si>
  <si>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</si>
  <si>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</si>
  <si>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</si>
  <si>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</si>
  <si>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</si>
  <si>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</si>
  <si>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</si>
  <si>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</si>
  <si>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</si>
  <si>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</si>
  <si>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</si>
  <si>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</si>
  <si>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</si>
  <si>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</si>
  <si>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</si>
  <si>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</si>
  <si>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</si>
  <si>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</si>
  <si>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</si>
  <si>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</si>
  <si>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</si>
  <si>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</si>
  <si>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</si>
  <si>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</si>
  <si>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</si>
  <si>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</si>
  <si>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Broken in corner in book 10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</si>
  <si>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</si>
  <si>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</si>
  <si>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</si>
  <si>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</si>
  <si>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</si>
  <si>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</si>
  <si>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</si>
  <si>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</si>
  <si>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</si>
  <si>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</si>
  <si>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</si>
  <si>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</si>
  <si>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</si>
  <si>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</si>
  <si>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</si>
  <si>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</si>
  <si>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</si>
  <si>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</si>
  <si>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</si>
  <si>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</si>
  <si>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</si>
  <si>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</si>
  <si>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</si>
  <si>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</si>
  <si>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</si>
  <si>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</si>
  <si>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</si>
  <si>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</si>
  <si>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</si>
  <si>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</si>
  <si>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</si>
  <si>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</si>
  <si>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</si>
  <si>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</si>
  <si>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</si>
  <si>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</si>
  <si>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</si>
  <si>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</si>
  <si>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</si>
  <si>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</si>
  <si>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</si>
  <si>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</si>
  <si>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</si>
  <si>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</si>
  <si>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</si>
  <si>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</si>
  <si>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</si>
  <si>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</si>
  <si>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</si>
  <si>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</si>
  <si>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</si>
  <si>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</si>
  <si>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</si>
  <si>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</si>
  <si>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</si>
  <si>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</si>
  <si>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</si>
  <si>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</si>
  <si>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</si>
  <si>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</si>
  <si>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</si>
  <si>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</si>
  <si>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</si>
  <si>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</si>
  <si>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</si>
  <si>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</si>
  <si>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</si>
  <si>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</si>
  <si>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</si>
  <si>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</si>
  <si>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</si>
  <si>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</si>
  <si>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</si>
  <si>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</si>
  <si>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</si>
  <si>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</si>
  <si>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</si>
  <si>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</si>
  <si>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</si>
  <si>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</si>
  <si>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</si>
  <si>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</si>
  <si>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</si>
  <si>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</si>
  <si>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</si>
  <si>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</si>
  <si>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</si>
  <si>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</si>
  <si>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</si>
  <si>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</si>
  <si>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</si>
  <si>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</si>
  <si>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</si>
  <si>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</si>
  <si>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</si>
  <si>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</si>
  <si>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</si>
  <si>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</si>
  <si>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</si>
  <si>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</si>
  <si>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</si>
  <si>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</si>
  <si>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</si>
  <si>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</si>
  <si>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</si>
  <si>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</si>
  <si>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</si>
  <si>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</si>
  <si>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</si>
  <si>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</si>
  <si>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</si>
  <si>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</si>
  <si>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</si>
  <si>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</si>
  <si>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</si>
  <si>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</si>
  <si>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</si>
  <si>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</si>
  <si>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</si>
  <si>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</si>
  <si>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</si>
  <si>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</si>
  <si>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</si>
  <si>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</si>
  <si>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</si>
  <si>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</si>
  <si>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</si>
  <si>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</si>
  <si>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</si>
  <si>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</si>
  <si>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</si>
  <si>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</si>
  <si>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</si>
  <si>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</si>
  <si>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</si>
  <si>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</si>
  <si>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</si>
  <si>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</si>
  <si>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</si>
  <si>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</si>
  <si>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</si>
  <si>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</si>
  <si>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</si>
  <si>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</si>
  <si>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</si>
  <si>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</si>
  <si>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</si>
  <si>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</si>
  <si>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</si>
  <si>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</si>
  <si>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</si>
  <si>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</si>
  <si>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</si>
  <si>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</si>
  <si>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</si>
  <si>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</si>
  <si>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</si>
  <si>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</si>
  <si>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</si>
  <si>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</si>
  <si>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</si>
  <si>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</si>
  <si>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</si>
  <si>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</si>
  <si>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</si>
  <si>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</si>
  <si>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</si>
  <si>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</si>
  <si>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</si>
  <si>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</si>
  <si>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</si>
  <si>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</si>
  <si>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</si>
  <si>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</si>
  <si>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</si>
  <si>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</si>
  <si>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</si>
  <si>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</si>
  <si>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</si>
  <si>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</si>
  <si>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</si>
  <si>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</si>
  <si>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</si>
  <si>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</si>
  <si>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</si>
  <si>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</si>
  <si>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</si>
  <si>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</si>
  <si>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</si>
  <si>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</si>
  <si>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</si>
  <si>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</si>
  <si>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</si>
  <si>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</si>
  <si>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</si>
  <si>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</si>
  <si>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</si>
  <si>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</si>
  <si>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</si>
  <si>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</si>
  <si>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</si>
  <si>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</si>
  <si>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</si>
  <si>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</si>
  <si>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</si>
  <si>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</si>
  <si>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</si>
  <si>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</si>
  <si>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</si>
  <si>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</si>
  <si>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</si>
  <si>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</si>
  <si>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</si>
  <si>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</si>
  <si>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</si>
  <si>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</si>
  <si>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</si>
  <si>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</si>
  <si>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</si>
  <si>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</si>
  <si>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</si>
  <si>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</si>
  <si>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</si>
  <si>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</si>
  <si>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</si>
  <si>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</si>
  <si>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</si>
  <si>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</si>
  <si>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</si>
  <si>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</si>
  <si>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</si>
  <si>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</si>
  <si>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</si>
  <si>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</si>
  <si>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</si>
  <si>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</si>
  <si>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</si>
  <si>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</si>
  <si>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</si>
  <si>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</si>
  <si>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</si>
  <si>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</si>
  <si>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</si>
  <si>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</si>
  <si>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</si>
  <si>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</si>
  <si>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</si>
  <si>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</si>
  <si>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</si>
  <si>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</si>
  <si>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</si>
  <si>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</si>
  <si>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</si>
  <si>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</si>
  <si>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</si>
  <si>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</si>
  <si>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</si>
  <si>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</si>
  <si>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</si>
  <si>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</si>
  <si>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</si>
  <si>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</si>
  <si>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</si>
  <si>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</si>
  <si>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</si>
  <si>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</si>
  <si>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</si>
  <si>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</si>
  <si>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</si>
  <si>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</si>
  <si>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</si>
  <si>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</si>
  <si>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</si>
  <si>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</si>
  <si>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</si>
  <si>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</si>
  <si>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</si>
  <si>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</si>
  <si>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</si>
  <si>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</si>
  <si>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</si>
  <si>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</si>
  <si>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</si>
  <si>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</si>
  <si>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</si>
  <si>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</si>
  <si>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</si>
  <si>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</si>
  <si>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</si>
  <si>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</si>
  <si>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</si>
  <si>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</si>
  <si>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</si>
  <si>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</si>
  <si>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</si>
  <si>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</si>
  <si>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</si>
  <si>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</si>
  <si>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</si>
  <si>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</si>
  <si>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</si>
  <si>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</si>
  <si>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</si>
  <si>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</si>
  <si>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</si>
  <si>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</si>
  <si>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</si>
  <si>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</si>
  <si>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</si>
  <si>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</si>
  <si>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</si>
  <si>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</si>
  <si>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</si>
  <si>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</si>
  <si>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</si>
  <si>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</si>
  <si>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</si>
  <si>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</si>
  <si>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</si>
  <si>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</si>
  <si>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</si>
  <si>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</si>
  <si>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</si>
  <si>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</si>
  <si>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</si>
  <si>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</si>
  <si>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</si>
  <si>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</si>
  <si>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</si>
  <si>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</si>
  <si>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</si>
  <si>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</si>
  <si>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</si>
  <si>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</si>
  <si>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</si>
  <si>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</si>
  <si>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</si>
  <si>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</si>
  <si>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</si>
  <si>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</si>
  <si>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</si>
  <si>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</si>
  <si>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</si>
  <si>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</si>
  <si>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</si>
  <si>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</si>
  <si>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</si>
  <si>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</si>
  <si>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</si>
  <si>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</si>
  <si>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</si>
  <si>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</si>
  <si>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</si>
  <si>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</si>
  <si>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</si>
  <si>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</si>
  <si>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</si>
  <si>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</si>
  <si>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</si>
  <si>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</si>
  <si>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</si>
  <si>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</si>
  <si>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</si>
  <si>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</si>
  <si>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</si>
  <si>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</si>
  <si>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</si>
  <si>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</si>
  <si>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</si>
  <si>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</si>
  <si>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</si>
  <si>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</si>
  <si>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</si>
  <si>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</si>
  <si>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</si>
  <si>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</si>
  <si>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</si>
  <si>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</si>
  <si>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</si>
  <si>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</si>
  <si>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</si>
  <si>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</si>
  <si>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</si>
  <si>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</si>
  <si>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</si>
  <si>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</si>
  <si>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</si>
  <si>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</si>
  <si>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</si>
  <si>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</si>
  <si>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</si>
  <si>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</si>
  <si>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</si>
  <si>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</si>
  <si>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</si>
  <si>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Brokwn (RB1)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</si>
  <si>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</si>
  <si>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</si>
  <si>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</si>
  <si>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</si>
  <si>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</si>
  <si>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</si>
  <si>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</si>
  <si>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</si>
  <si>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</si>
  <si>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</si>
  <si>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</si>
  <si>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</si>
  <si>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</si>
  <si>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</si>
  <si>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</si>
  <si>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</si>
  <si>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</si>
  <si>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</si>
  <si>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</si>
  <si>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</si>
  <si>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</si>
  <si>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</si>
  <si>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</si>
  <si>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</si>
  <si>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</si>
  <si>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</si>
  <si>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</si>
  <si>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</si>
  <si>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</si>
  <si>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</si>
  <si>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</si>
  <si>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</si>
  <si>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</si>
  <si>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</si>
  <si>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</si>
  <si>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</si>
  <si>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</si>
  <si>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</si>
  <si>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</si>
  <si>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</si>
  <si>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</si>
  <si>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</si>
  <si>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</si>
  <si>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</si>
  <si>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</si>
  <si>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</si>
  <si>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</si>
  <si>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</si>
  <si>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</si>
  <si>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</si>
  <si>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</si>
  <si>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</si>
  <si>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</si>
  <si>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</si>
  <si>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</si>
  <si>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</si>
  <si>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</si>
  <si>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</si>
  <si>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</si>
  <si>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</si>
  <si>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</si>
  <si>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</si>
  <si>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</si>
  <si>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</si>
  <si>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</si>
  <si>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</si>
  <si>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</si>
  <si>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</si>
  <si>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</si>
  <si>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</si>
  <si>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</si>
  <si>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</si>
  <si>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</si>
  <si>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</si>
  <si>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</si>
  <si>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</si>
  <si>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</si>
  <si>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</si>
  <si>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</si>
  <si>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</si>
  <si>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</si>
  <si>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</si>
  <si>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</si>
  <si>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</si>
  <si>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</si>
  <si>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</si>
  <si>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</si>
  <si>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</si>
  <si>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</si>
  <si>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</si>
  <si>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</si>
  <si>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</si>
  <si>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 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</si>
  <si>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</si>
  <si>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</si>
  <si>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</si>
  <si>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</si>
  <si>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</si>
  <si>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</si>
  <si>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Broken (Tiles)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</si>
  <si>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</si>
  <si>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</si>
  <si>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</si>
  <si>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</si>
  <si>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</si>
  <si>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</si>
  <si>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</si>
  <si>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</si>
  <si>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</si>
  <si>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</si>
  <si>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</si>
  <si>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</si>
  <si>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</si>
  <si>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</si>
  <si>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Major defect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</si>
  <si>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</si>
  <si>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</si>
  <si>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</si>
  <si>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</si>
  <si>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</si>
  <si>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</si>
  <si>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</si>
  <si>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</si>
  <si>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</si>
  <si>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</si>
  <si>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</si>
  <si>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</si>
  <si>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</si>
  <si>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</si>
  <si>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</si>
  <si>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</si>
  <si>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</si>
  <si>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</si>
  <si>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</si>
  <si>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</si>
  <si>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</si>
  <si>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</si>
  <si>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</si>
  <si>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</si>
  <si>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</si>
  <si>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</si>
  <si>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</si>
  <si>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</si>
  <si>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</si>
  <si>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</si>
  <si>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</si>
  <si>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</si>
  <si>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</si>
  <si>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</si>
  <si>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</si>
  <si>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</si>
  <si>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</si>
  <si>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</si>
  <si>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</si>
  <si>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</si>
  <si>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</si>
  <si>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</si>
  <si>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</si>
  <si>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</si>
  <si>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</si>
  <si>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</si>
  <si>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</si>
  <si>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</si>
  <si>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</si>
  <si>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</si>
  <si>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</si>
  <si>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</si>
  <si>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</si>
  <si>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</si>
  <si>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</si>
  <si>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</si>
  <si>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</si>
  <si>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</si>
  <si>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</si>
  <si>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</si>
  <si>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</si>
  <si>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</si>
  <si>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</si>
  <si>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</si>
  <si>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</si>
  <si>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</si>
  <si>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</si>
  <si>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</si>
  <si>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</si>
  <si>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</si>
  <si>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</si>
  <si>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</si>
  <si>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</si>
  <si>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</si>
  <si>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</si>
  <si>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</si>
  <si>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</si>
  <si>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</si>
  <si>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</si>
  <si>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</si>
  <si>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</si>
  <si>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</si>
  <si>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</si>
  <si>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</si>
  <si>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</si>
  <si>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</si>
  <si>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</si>
  <si>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</si>
  <si>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</si>
  <si>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</si>
  <si>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</si>
  <si>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</si>
  <si>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</si>
  <si>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</si>
  <si>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</si>
  <si>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</si>
  <si>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</si>
  <si>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</si>
  <si>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</si>
  <si>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</si>
  <si>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</si>
  <si>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</si>
  <si>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</si>
  <si>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</si>
  <si>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</si>
  <si>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</si>
  <si>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</si>
  <si>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</si>
  <si>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</si>
  <si>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</si>
  <si>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</si>
  <si>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</si>
  <si>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</si>
  <si>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</si>
  <si>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</si>
  <si>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</si>
  <si>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</si>
  <si>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</si>
  <si>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</si>
  <si>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</si>
  <si>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</si>
  <si>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</si>
  <si>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</si>
  <si>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</si>
  <si>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</si>
  <si>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</si>
  <si>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</si>
  <si>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</si>
  <si>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</si>
  <si>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</si>
  <si>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</si>
  <si>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</si>
  <si>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</si>
  <si>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</si>
  <si>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</si>
  <si>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</si>
  <si>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</si>
  <si>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</si>
  <si>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</si>
  <si>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</si>
  <si>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</si>
  <si>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</si>
  <si>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</si>
  <si>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</si>
  <si>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</si>
  <si>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</si>
  <si>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</si>
  <si>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</si>
  <si>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</si>
  <si>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</si>
  <si>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</si>
  <si>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</si>
  <si>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</si>
  <si>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</si>
  <si>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</si>
  <si>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</si>
  <si>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</si>
  <si>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</si>
  <si>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</si>
  <si>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</si>
  <si>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</si>
  <si>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</si>
  <si>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</si>
  <si>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</si>
  <si>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</si>
  <si>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</si>
  <si>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</si>
  <si>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</si>
  <si>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</si>
  <si>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</si>
  <si>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</si>
  <si>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</si>
  <si>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</si>
  <si>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</si>
  <si>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</si>
  <si>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</si>
  <si>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</si>
  <si>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</si>
  <si>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</si>
  <si>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</si>
  <si>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</si>
  <si>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</si>
  <si>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</si>
  <si>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</si>
  <si>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</si>
  <si>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</si>
  <si>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</si>
  <si>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</si>
  <si>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</si>
  <si>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</si>
  <si>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</si>
  <si>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</si>
  <si>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</si>
  <si>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</si>
  <si>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</si>
  <si>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</si>
  <si>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</si>
  <si>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</si>
  <si>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</si>
  <si>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</si>
  <si>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</si>
  <si>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</si>
  <si>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</si>
  <si>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</si>
  <si>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</si>
  <si>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</si>
  <si>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</si>
  <si>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</si>
  <si>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</si>
  <si>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</si>
  <si>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</si>
  <si>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</si>
  <si>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</si>
  <si>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</si>
  <si>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</si>
  <si>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</si>
  <si>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</si>
  <si>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</si>
  <si>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</si>
  <si>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</si>
  <si>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</si>
  <si>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</si>
  <si>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</si>
  <si>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</si>
  <si>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</si>
  <si>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</si>
  <si>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</si>
  <si>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</si>
  <si>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</si>
  <si>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</si>
  <si>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</si>
  <si>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</si>
  <si>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</si>
  <si>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</si>
  <si>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</si>
  <si>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</si>
  <si>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</si>
  <si>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</si>
  <si>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</si>
  <si>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</si>
  <si>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</si>
  <si>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</si>
  <si>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</si>
  <si>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</si>
  <si>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</si>
  <si>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</si>
  <si>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</si>
  <si>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</si>
  <si>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</si>
  <si>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</si>
  <si>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</si>
  <si>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</si>
  <si>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</si>
  <si>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</si>
  <si>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</si>
  <si>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</si>
  <si>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</si>
  <si>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</si>
  <si>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</si>
  <si>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</si>
  <si>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</si>
  <si>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</si>
  <si>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</si>
  <si>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</si>
  <si>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</si>
  <si>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</si>
  <si>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</si>
  <si>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</si>
  <si>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</si>
  <si>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</si>
  <si>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</si>
  <si>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</si>
  <si>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</si>
  <si>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</si>
  <si>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</si>
  <si>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</si>
  <si>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</si>
  <si>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</si>
  <si>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</si>
  <si>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</si>
  <si>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</si>
  <si>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</si>
  <si>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</si>
  <si>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</si>
  <si>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</si>
  <si>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</si>
  <si>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</si>
  <si>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</si>
  <si>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</si>
  <si>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</si>
  <si>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</si>
  <si>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</si>
  <si>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</si>
  <si>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</si>
  <si>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</si>
  <si>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</si>
  <si>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</si>
  <si>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</si>
  <si>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</si>
  <si>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</si>
  <si>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</si>
  <si>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</si>
  <si>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</si>
  <si>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</si>
  <si>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</si>
  <si>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</si>
  <si>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</si>
  <si>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</si>
  <si>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</si>
  <si>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</si>
  <si>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</si>
  <si>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</si>
  <si>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</si>
  <si>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</si>
  <si>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</si>
  <si>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</si>
  <si>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</si>
  <si>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</si>
  <si>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</si>
  <si>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</si>
  <si>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</si>
  <si>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</si>
  <si>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</si>
  <si>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</si>
  <si>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</si>
  <si>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</si>
  <si>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</si>
  <si>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</si>
  <si>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</si>
  <si>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</si>
  <si>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</si>
  <si>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</si>
  <si>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</si>
  <si>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</si>
  <si>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</si>
  <si>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</si>
  <si>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</si>
  <si>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</si>
  <si>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</si>
  <si>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</si>
  <si>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</si>
  <si>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</si>
  <si>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</si>
  <si>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</si>
  <si>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</si>
  <si>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</si>
  <si>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</si>
  <si>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</si>
  <si>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</si>
  <si>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</si>
  <si>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</si>
  <si>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</si>
  <si>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</si>
  <si>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</si>
  <si>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</si>
  <si>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</si>
  <si>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</si>
  <si>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</si>
  <si>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</si>
  <si>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</si>
  <si>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</si>
  <si>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</si>
  <si>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</si>
  <si>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</si>
  <si>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</si>
  <si>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</si>
  <si>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</si>
  <si>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</si>
  <si>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</si>
  <si>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</si>
  <si>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</si>
  <si>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</si>
  <si>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</si>
  <si>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</si>
  <si>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</si>
  <si>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</si>
  <si>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</si>
  <si>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</si>
  <si>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</si>
  <si>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</si>
  <si>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</si>
  <si>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</si>
  <si>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</si>
  <si>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</si>
  <si>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</si>
  <si>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</si>
  <si>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</si>
  <si>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</si>
  <si>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</si>
  <si>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</si>
  <si>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</si>
  <si>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</si>
  <si>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</si>
  <si>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</si>
  <si>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</si>
  <si>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</si>
  <si>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</si>
  <si>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</si>
  <si>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</si>
  <si>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</si>
  <si>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</si>
  <si>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</si>
  <si>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</si>
  <si>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</si>
  <si>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</si>
  <si>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</si>
  <si>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</si>
  <si>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</si>
  <si>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</si>
  <si>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</si>
  <si>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</si>
  <si>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</si>
  <si>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</si>
  <si>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</si>
  <si>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</si>
  <si>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</si>
  <si>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</si>
  <si>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</si>
  <si>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</si>
  <si>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</si>
  <si>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</si>
  <si>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</si>
  <si>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</si>
  <si>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</si>
  <si>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</si>
  <si>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</si>
  <si>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</si>
  <si>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</si>
  <si>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</si>
  <si>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</si>
  <si>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</si>
  <si>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</si>
  <si>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</si>
  <si>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</si>
  <si>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</si>
  <si>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</si>
  <si>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</si>
  <si>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</si>
  <si>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</si>
  <si>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</si>
  <si>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</si>
  <si>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</si>
  <si>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</si>
  <si>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</si>
  <si>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</si>
  <si>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</si>
  <si>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</si>
  <si>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</si>
  <si>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</si>
  <si>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</si>
  <si>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</si>
  <si>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</si>
  <si>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</si>
  <si>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</si>
  <si>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</si>
  <si>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</si>
  <si>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</si>
  <si>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</si>
  <si>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</si>
  <si>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</si>
  <si>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</si>
  <si>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</si>
  <si>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</si>
  <si>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</si>
  <si>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</si>
  <si>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</si>
  <si>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</si>
  <si>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</si>
  <si>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</si>
  <si>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</si>
  <si>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</si>
  <si>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</si>
  <si>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</si>
  <si>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</si>
  <si>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</si>
  <si>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</si>
  <si>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</si>
  <si>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</si>
  <si>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</si>
  <si>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</si>
  <si>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</si>
  <si>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</si>
  <si>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</si>
  <si>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</si>
  <si>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</si>
  <si>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</si>
  <si>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</si>
  <si>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</si>
  <si>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</si>
  <si>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</si>
  <si>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</si>
  <si>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</si>
  <si>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</si>
  <si>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</si>
  <si>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</si>
  <si>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</si>
  <si>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</si>
  <si>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</si>
  <si>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</si>
  <si>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</si>
  <si>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</si>
  <si>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</si>
  <si>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</si>
  <si>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</si>
  <si>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</si>
  <si>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</si>
  <si>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</si>
  <si>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</si>
  <si>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</si>
  <si>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</si>
  <si>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</si>
  <si>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</si>
  <si>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</si>
  <si>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</si>
  <si>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</si>
  <si>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</si>
  <si>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</si>
  <si>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</si>
  <si>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</si>
  <si>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</si>
  <si>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</si>
  <si>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</si>
  <si>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</si>
  <si>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</si>
  <si>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</si>
  <si>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</si>
  <si>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</si>
  <si>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</si>
  <si>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</si>
  <si>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</si>
  <si>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</si>
  <si>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</si>
  <si>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</si>
  <si>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</si>
  <si>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</si>
  <si>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</si>
  <si>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</si>
  <si>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</si>
  <si>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</si>
  <si>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</si>
  <si>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</si>
  <si>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</si>
  <si>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</si>
  <si>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</si>
  <si>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</si>
  <si>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</si>
  <si>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</si>
  <si>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</si>
  <si>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</si>
  <si>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</si>
  <si>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</si>
  <si>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</si>
  <si>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</si>
  <si>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</si>
  <si>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</si>
  <si>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</si>
  <si>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</si>
  <si>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</si>
  <si>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</si>
  <si>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</si>
  <si>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</si>
  <si>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</si>
  <si>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</si>
  <si>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</si>
  <si>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</si>
  <si>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</si>
  <si>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</si>
  <si>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</si>
  <si>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</si>
  <si>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</si>
  <si>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</si>
  <si>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</si>
  <si>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</si>
  <si>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</si>
  <si>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</si>
  <si>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</si>
  <si>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</si>
  <si>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</si>
  <si>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</si>
  <si>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</si>
  <si>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</si>
  <si>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</si>
  <si>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</si>
  <si>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</si>
  <si>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</si>
  <si>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</si>
  <si>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</si>
  <si>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</si>
  <si>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</si>
  <si>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</si>
  <si>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</si>
  <si>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</si>
  <si>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</si>
  <si>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</si>
  <si>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</si>
  <si>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</si>
  <si>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</si>
  <si>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</si>
  <si>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</si>
  <si>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</si>
  <si>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</si>
  <si>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</si>
  <si>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</si>
  <si>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</si>
  <si>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</si>
  <si>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</si>
  <si>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</si>
  <si>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</si>
  <si>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</si>
  <si>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</si>
  <si>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</si>
  <si>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</si>
  <si>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</si>
  <si>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</si>
  <si>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</si>
  <si>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</si>
  <si>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</si>
  <si>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</si>
  <si>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</si>
  <si>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</si>
  <si>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</si>
  <si>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</si>
  <si>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</si>
  <si>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</si>
  <si>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</si>
  <si>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</si>
  <si>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</si>
  <si>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</si>
  <si>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</si>
  <si>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</si>
  <si>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</si>
  <si>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</si>
  <si>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</si>
  <si>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</si>
  <si>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</si>
  <si>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</si>
  <si>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</si>
  <si>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</si>
  <si>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</si>
  <si>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</si>
  <si>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</si>
  <si>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</si>
  <si>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</si>
  <si>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</si>
  <si>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</si>
  <si>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</si>
  <si>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</si>
  <si>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</si>
  <si>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</si>
  <si>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</si>
  <si>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</si>
  <si>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</si>
  <si>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</si>
  <si>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</si>
  <si>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</si>
  <si>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</si>
  <si>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</si>
  <si>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</si>
  <si>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</si>
  <si>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</si>
  <si>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</si>
  <si>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</si>
  <si>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</si>
  <si>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</si>
  <si>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</si>
  <si>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</si>
  <si>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</si>
  <si>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</si>
  <si>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</si>
  <si>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</si>
  <si>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</si>
  <si>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</si>
  <si>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</si>
  <si>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</si>
  <si>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</si>
  <si>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</si>
  <si>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</si>
  <si>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</si>
  <si>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</si>
  <si>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</si>
  <si>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</si>
  <si>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</si>
  <si>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</si>
  <si>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</si>
  <si>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</si>
  <si>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</si>
  <si>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</si>
  <si>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</si>
  <si>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</si>
  <si>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</si>
  <si>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</si>
  <si>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</si>
  <si>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</si>
  <si>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</si>
  <si>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</si>
  <si>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</si>
  <si>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</si>
  <si>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</si>
  <si>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</si>
  <si>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</si>
  <si>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</si>
  <si>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</si>
  <si>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</si>
  <si>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</si>
  <si>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</si>
  <si>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</si>
  <si>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</si>
  <si>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</si>
  <si>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</si>
  <si>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</si>
  <si>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</si>
  <si>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</si>
  <si>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</si>
  <si>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</si>
  <si>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</si>
  <si>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</si>
  <si>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</si>
  <si>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</si>
  <si>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</si>
  <si>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</si>
  <si>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</si>
  <si>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</si>
  <si>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</si>
  <si>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</si>
  <si>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</si>
  <si>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</si>
  <si>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</si>
  <si>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</si>
  <si>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</si>
  <si>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</si>
  <si>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</si>
  <si>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</si>
  <si>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</si>
  <si>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</si>
  <si>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</si>
  <si>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</si>
  <si>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</si>
  <si>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</si>
  <si>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</si>
  <si>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</si>
  <si>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</si>
  <si>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</si>
  <si>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</si>
  <si>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</si>
  <si>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</si>
  <si>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</si>
  <si>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</si>
  <si>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</si>
  <si>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</si>
  <si>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</si>
  <si>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</si>
  <si>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</si>
  <si>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</si>
  <si>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</si>
  <si>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</si>
  <si>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</si>
  <si>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</si>
  <si>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</si>
  <si>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</si>
  <si>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</si>
  <si>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</si>
  <si>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</si>
  <si>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</si>
  <si>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</si>
  <si>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</si>
  <si>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</si>
  <si>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</si>
  <si>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</si>
  <si>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</si>
  <si>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</si>
  <si>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</si>
  <si>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</si>
  <si>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</si>
  <si>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</si>
  <si>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</si>
  <si>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</si>
  <si>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</si>
  <si>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</si>
  <si>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</si>
  <si>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</si>
  <si>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</si>
  <si>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</si>
  <si>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</si>
  <si>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</si>
  <si>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</si>
  <si>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</si>
  <si>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</si>
  <si>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</si>
  <si>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</si>
  <si>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</si>
  <si>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</si>
  <si>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</si>
  <si>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</si>
  <si>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</si>
  <si>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</si>
  <si>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</si>
  <si>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</si>
  <si>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</si>
  <si>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</si>
  <si>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</si>
  <si>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</si>
  <si>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</si>
  <si>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</si>
  <si>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</si>
  <si>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</si>
  <si>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</si>
  <si>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</si>
  <si>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</si>
  <si>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</si>
  <si>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</si>
  <si>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</si>
  <si>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</si>
  <si>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</si>
  <si>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</si>
  <si>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</si>
  <si>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</si>
  <si>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</si>
  <si>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</si>
  <si>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</si>
  <si>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</si>
  <si>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</si>
  <si>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</si>
  <si>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</si>
  <si>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</si>
  <si>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</si>
  <si>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</si>
  <si>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</si>
  <si>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</si>
  <si>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</si>
  <si>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</si>
  <si>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</si>
  <si>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</si>
  <si>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</si>
  <si>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</si>
  <si>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</si>
  <si>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</si>
  <si>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</si>
  <si>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</si>
  <si>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</si>
  <si>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</si>
  <si>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</si>
  <si>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</si>
  <si>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</si>
  <si>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</si>
  <si>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</si>
  <si>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</si>
  <si>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</si>
  <si>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</si>
  <si>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</si>
  <si>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</si>
  <si>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</si>
  <si>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</si>
  <si>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</si>
  <si>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</si>
  <si>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</si>
  <si>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</si>
  <si>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</si>
  <si>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</si>
  <si>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</si>
  <si>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</si>
  <si>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</si>
  <si>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</si>
  <si>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</si>
  <si>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</si>
  <si>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</si>
  <si>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</si>
  <si>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</si>
  <si>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</si>
  <si>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</si>
  <si>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</si>
  <si>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</si>
  <si>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</si>
  <si>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</si>
  <si>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</si>
  <si>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</si>
  <si>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</si>
  <si>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</si>
  <si>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</si>
  <si>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</si>
  <si>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</si>
  <si>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</si>
  <si>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</si>
  <si>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</si>
  <si>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</si>
  <si>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</si>
  <si>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</si>
  <si>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</si>
  <si>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</si>
  <si>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</si>
  <si>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</si>
  <si>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</si>
  <si>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</si>
  <si>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</si>
  <si>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</si>
  <si>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</si>
  <si>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</si>
  <si>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</si>
  <si>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</si>
  <si>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</si>
  <si>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</si>
  <si>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</si>
  <si>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</si>
  <si>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</si>
  <si>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</si>
  <si>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</si>
  <si>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</si>
  <si>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</si>
  <si>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</si>
  <si>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</si>
  <si>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</si>
  <si>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</si>
  <si>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</si>
  <si>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</si>
  <si>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</si>
  <si>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</si>
  <si>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</si>
  <si>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</si>
  <si>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</si>
  <si>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</si>
  <si>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</si>
  <si>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</si>
  <si>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</si>
  <si>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</si>
  <si>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</si>
  <si>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</si>
  <si>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</si>
  <si>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</si>
  <si>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</si>
  <si>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</si>
  <si>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</si>
  <si>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</si>
  <si>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</si>
  <si>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</si>
  <si>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</si>
  <si>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</si>
  <si>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</si>
  <si>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</si>
  <si>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</si>
  <si>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</si>
  <si>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</si>
  <si>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</si>
  <si>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</si>
  <si>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</si>
  <si>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</si>
  <si>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</si>
  <si>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</si>
  <si>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</si>
  <si>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</si>
  <si>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</si>
  <si>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</si>
  <si>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</si>
  <si>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</si>
  <si>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</si>
  <si>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</si>
  <si>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</si>
  <si>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</si>
  <si>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</si>
  <si>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</si>
  <si>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</si>
  <si>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</si>
  <si>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</si>
  <si>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</si>
  <si>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</si>
  <si>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</si>
  <si>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</si>
  <si>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</si>
  <si>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</si>
  <si>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</si>
  <si>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</si>
  <si>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</si>
  <si>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</si>
  <si>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</si>
  <si>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</si>
  <si>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</si>
  <si>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</si>
  <si>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</si>
  <si>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</si>
  <si>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</si>
  <si>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</si>
  <si>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</si>
  <si>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</si>
  <si>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</si>
  <si>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</si>
  <si>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</si>
  <si>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</si>
  <si>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</si>
  <si>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</si>
  <si>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</si>
  <si>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</si>
  <si>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</si>
  <si>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</si>
  <si>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</si>
  <si>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</si>
  <si>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</si>
  <si>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</si>
  <si>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</si>
  <si>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</si>
  <si>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</si>
  <si>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</si>
  <si>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</si>
  <si>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</si>
  <si>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</si>
  <si>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</si>
  <si>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</si>
  <si>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</si>
  <si>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</si>
  <si>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</si>
  <si>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</si>
  <si>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</si>
  <si>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</si>
  <si>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</si>
  <si>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</si>
  <si>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</si>
  <si>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</si>
  <si>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</si>
  <si>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</si>
  <si>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</si>
  <si>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</si>
  <si>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</si>
  <si>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</si>
  <si>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</si>
  <si>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</si>
  <si>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</si>
  <si>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</si>
  <si>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</si>
  <si>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</si>
  <si>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</si>
  <si>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</si>
  <si>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</si>
  <si>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</si>
  <si>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</si>
  <si>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</si>
  <si>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</si>
  <si>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</si>
  <si>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</si>
  <si>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</si>
  <si>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</si>
  <si>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</si>
  <si>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</si>
  <si>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</si>
  <si>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</si>
  <si>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</si>
  <si>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</si>
  <si>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</si>
  <si>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</si>
  <si>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</si>
  <si>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</si>
  <si>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</si>
  <si>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</si>
  <si>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</si>
  <si>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</si>
  <si>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</si>
  <si>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</si>
  <si>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</si>
  <si>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</si>
  <si>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</si>
  <si>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</si>
  <si>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</si>
  <si>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</si>
  <si>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</si>
  <si>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</si>
  <si>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</si>
  <si>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</si>
  <si>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</si>
  <si>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</si>
  <si>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</si>
  <si>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</si>
  <si>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</si>
  <si>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</si>
  <si>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</si>
  <si>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</si>
  <si>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</si>
  <si>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</si>
  <si>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</si>
  <si>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</si>
  <si>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</si>
  <si>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</si>
  <si>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</si>
  <si>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</si>
  <si>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</si>
  <si>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</si>
  <si>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</si>
  <si>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</si>
  <si>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</si>
  <si>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</si>
  <si>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</si>
  <si>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</si>
  <si>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</si>
  <si>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</si>
  <si>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</si>
  <si>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</si>
  <si>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</si>
  <si>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</si>
  <si>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</si>
  <si>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</si>
  <si>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</si>
  <si>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</si>
  <si>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</si>
  <si>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</si>
  <si>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</si>
  <si>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</si>
  <si>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</si>
  <si>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</si>
  <si>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</si>
  <si>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</si>
  <si>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</si>
  <si>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</si>
  <si>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</si>
  <si>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</si>
  <si>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</si>
  <si>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</si>
  <si>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</si>
  <si>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</si>
  <si>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</si>
  <si>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</si>
  <si>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</si>
  <si>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</si>
  <si>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</si>
  <si>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</si>
  <si>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</si>
  <si>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</si>
  <si>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</si>
  <si>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</si>
  <si>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</si>
  <si>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</si>
  <si>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</si>
  <si>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</si>
  <si>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</si>
  <si>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</si>
  <si>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</si>
  <si>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</si>
  <si>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</si>
  <si>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</si>
  <si>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</si>
  <si>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</si>
  <si>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</si>
  <si>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</si>
  <si>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</si>
  <si>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</si>
  <si>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</si>
  <si>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</si>
  <si>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</si>
  <si>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</si>
  <si>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</si>
  <si>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</si>
  <si>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</si>
  <si>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</si>
  <si>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</si>
  <si>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</si>
  <si>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</si>
  <si>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</si>
  <si>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</si>
  <si>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</si>
  <si>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</si>
  <si>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</si>
  <si>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</si>
  <si>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</si>
  <si>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</si>
  <si>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</si>
  <si>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</si>
  <si>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</si>
  <si>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</si>
  <si>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</si>
  <si>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</si>
  <si>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</si>
  <si>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</si>
  <si>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</si>
  <si>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</si>
  <si>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</si>
  <si>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</si>
  <si>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</si>
  <si>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</si>
  <si>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</si>
  <si>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</si>
  <si>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</si>
  <si>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</si>
  <si>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</si>
  <si>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</si>
  <si>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</si>
  <si>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</si>
  <si>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</si>
  <si>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</si>
  <si>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</si>
  <si>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</si>
  <si>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</si>
  <si>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</si>
  <si>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</si>
  <si>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</si>
  <si>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</si>
  <si>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</si>
  <si>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</si>
  <si>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</si>
  <si>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</si>
  <si>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</si>
  <si>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</si>
  <si>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</si>
  <si>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</si>
  <si>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</si>
  <si>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</si>
  <si>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</si>
  <si>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</si>
  <si>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</si>
  <si>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</si>
  <si>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</si>
  <si>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</si>
  <si>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</si>
  <si>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</si>
  <si>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</si>
  <si>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</si>
  <si>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</si>
  <si>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</si>
  <si>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</si>
  <si>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</si>
  <si>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</si>
  <si>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</si>
  <si>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</si>
  <si>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</si>
  <si>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</si>
  <si>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</si>
  <si>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</si>
  <si>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</si>
  <si>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</si>
  <si>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</si>
  <si>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</si>
  <si>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</si>
  <si>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</si>
  <si>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</si>
  <si>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</si>
  <si>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</si>
  <si>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</si>
  <si>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</si>
  <si>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</si>
  <si>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</si>
  <si>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</si>
  <si>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</si>
  <si>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</si>
  <si>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</si>
  <si>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</si>
  <si>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</si>
  <si>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</si>
  <si>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</si>
  <si>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</si>
  <si>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</si>
  <si>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</si>
  <si>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</si>
  <si>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</si>
  <si>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</si>
  <si>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</si>
  <si>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</si>
  <si>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</si>
  <si>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</si>
  <si>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</si>
  <si>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</si>
  <si>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</si>
  <si>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</si>
  <si>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</si>
  <si>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</si>
  <si>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</si>
  <si>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</si>
  <si>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</si>
  <si>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</si>
  <si>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</si>
  <si>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</si>
  <si>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</si>
  <si>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</si>
  <si>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</si>
  <si>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</si>
  <si>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</si>
  <si>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</si>
  <si>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</si>
  <si>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</si>
  <si>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</si>
  <si>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</si>
  <si>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</si>
  <si>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</si>
  <si>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</si>
  <si>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</si>
  <si>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</si>
  <si>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</si>
  <si>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</si>
  <si>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</si>
  <si>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</si>
  <si>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</si>
  <si>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</si>
  <si>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</si>
  <si>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</si>
  <si>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</si>
  <si>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</si>
  <si>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</si>
  <si>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</si>
  <si>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</si>
  <si>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</si>
  <si>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</si>
  <si>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</si>
  <si>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</si>
  <si>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</si>
  <si>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</si>
  <si>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</si>
  <si>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</si>
  <si>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</si>
  <si>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</si>
  <si>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</si>
  <si>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</si>
  <si>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</si>
  <si>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</si>
  <si>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</si>
  <si>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</si>
  <si>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</si>
  <si>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</si>
  <si>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</si>
  <si>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</si>
  <si>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</si>
  <si>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</si>
  <si>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</si>
  <si>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</si>
  <si>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</si>
  <si>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</si>
  <si>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</si>
  <si>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</si>
  <si>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</si>
  <si>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</si>
  <si>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</si>
  <si>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</si>
  <si>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</si>
  <si>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</si>
  <si>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</si>
  <si>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</si>
  <si>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</si>
  <si>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</si>
  <si>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</si>
  <si>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</si>
  <si>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</si>
  <si>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</si>
  <si>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</si>
  <si>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</si>
  <si>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</si>
  <si>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</si>
  <si>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</si>
  <si>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</si>
  <si>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</si>
  <si>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</si>
  <si>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</si>
  <si>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</si>
  <si>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</si>
  <si>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</si>
  <si>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</si>
  <si>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</si>
  <si>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</si>
  <si>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</si>
  <si>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</si>
  <si>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</si>
  <si>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</si>
  <si>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</si>
  <si>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</si>
  <si>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</si>
  <si>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</si>
  <si>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</si>
  <si>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</si>
  <si>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</si>
  <si>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</si>
  <si>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</si>
  <si>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</si>
  <si>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</si>
  <si>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</si>
  <si>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</si>
  <si>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</si>
  <si>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</si>
  <si>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</si>
  <si>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</si>
  <si>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</si>
  <si>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</si>
  <si>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</si>
  <si>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</si>
  <si>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</si>
  <si>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</si>
  <si>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</si>
  <si>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</si>
  <si>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</si>
  <si>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</si>
  <si>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</si>
  <si>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</si>
  <si>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</si>
  <si>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</si>
  <si>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</si>
  <si>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</si>
  <si>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</si>
  <si>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</si>
  <si>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</si>
  <si>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</si>
  <si>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</si>
  <si>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</si>
  <si>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</si>
  <si>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</si>
  <si>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</si>
  <si>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</si>
  <si>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</si>
  <si>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</si>
  <si>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</si>
  <si>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</si>
  <si>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</si>
  <si>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</si>
  <si>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</si>
  <si>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</si>
  <si>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</si>
  <si>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</si>
  <si>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</si>
  <si>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</si>
  <si>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</si>
  <si>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</si>
  <si>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</si>
  <si>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</si>
  <si>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</si>
  <si>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</si>
  <si>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</si>
  <si>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</si>
  <si>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</si>
  <si>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</si>
  <si>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</si>
  <si>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</si>
  <si>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</si>
  <si>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</si>
  <si>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</si>
  <si>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</si>
  <si>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</si>
  <si>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</si>
  <si>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</si>
  <si>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</si>
  <si>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</si>
  <si>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</si>
  <si>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</si>
  <si>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</si>
  <si>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</si>
  <si>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</si>
  <si>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</si>
  <si>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</si>
  <si>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</si>
  <si>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</si>
  <si>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</si>
  <si>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</si>
  <si>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</si>
  <si>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</si>
  <si>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</si>
  <si>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</si>
  <si>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</si>
  <si>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</si>
  <si>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</si>
  <si>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</si>
  <si>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</si>
  <si>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</si>
  <si>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</si>
  <si>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</si>
  <si>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</si>
  <si>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</si>
  <si>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</si>
  <si>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</si>
  <si>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</si>
  <si>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</si>
  <si>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</si>
  <si>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</si>
  <si>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</si>
  <si>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</si>
  <si>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</si>
  <si>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</si>
  <si>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</si>
  <si>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</si>
  <si>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</si>
  <si>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</si>
  <si>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</si>
  <si>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</si>
  <si>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</si>
  <si>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</si>
  <si>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</si>
  <si>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</si>
  <si>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</si>
  <si>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</si>
  <si>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</si>
  <si>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</si>
  <si>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</si>
  <si>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</si>
  <si>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</si>
  <si>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</si>
  <si>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</si>
  <si>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</si>
  <si>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</si>
  <si>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</si>
  <si>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</si>
  <si>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</si>
  <si>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</si>
  <si>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</si>
  <si>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</si>
  <si>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</si>
  <si>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</si>
  <si>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</si>
  <si>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</si>
  <si>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</si>
  <si>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</si>
  <si>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</si>
  <si>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</si>
  <si>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</si>
  <si>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</si>
  <si>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</si>
  <si>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</si>
  <si>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</si>
  <si>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</si>
  <si>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</si>
  <si>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</si>
  <si>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</si>
  <si>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</si>
  <si>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</si>
  <si>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</si>
  <si>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</si>
  <si>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</si>
  <si>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</si>
  <si>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</si>
  <si>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</si>
  <si>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</si>
  <si>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</si>
  <si>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</si>
  <si>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</si>
  <si>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</si>
  <si>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</si>
  <si>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</si>
  <si>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</si>
  <si>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</si>
  <si>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</si>
  <si>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</si>
  <si>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</si>
  <si>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</si>
  <si>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</si>
  <si>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</si>
  <si>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</si>
  <si>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</si>
  <si>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</si>
  <si>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</si>
  <si>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</si>
  <si>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</si>
  <si>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</si>
  <si>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</si>
  <si>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</si>
  <si>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</si>
  <si>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</si>
  <si>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</si>
  <si>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</si>
  <si>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</si>
  <si>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</si>
  <si>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</si>
  <si>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</si>
  <si>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</si>
  <si>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</si>
  <si>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</si>
  <si>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</si>
  <si>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</si>
  <si>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</si>
  <si>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</si>
  <si>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</si>
  <si>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</si>
  <si>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</si>
  <si>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</si>
  <si>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</si>
  <si>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</si>
  <si>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</si>
  <si>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</si>
  <si>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</si>
  <si>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</si>
  <si>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</si>
  <si>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</si>
  <si>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</si>
  <si>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</si>
  <si>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</si>
  <si>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</si>
  <si>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</si>
  <si>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</si>
  <si>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</si>
  <si>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</si>
  <si>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</si>
  <si>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</si>
  <si>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</si>
  <si>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</si>
  <si>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</si>
  <si>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</si>
  <si>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</si>
  <si>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</si>
  <si>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</si>
  <si>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</si>
  <si>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</si>
  <si>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</si>
  <si>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</si>
  <si>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</si>
  <si>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</si>
  <si>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</si>
  <si>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</si>
  <si>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</si>
  <si>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</si>
  <si>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</si>
  <si>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</si>
  <si>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</si>
  <si>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</si>
  <si>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</si>
  <si>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</si>
  <si>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</si>
  <si>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</si>
  <si>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</si>
  <si>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</si>
  <si>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</si>
  <si>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</si>
  <si>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</si>
  <si>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</si>
  <si>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</si>
  <si>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</si>
  <si>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</si>
  <si>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</si>
  <si>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</si>
  <si>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</si>
  <si>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</si>
  <si>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</si>
  <si>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</si>
  <si>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</si>
  <si>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</si>
  <si>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</si>
  <si>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</si>
  <si>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</si>
  <si>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</si>
  <si>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</si>
  <si>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</si>
  <si>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</si>
  <si>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</si>
  <si>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</si>
  <si>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</si>
  <si>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</si>
  <si>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</si>
  <si>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</si>
  <si>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</si>
  <si>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</si>
  <si>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</si>
  <si>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</si>
  <si>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</si>
  <si>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</si>
  <si>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</si>
  <si>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</si>
  <si>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</si>
  <si>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</si>
  <si>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</si>
  <si>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</si>
  <si>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</si>
  <si>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</si>
  <si>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</si>
  <si>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</si>
  <si>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</si>
  <si>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</si>
  <si>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</si>
  <si>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</si>
  <si>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</si>
  <si>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</si>
  <si>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</si>
  <si>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</si>
  <si>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</si>
  <si>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</si>
  <si>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</si>
  <si>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</si>
  <si>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</si>
  <si>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</si>
  <si>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</si>
  <si>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</si>
  <si>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</si>
  <si>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</si>
  <si>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</si>
  <si>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</si>
  <si>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</si>
  <si>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</si>
  <si>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</si>
  <si>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</si>
  <si>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</si>
  <si>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</si>
  <si>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</si>
  <si>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</si>
  <si>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</si>
  <si>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</si>
  <si>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</si>
  <si>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</si>
  <si>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</si>
  <si>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</si>
  <si>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</si>
  <si>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</si>
  <si>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</si>
  <si>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</si>
  <si>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</si>
  <si>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</si>
  <si>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</si>
  <si>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</si>
  <si>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</si>
  <si>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</si>
  <si>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</si>
  <si>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</si>
  <si>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</si>
  <si>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</si>
  <si>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</si>
  <si>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</si>
  <si>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</si>
  <si>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</si>
  <si>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</si>
  <si>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</si>
  <si>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</si>
  <si>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</si>
  <si>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</si>
  <si>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</si>
  <si>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</si>
  <si>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</si>
  <si>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</si>
  <si>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</si>
  <si>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</si>
  <si>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</si>
  <si>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</si>
  <si>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</si>
  <si>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</si>
  <si>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</si>
  <si>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</si>
  <si>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</si>
  <si>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</si>
  <si>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</si>
  <si>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</si>
  <si>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</si>
  <si>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</si>
  <si>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</si>
  <si>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</si>
  <si>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</si>
  <si>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</si>
  <si>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</si>
  <si>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</si>
  <si>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</si>
  <si>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</si>
  <si>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</si>
  <si>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</si>
  <si>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</si>
  <si>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</si>
  <si>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</si>
  <si>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</si>
  <si>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</si>
  <si>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</si>
  <si>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</si>
  <si>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</si>
  <si>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</si>
  <si>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</si>
  <si>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</si>
  <si>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</si>
  <si>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</si>
  <si>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</si>
  <si>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</si>
  <si>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</si>
  <si>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</si>
  <si>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</si>
  <si>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</si>
  <si>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</si>
  <si>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</si>
  <si>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</si>
  <si>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</si>
  <si>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</si>
  <si>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</si>
  <si>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</si>
  <si>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</si>
  <si>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</si>
  <si>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</si>
  <si>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</si>
  <si>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</si>
  <si>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</si>
  <si>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</si>
  <si>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</si>
  <si>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</si>
  <si>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</si>
  <si>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</si>
  <si>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</si>
  <si>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</si>
  <si>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</si>
  <si>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</si>
  <si>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</si>
  <si>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</si>
  <si>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</si>
  <si>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</si>
  <si>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</si>
  <si>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</si>
  <si>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</si>
  <si>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</si>
  <si>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</si>
  <si>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</si>
  <si>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</si>
  <si>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</si>
  <si>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</si>
  <si>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</si>
  <si>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</si>
  <si>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</si>
  <si>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</si>
  <si>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</si>
  <si>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</si>
  <si>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</si>
  <si>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</si>
  <si>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</si>
  <si>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</si>
  <si>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</si>
  <si>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</si>
  <si>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</si>
  <si>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</si>
  <si>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</si>
  <si>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</si>
  <si>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</si>
  <si>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</si>
  <si>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</si>
  <si>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</si>
  <si>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</si>
  <si>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</si>
  <si>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</si>
  <si>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</si>
  <si>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</si>
  <si>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</si>
  <si>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</si>
  <si>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</si>
  <si>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</si>
  <si>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</si>
  <si>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</si>
  <si>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</si>
  <si>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</si>
  <si>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</si>
  <si>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</si>
  <si>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</si>
  <si>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</si>
  <si>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</si>
  <si>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</si>
  <si>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</si>
  <si>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</si>
  <si>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</si>
  <si>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</si>
  <si>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</si>
  <si>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</si>
  <si>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</si>
  <si>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</si>
  <si>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</si>
  <si>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</si>
  <si>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</si>
  <si>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</si>
  <si>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</si>
  <si>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</si>
  <si>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</si>
  <si>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</si>
  <si>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</si>
  <si>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</si>
  <si>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</si>
  <si>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</si>
  <si>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</si>
  <si>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</si>
  <si>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</si>
  <si>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</si>
  <si>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</si>
  <si>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</si>
  <si>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</si>
  <si>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</si>
  <si>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</si>
  <si>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</si>
  <si>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</si>
  <si>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</si>
  <si>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</si>
  <si>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</si>
  <si>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</si>
  <si>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</si>
  <si>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</si>
  <si>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</si>
  <si>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</si>
  <si>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</si>
  <si>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</si>
  <si>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</si>
  <si>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</si>
  <si>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</si>
  <si>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</si>
  <si>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</si>
  <si>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</si>
  <si>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</si>
  <si>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</si>
  <si>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</si>
  <si>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</si>
  <si>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</si>
  <si>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</si>
  <si>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</si>
  <si>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</si>
  <si>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</si>
  <si>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</si>
  <si>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</si>
  <si>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</si>
  <si>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</si>
  <si>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</si>
  <si>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</si>
  <si>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</si>
  <si>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</si>
  <si>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</si>
  <si>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</si>
  <si>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</si>
  <si>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</si>
  <si>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</si>
  <si>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</si>
  <si>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</si>
  <si>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</si>
  <si>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</si>
  <si>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</si>
  <si>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</si>
  <si>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</si>
  <si>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</si>
  <si>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</si>
  <si>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</si>
  <si>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</si>
  <si>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</si>
  <si>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</si>
  <si>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</si>
  <si>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</si>
  <si>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</si>
  <si>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</si>
  <si>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</si>
  <si>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</si>
  <si>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</si>
  <si>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</si>
  <si>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</si>
  <si>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</si>
  <si>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</si>
  <si>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</si>
  <si>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</si>
  <si>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</si>
  <si>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</si>
  <si>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</si>
  <si>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</si>
  <si>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</si>
  <si>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</si>
  <si>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</si>
  <si>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</si>
  <si>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</si>
  <si>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</si>
  <si>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</si>
  <si>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</si>
  <si>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</si>
  <si>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</si>
  <si>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</si>
  <si>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</si>
  <si>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</si>
  <si>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</si>
  <si>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</si>
  <si>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</si>
  <si>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</si>
  <si>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</si>
  <si>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</si>
  <si>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</si>
  <si>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</si>
  <si>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</si>
  <si>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</si>
  <si>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</si>
  <si>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</si>
  <si>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</si>
  <si>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</si>
  <si>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</si>
  <si>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</si>
  <si>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</si>
  <si>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</si>
  <si>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</si>
  <si>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</si>
  <si>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</si>
  <si>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</si>
  <si>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</si>
  <si>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</si>
  <si>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</si>
  <si>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</si>
  <si>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</si>
  <si>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</si>
  <si>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</si>
  <si>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</si>
  <si>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</si>
  <si>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</si>
  <si>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</si>
  <si>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</si>
  <si>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</si>
  <si>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</si>
  <si>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</si>
  <si>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</si>
  <si>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</si>
  <si>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</si>
  <si>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</si>
  <si>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</si>
  <si>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</si>
  <si>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</si>
  <si>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</si>
  <si>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</si>
  <si>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</si>
  <si>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</si>
  <si>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</si>
  <si>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</si>
  <si>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</si>
  <si>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</si>
  <si>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</si>
  <si>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</si>
  <si>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</si>
  <si>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</si>
  <si>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</si>
  <si>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</si>
  <si>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</si>
  <si>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</si>
  <si>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</si>
  <si>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</si>
  <si>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</si>
  <si>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</si>
  <si>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</si>
  <si>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</si>
  <si>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</si>
  <si>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</si>
  <si>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</si>
  <si>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</si>
  <si>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</si>
  <si>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</si>
  <si>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</si>
  <si>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</si>
  <si>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</si>
  <si>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</si>
  <si>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</si>
  <si>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</si>
  <si>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</si>
  <si>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</si>
  <si>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</si>
  <si>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</si>
  <si>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</si>
  <si>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</si>
  <si>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</si>
  <si>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</si>
  <si>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</si>
  <si>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</si>
  <si>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</si>
  <si>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</si>
  <si>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</si>
  <si>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</si>
  <si>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</si>
  <si>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</si>
  <si>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</si>
  <si>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</si>
  <si>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</si>
  <si>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</si>
  <si>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</si>
  <si>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</si>
  <si>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</si>
  <si>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</si>
  <si>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</si>
  <si>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</si>
  <si>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</si>
  <si>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</si>
  <si>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</si>
  <si>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</si>
  <si>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</si>
  <si>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</si>
  <si>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</si>
  <si>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</si>
  <si>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</si>
  <si>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</si>
  <si>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</si>
  <si>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</si>
  <si>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</si>
  <si>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</si>
  <si>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</si>
  <si>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</si>
  <si>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</si>
  <si>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</si>
  <si>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</si>
  <si>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</si>
  <si>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</si>
  <si>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</si>
  <si>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</si>
  <si>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</si>
  <si>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</si>
  <si>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</si>
  <si>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</si>
  <si>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</si>
  <si>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</si>
  <si>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</si>
  <si>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</si>
  <si>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</si>
  <si>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</si>
  <si>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</si>
  <si>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</si>
  <si>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</si>
  <si>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</si>
  <si>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</si>
  <si>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</si>
  <si>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</si>
  <si>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</si>
  <si>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</si>
  <si>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</si>
  <si>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</si>
  <si>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</si>
  <si>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</si>
  <si>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</si>
  <si>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</si>
  <si>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</si>
  <si>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</si>
  <si>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</si>
  <si>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</si>
  <si>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</si>
  <si>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</si>
  <si>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</si>
  <si>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</si>
  <si>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</si>
  <si>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</si>
  <si>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</si>
  <si>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</si>
  <si>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</si>
  <si>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</si>
  <si>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</si>
  <si>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</si>
  <si>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</si>
  <si>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</si>
  <si>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</si>
  <si>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</si>
  <si>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</si>
  <si>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</si>
  <si>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</si>
  <si>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</si>
  <si>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</si>
  <si>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</si>
  <si>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</si>
  <si>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</si>
  <si>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</si>
  <si>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</si>
  <si>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</si>
  <si>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</si>
  <si>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</si>
  <si>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</si>
  <si>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</si>
  <si>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</si>
  <si>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</si>
  <si>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</si>
  <si>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</si>
  <si>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</si>
  <si>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</si>
  <si>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</si>
  <si>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</si>
  <si>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</si>
  <si>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</si>
  <si>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</si>
  <si>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</si>
  <si>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</si>
  <si>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</si>
  <si>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</si>
  <si>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</si>
  <si>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</si>
  <si>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</si>
  <si>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</si>
  <si>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</si>
  <si>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</si>
  <si>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</si>
  <si>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</si>
  <si>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</si>
  <si>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</si>
  <si>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</si>
  <si>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</si>
  <si>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</si>
  <si>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</si>
  <si>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</si>
  <si>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</si>
  <si>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</si>
  <si>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</si>
  <si>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</si>
  <si>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</si>
  <si>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</si>
  <si>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</si>
  <si>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</si>
  <si>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</si>
  <si>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</si>
  <si>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</si>
  <si>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</si>
  <si>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</si>
  <si>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</si>
  <si>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</si>
  <si>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</si>
  <si>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</si>
  <si>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</si>
  <si>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</si>
  <si>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</si>
  <si>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</si>
  <si>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</si>
  <si>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</si>
  <si>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</si>
  <si>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</si>
  <si>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</si>
  <si>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</si>
  <si>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</si>
  <si>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</si>
  <si>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</si>
  <si>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</si>
  <si>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</si>
  <si>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</si>
  <si>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</si>
  <si>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</si>
  <si>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</si>
  <si>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</si>
  <si>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</si>
  <si>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</si>
  <si>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</si>
  <si>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</si>
  <si>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</si>
  <si>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</si>
  <si>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</si>
  <si>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</si>
  <si>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</si>
  <si>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</si>
  <si>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</si>
  <si>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</si>
  <si>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</si>
  <si>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</si>
  <si>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</si>
  <si>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</si>
  <si>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</si>
  <si>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</si>
  <si>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</si>
  <si>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</si>
  <si>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</si>
  <si>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</si>
  <si>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</si>
  <si>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</si>
  <si>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</si>
  <si>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</si>
  <si>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</si>
  <si>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</si>
  <si>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</si>
  <si>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</si>
  <si>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</si>
  <si>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</si>
  <si>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</si>
  <si>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</si>
  <si>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</si>
  <si>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</si>
  <si>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</si>
  <si>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</si>
  <si>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</si>
  <si>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</si>
  <si>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</si>
  <si>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</si>
  <si>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</si>
  <si>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</si>
  <si>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</si>
  <si>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</si>
  <si>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</si>
  <si>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</si>
  <si>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</si>
  <si>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</si>
  <si>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</si>
  <si>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</si>
  <si>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</si>
  <si>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</si>
  <si>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</si>
  <si>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</si>
  <si>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</si>
  <si>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</si>
  <si>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</si>
  <si>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</si>
  <si>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</si>
  <si>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</si>
  <si>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</si>
  <si>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</si>
  <si>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</si>
  <si>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</si>
  <si>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</si>
  <si>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</si>
  <si>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</si>
  <si>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</si>
  <si>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</si>
  <si>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</si>
  <si>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</si>
  <si>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</si>
  <si>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</si>
  <si>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</si>
  <si>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</si>
  <si>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</si>
  <si>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</si>
  <si>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</si>
  <si>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</si>
  <si>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</si>
  <si>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</si>
  <si>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</si>
  <si>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</si>
  <si>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</si>
  <si>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</si>
  <si>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</si>
  <si>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</si>
  <si>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</si>
  <si>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</si>
  <si>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</si>
  <si>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</si>
  <si>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</si>
  <si>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</si>
  <si>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</si>
  <si>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</si>
  <si>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</si>
  <si>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</si>
  <si>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</si>
  <si>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</si>
  <si>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</si>
  <si>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</si>
  <si>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</si>
  <si>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</si>
  <si>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</si>
  <si>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</si>
  <si>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</si>
  <si>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</si>
  <si>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</si>
  <si>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</si>
  <si>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</si>
  <si>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</si>
  <si>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</si>
  <si>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</si>
  <si>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</si>
  <si>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</si>
  <si>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</si>
  <si>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</si>
  <si>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</si>
  <si>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</si>
  <si>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</si>
  <si>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</si>
  <si>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</si>
  <si>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</si>
  <si>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</si>
  <si>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</si>
  <si>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</si>
  <si>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</si>
  <si>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</si>
  <si>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</si>
  <si>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</si>
  <si>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</si>
  <si>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</si>
  <si>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</si>
  <si>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</si>
  <si>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</si>
  <si>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</si>
  <si>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</si>
  <si>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</si>
  <si>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</si>
  <si>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</si>
  <si>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</si>
  <si>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</si>
  <si>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</si>
  <si>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</si>
  <si>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</si>
  <si>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</si>
  <si>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</si>
  <si>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</si>
  <si>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</si>
  <si>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</si>
  <si>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</si>
  <si>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</si>
  <si>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</si>
  <si>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</si>
  <si>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</si>
  <si>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</si>
  <si>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</si>
  <si>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</si>
  <si>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</si>
  <si>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</si>
  <si>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</si>
  <si>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</si>
  <si>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</si>
  <si>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</si>
  <si>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</si>
  <si>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</si>
  <si>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</si>
  <si>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</si>
  <si>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</si>
  <si>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</si>
  <si>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</si>
  <si>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</si>
  <si>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</si>
  <si>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</si>
  <si>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</si>
  <si>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</si>
  <si>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</si>
  <si>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</si>
  <si>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</si>
  <si>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</si>
  <si>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</si>
  <si>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</si>
  <si>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</si>
  <si>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</si>
  <si>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</si>
  <si>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</si>
  <si>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</si>
  <si>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</si>
  <si>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</si>
  <si>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</si>
  <si>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</si>
  <si>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</si>
  <si>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</si>
  <si>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</si>
  <si>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</si>
  <si>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</si>
  <si>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</si>
  <si>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</si>
  <si>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</si>
  <si>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</si>
  <si>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</si>
  <si>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</si>
  <si>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</si>
  <si>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</si>
  <si>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</si>
  <si>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</si>
  <si>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</si>
  <si>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</si>
  <si>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</si>
  <si>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</si>
  <si>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</si>
  <si>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</si>
  <si>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</si>
  <si>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</si>
  <si>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</si>
  <si>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</si>
  <si>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</si>
  <si>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</si>
  <si>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</si>
  <si>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</si>
  <si>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</si>
  <si>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</si>
  <si>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</si>
  <si>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</si>
  <si>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</si>
  <si>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</si>
  <si>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</si>
  <si>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</si>
  <si>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</si>
  <si>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</si>
  <si>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</si>
  <si>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</si>
  <si>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</si>
  <si>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</si>
  <si>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</si>
  <si>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</si>
  <si>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</si>
  <si>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</si>
  <si>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</si>
  <si>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</si>
  <si>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</si>
  <si>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</si>
  <si>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</si>
  <si>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</si>
  <si>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</si>
  <si>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</si>
  <si>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</si>
  <si>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</si>
  <si>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</si>
  <si>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</si>
  <si>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</si>
  <si>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</si>
  <si>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</si>
  <si>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</si>
  <si>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</si>
  <si>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</si>
  <si>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</si>
  <si>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</si>
  <si>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</si>
  <si>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</si>
  <si>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</si>
  <si>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</si>
  <si>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</si>
  <si>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</si>
  <si>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</si>
  <si>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</si>
  <si>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</si>
  <si>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</si>
  <si>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</si>
  <si>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</si>
  <si>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</si>
  <si>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</si>
  <si>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</si>
  <si>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</si>
  <si>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</si>
  <si>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</si>
  <si>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</si>
  <si>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</si>
  <si>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</si>
  <si>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</si>
  <si>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</si>
  <si>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</si>
  <si>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</si>
  <si>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</si>
  <si>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</si>
  <si>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</si>
  <si>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</si>
  <si>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</si>
  <si>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</si>
  <si>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</si>
  <si>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</si>
  <si>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</si>
  <si>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</si>
  <si>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</si>
  <si>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</si>
  <si>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</si>
  <si>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</si>
  <si>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</si>
  <si>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</si>
  <si>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</si>
  <si>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</si>
  <si>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</si>
  <si>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</si>
  <si>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</si>
  <si>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</si>
  <si>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</si>
  <si>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</si>
  <si>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</si>
  <si>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</si>
  <si>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</si>
  <si>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</si>
  <si>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</si>
  <si>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</si>
  <si>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</si>
  <si>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</si>
  <si>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</si>
  <si>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</si>
  <si>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</si>
  <si>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</si>
  <si>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</si>
  <si>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</si>
  <si>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</si>
  <si>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</si>
  <si>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</si>
  <si>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</si>
  <si>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</si>
  <si>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</si>
  <si>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</si>
  <si>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</si>
  <si>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</si>
  <si>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</si>
  <si>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</si>
  <si>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</si>
  <si>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</si>
  <si>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</si>
  <si>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</si>
  <si>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</si>
  <si>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</si>
  <si>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</si>
  <si>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</si>
  <si>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</si>
  <si>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</si>
  <si>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</si>
  <si>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</si>
  <si>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</si>
  <si>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</si>
  <si>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</si>
  <si>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</si>
  <si>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</si>
  <si>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</si>
  <si>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</si>
  <si>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</si>
  <si>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</si>
  <si>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</si>
  <si>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</si>
  <si>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</si>
  <si>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</si>
  <si>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</si>
  <si>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</si>
  <si>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</si>
  <si>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</si>
  <si>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</si>
  <si>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</si>
  <si>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</si>
  <si>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</si>
  <si>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</si>
  <si>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</si>
  <si>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</si>
  <si>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</si>
  <si>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</si>
  <si>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</si>
  <si>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</si>
  <si>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</si>
  <si>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</si>
  <si>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</si>
  <si>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</si>
  <si>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</si>
  <si>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</si>
  <si>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</si>
  <si>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</si>
  <si>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</si>
  <si>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</si>
  <si>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</si>
  <si>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</si>
  <si>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</si>
  <si>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</si>
  <si>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</si>
  <si>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</si>
  <si>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</si>
  <si>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</si>
  <si>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</si>
  <si>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</si>
  <si>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</si>
  <si>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</si>
  <si>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</si>
  <si>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</si>
  <si>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</si>
  <si>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</si>
  <si>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</si>
  <si>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</si>
  <si>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</si>
  <si>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</si>
  <si>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</si>
  <si>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</si>
  <si>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</si>
  <si>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</si>
  <si>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</si>
  <si>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</si>
  <si>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</si>
  <si>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</si>
  <si>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</si>
  <si>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</si>
  <si>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</si>
  <si>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</si>
  <si>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</si>
  <si>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</si>
  <si>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</si>
  <si>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</si>
  <si>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</si>
  <si>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</si>
  <si>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</si>
  <si>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</si>
  <si>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</si>
  <si>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</si>
  <si>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</si>
  <si>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</si>
  <si>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</si>
  <si>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</si>
  <si>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</si>
  <si>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</si>
  <si>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</si>
  <si>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</si>
  <si>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</si>
  <si>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</si>
  <si>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</si>
  <si>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</si>
  <si>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</si>
  <si>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</si>
  <si>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</si>
  <si>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</si>
  <si>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</si>
  <si>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</si>
  <si>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</si>
  <si>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</si>
  <si>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</si>
  <si>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</si>
  <si>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</si>
  <si>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</si>
  <si>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</si>
  <si>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</si>
  <si>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</si>
  <si>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</si>
  <si>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</si>
  <si>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</si>
  <si>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</si>
  <si>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</si>
  <si>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</si>
  <si>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</si>
  <si>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</si>
  <si>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</si>
  <si>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</si>
  <si>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</si>
  <si>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</si>
  <si>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</si>
  <si>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</si>
  <si>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</si>
  <si>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</si>
  <si>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</si>
  <si>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</si>
  <si>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</si>
  <si>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</si>
  <si>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</si>
  <si>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</si>
  <si>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</si>
  <si>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</si>
  <si>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</si>
  <si>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</si>
  <si>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</si>
  <si>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</si>
  <si>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</si>
  <si>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</si>
  <si>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</si>
  <si>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</si>
  <si>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</si>
  <si>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</si>
  <si>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</si>
  <si>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</si>
  <si>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</si>
  <si>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</si>
  <si>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</si>
  <si>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</si>
  <si>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</si>
  <si>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</si>
  <si>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</si>
  <si>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</si>
  <si>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</si>
  <si>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</si>
  <si>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</si>
  <si>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</si>
  <si>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</si>
  <si>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</si>
  <si>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</si>
  <si>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</si>
  <si>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</si>
  <si>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</si>
  <si>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</si>
  <si>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</si>
  <si>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Page broken (B11)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</si>
  <si>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</si>
  <si>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</si>
  <si>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</si>
  <si>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</si>
  <si>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</si>
  <si>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</si>
  <si>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</si>
  <si>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</si>
  <si>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</si>
  <si>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</si>
  <si>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</si>
  <si>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</si>
  <si>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</si>
  <si>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</si>
  <si>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</si>
  <si>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</si>
  <si>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</si>
  <si>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</si>
  <si>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</si>
  <si>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</si>
  <si>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</si>
  <si>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</si>
  <si>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</si>
  <si>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</si>
  <si>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</si>
  <si>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</si>
  <si>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</si>
  <si>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</si>
  <si>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</si>
  <si>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</si>
  <si>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</si>
  <si>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</si>
  <si>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</si>
  <si>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</si>
  <si>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</si>
  <si>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</si>
  <si>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</si>
  <si>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</si>
  <si>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</si>
  <si>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</si>
  <si>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</si>
  <si>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</si>
  <si>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</si>
  <si>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</si>
  <si>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</si>
  <si>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</si>
  <si>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</si>
  <si>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</si>
  <si>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</si>
  <si>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</si>
  <si>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</si>
  <si>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</si>
  <si>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</si>
  <si>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</si>
  <si>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</si>
  <si>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</si>
  <si>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</si>
  <si>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</si>
  <si>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</si>
  <si>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</si>
  <si>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</si>
  <si>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</si>
  <si>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</si>
  <si>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</si>
  <si>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</si>
  <si>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</si>
  <si>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</si>
  <si>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</si>
  <si>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</si>
  <si>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</si>
  <si>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</si>
  <si>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</si>
  <si>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</si>
  <si>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</si>
  <si>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</si>
  <si>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</si>
  <si>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</si>
  <si>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</si>
  <si>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</si>
  <si>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</si>
  <si>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</si>
  <si>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</si>
  <si>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</si>
  <si>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</si>
  <si>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</si>
  <si>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</si>
  <si>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</si>
  <si>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</si>
  <si>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</si>
  <si>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</si>
  <si>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</si>
  <si>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</si>
  <si>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</si>
  <si>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</si>
  <si>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</si>
  <si>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</si>
  <si>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</si>
  <si>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</si>
  <si>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</si>
  <si>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</si>
  <si>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</si>
  <si>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</si>
  <si>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</si>
  <si>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</si>
  <si>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</si>
  <si>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</si>
  <si>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</si>
  <si>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</si>
  <si>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</si>
  <si>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</si>
  <si>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</si>
  <si>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</si>
  <si>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</si>
  <si>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</si>
  <si>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</si>
  <si>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</si>
  <si>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</si>
  <si>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</si>
  <si>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</si>
  <si>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</si>
  <si>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</si>
  <si>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</si>
  <si>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</si>
  <si>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</si>
  <si>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</si>
  <si>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</si>
  <si>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</si>
  <si>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</si>
  <si>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</si>
  <si>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</si>
  <si>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</si>
  <si>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</si>
  <si>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</si>
  <si>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</si>
  <si>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</si>
  <si>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</si>
  <si>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</si>
  <si>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</si>
  <si>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</si>
  <si>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</si>
  <si>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</si>
  <si>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</si>
  <si>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</si>
  <si>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</si>
  <si>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</si>
  <si>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</si>
  <si>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</si>
  <si>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</si>
  <si>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</si>
  <si>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</si>
  <si>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</si>
  <si>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</si>
  <si>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</si>
  <si>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</si>
  <si>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</si>
  <si>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</si>
  <si>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</si>
  <si>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</si>
  <si>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</si>
  <si>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</si>
  <si>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</si>
  <si>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</si>
  <si>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</si>
  <si>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</si>
  <si>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</si>
  <si>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</si>
  <si>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</si>
  <si>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</si>
  <si>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</si>
  <si>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</si>
  <si>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</si>
  <si>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</si>
  <si>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</si>
  <si>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</si>
  <si>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</si>
  <si>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</si>
  <si>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</si>
  <si>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</si>
  <si>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</si>
  <si>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</si>
  <si>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</si>
  <si>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</si>
  <si>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</si>
  <si>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</si>
  <si>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</si>
  <si>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</si>
  <si>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Page broken (B9)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</si>
  <si>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</si>
  <si>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</si>
  <si>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</si>
  <si>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</si>
  <si>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</si>
  <si>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</si>
  <si>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</si>
  <si>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</si>
  <si>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</si>
  <si>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</si>
  <si>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</si>
  <si>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</si>
  <si>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</si>
  <si>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</si>
  <si>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</si>
  <si>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</si>
  <si>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</si>
  <si>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</si>
  <si>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</si>
  <si>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</si>
  <si>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</si>
  <si>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</si>
  <si>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</si>
  <si>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</si>
  <si>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</si>
  <si>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</si>
  <si>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</si>
  <si>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</si>
  <si>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</si>
  <si>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</si>
  <si>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</si>
  <si>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</si>
  <si>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</si>
  <si>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</si>
  <si>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</si>
  <si>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</si>
  <si>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</si>
  <si>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</si>
  <si>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</si>
  <si>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</si>
  <si>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</si>
  <si>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</si>
  <si>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</si>
  <si>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</si>
  <si>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</si>
  <si>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</si>
  <si>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</si>
  <si>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</si>
  <si>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</si>
  <si>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</si>
  <si>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</si>
  <si>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</si>
  <si>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</si>
  <si>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</si>
  <si>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</si>
  <si>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</si>
  <si>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</si>
  <si>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</si>
  <si>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</si>
  <si>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</si>
  <si>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</si>
  <si>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</si>
  <si>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</si>
  <si>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</si>
  <si>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</si>
  <si>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</si>
  <si>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</si>
  <si>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</si>
  <si>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</si>
  <si>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</si>
  <si>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</si>
  <si>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</si>
  <si>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</si>
  <si>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</si>
  <si>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</si>
  <si>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</si>
  <si>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</si>
  <si>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</si>
  <si>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</si>
  <si>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</si>
  <si>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</si>
  <si>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</si>
  <si>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</si>
  <si>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</si>
  <si>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</si>
  <si>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</si>
  <si>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Page broken (B12)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</si>
  <si>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</si>
  <si>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</si>
  <si>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</si>
  <si>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</si>
  <si>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</si>
  <si>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</si>
  <si>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</si>
  <si>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</si>
  <si>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</si>
  <si>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</si>
  <si>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</si>
  <si>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</si>
  <si>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</si>
  <si>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</si>
  <si>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</si>
  <si>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</si>
  <si>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</si>
  <si>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</si>
  <si>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</si>
  <si>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</si>
  <si>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</si>
  <si>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</si>
  <si>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</si>
  <si>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</si>
  <si>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</si>
  <si>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</si>
  <si>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</si>
  <si>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</si>
  <si>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</si>
  <si>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</si>
  <si>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</si>
  <si>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</si>
  <si>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</si>
  <si>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</si>
  <si>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</si>
  <si>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</si>
  <si>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</si>
  <si>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</si>
  <si>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</si>
  <si>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</si>
  <si>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</si>
  <si>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</si>
  <si>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</si>
  <si>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</si>
  <si>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</si>
  <si>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</si>
  <si>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</si>
  <si>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</si>
  <si>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</si>
  <si>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</si>
  <si>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Sticker to be changed (tiles)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</si>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</sst>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  <fill>
      <patternFill patternType="solid">
        <fgColor rgb="FFF2F2F2"/>
        <bgColor rgb="FFF2F2F2"/>
      </patternFill>
    </fill>
    <fill>
      <patternFill patternType="solid">
        <fgColor rgb="FFDAE3F3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8D0F0"/>
        <bgColor rgb="FFF2F2F2"/>
      </patternFill>
    </fill>
    <fill>
      <patternFill patternType="solid">
        <fgColor rgb="FFD9F0EF"/>
        <bgColor rgb="FFF2F2F2"/>
      </patternFill>
    </fill>
    <fill>
      <patternFill patternType="solid">
        <fgColor rgb="FFFFFFFF"/>
        <bgColor rgb="FF000000"/>
      </patternFill>
    </fill>
    <fill>
      <patternFill patternType="solid">
        <fgColor rgb="FFDAE3F3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8D0F0"/>
        <bgColor rgb="FF000000"/>
      </patternFill>
    </fill>
    <fill>
      <patternFill patternType="solid">
        <fgColor rgb="FFD9F0E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center" vertical="center"/>
    </xf>
    <xf numFmtId="0" fontId="6" fillId="17" borderId="1" xfId="0" applyFont="1" applyFill="1" applyBorder="1"/>
    <xf numFmtId="0" fontId="7" fillId="17" borderId="1" xfId="0" applyFont="1" applyFill="1" applyBorder="1"/>
    <xf numFmtId="0" fontId="6" fillId="18" borderId="1" xfId="0" applyFont="1" applyFill="1" applyBorder="1"/>
    <xf numFmtId="0" fontId="7" fillId="19" borderId="2" xfId="0" applyFont="1" applyFill="1" applyBorder="1"/>
    <xf numFmtId="0" fontId="6" fillId="20" borderId="1" xfId="0" applyFont="1" applyFill="1" applyBorder="1"/>
    <xf numFmtId="0" fontId="8" fillId="20" borderId="1" xfId="0" applyFont="1" applyFill="1" applyBorder="1"/>
    <xf numFmtId="0" fontId="6" fillId="21" borderId="1" xfId="0" applyFont="1" applyFill="1" applyBorder="1"/>
    <xf numFmtId="0" fontId="8" fillId="21" borderId="1" xfId="0" applyFont="1" applyFill="1" applyBorder="1"/>
    <xf numFmtId="0" fontId="6" fillId="22" borderId="1" xfId="0" applyFont="1" applyFill="1" applyBorder="1"/>
    <xf numFmtId="0" fontId="8" fillId="22" borderId="1" xfId="0" applyFont="1" applyFill="1" applyBorder="1"/>
    <xf numFmtId="0" fontId="6" fillId="23" borderId="3" xfId="0" applyFont="1" applyFill="1" applyBorder="1"/>
    <xf numFmtId="0" fontId="6" fillId="23" borderId="4" xfId="0" applyFont="1" applyFill="1" applyBorder="1"/>
    <xf numFmtId="0" fontId="7" fillId="23" borderId="4" xfId="0" applyFont="1" applyFill="1" applyBorder="1"/>
    <xf numFmtId="0" fontId="7" fillId="25" borderId="5" xfId="0" applyFont="1" applyFill="1" applyBorder="1"/>
    <xf numFmtId="0" fontId="6" fillId="24" borderId="3" xfId="0" applyFont="1" applyFill="1" applyBorder="1"/>
    <xf numFmtId="0" fontId="6" fillId="26" borderId="4" xfId="0" applyFont="1" applyFill="1" applyBorder="1"/>
    <xf numFmtId="0" fontId="6" fillId="26" borderId="3" xfId="0" applyFont="1" applyFill="1" applyBorder="1"/>
    <xf numFmtId="0" fontId="8" fillId="26" borderId="4" xfId="0" applyFont="1" applyFill="1" applyBorder="1"/>
    <xf numFmtId="0" fontId="6" fillId="27" borderId="4" xfId="0" applyFont="1" applyFill="1" applyBorder="1"/>
    <xf numFmtId="0" fontId="6" fillId="27" borderId="3" xfId="0" applyFont="1" applyFill="1" applyBorder="1"/>
    <xf numFmtId="0" fontId="8" fillId="27" borderId="4" xfId="0" applyFont="1" applyFill="1" applyBorder="1"/>
    <xf numFmtId="0" fontId="6" fillId="28" borderId="4" xfId="0" applyFont="1" applyFill="1" applyBorder="1"/>
    <xf numFmtId="0" fontId="6" fillId="28" borderId="3" xfId="0" applyFont="1" applyFill="1" applyBorder="1"/>
    <xf numFmtId="0" fontId="8" fillId="28" borderId="4" xfId="0" applyFont="1" applyFill="1" applyBorder="1"/>
    <xf numFmtId="14" fontId="15" fillId="16" borderId="1" xfId="0" applyNumberFormat="1" applyFont="1" applyFill="1" applyBorder="1" applyAlignment="1">
      <alignment horizontal="center" vertical="center"/>
    </xf>
    <xf numFmtId="164" fontId="6" fillId="12" borderId="1" xfId="0" applyNumberFormat="1" applyFont="1" applyFill="1" applyBorder="1" applyAlignment="1">
      <alignment horizontal="center" vertical="center"/>
    </xf>
    <xf numFmtId="164" fontId="6" fillId="20" borderId="1" xfId="0" applyNumberFormat="1" applyFont="1" applyFill="1" applyBorder="1"/>
    <xf numFmtId="164" fontId="6" fillId="26" borderId="4" xfId="0" applyNumberFormat="1" applyFont="1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84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85" t="s">
        <v>0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</row>
    <row r="2" spans="2:22" ht="15" customHeight="1" x14ac:dyDescent="0.3">
      <c r="B2" s="91" t="s">
        <v>1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</row>
    <row r="3" spans="2:22" ht="7.95" customHeight="1" x14ac:dyDescent="0.3"/>
    <row r="4" spans="2:22" ht="18" customHeight="1" x14ac:dyDescent="0.3">
      <c r="B4" s="1"/>
      <c r="C4" s="92" t="s">
        <v>2</v>
      </c>
      <c r="D4" s="76"/>
      <c r="E4" s="76"/>
      <c r="F4" s="77"/>
      <c r="G4" s="87" t="s">
        <v>3</v>
      </c>
      <c r="H4" s="76"/>
      <c r="I4" s="76"/>
      <c r="J4" s="77"/>
      <c r="K4" s="89" t="s">
        <v>4</v>
      </c>
      <c r="L4" s="76"/>
      <c r="M4" s="76"/>
      <c r="N4" s="77"/>
      <c r="O4" s="90" t="s">
        <v>5</v>
      </c>
      <c r="P4" s="76"/>
      <c r="Q4" s="76"/>
      <c r="R4" s="77"/>
      <c r="S4" s="88" t="s">
        <v>6</v>
      </c>
      <c r="T4" s="76"/>
      <c r="U4" s="76"/>
      <c r="V4" s="77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156</v>
      </c>
      <c r="E6" s="9">
        <f>COUNTIF(Laminates!M5:M296,"⚠ Check")+COUNTIF(Laminates!M5:M296,"⚠ Missing")+COUNTIF(Laminates!M5:M296,"❌ Disc")</f>
        <v>136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170</v>
      </c>
      <c r="I6" s="11">
        <f>COUNTIF(Laminates!V5:V296,"⚠ Check")+COUNTIF(Laminates!V5:V296,"⚠ Missing")+COUNTIF(Laminates!V5:V296,"❌ Disc")</f>
        <v>122</v>
      </c>
      <c r="J6" s="12">
        <f>IFERROR(COUNTIF(Laminates!N5:N296,"&lt;&gt;"&amp;"")/292,"—")</f>
        <v>1</v>
      </c>
      <c r="K6" s="13">
        <v>292</v>
      </c>
      <c r="L6" s="13">
        <f>COUNTIF(Laminates!AE5:AE296,"✓ OK")</f>
        <v>169</v>
      </c>
      <c r="M6" s="13">
        <f>COUNTIF(Laminates!AE5:AE296,"⚠ Check")+COUNTIF(Laminates!AE5:AE296,"⚠ Missing")+COUNTIF(Laminates!AE5:AE296,"❌ Disc")</f>
        <v>123</v>
      </c>
      <c r="N6" s="14">
        <f>IFERROR(COUNTIF(Laminates!W5:W296,"&lt;&gt;"&amp;"")/292,"—")</f>
        <v>1</v>
      </c>
      <c r="O6" s="15">
        <v>292</v>
      </c>
      <c r="P6" s="15">
        <f>COUNTIF(Laminates!AN5:AN296,"✓ OK")</f>
        <v>185</v>
      </c>
      <c r="Q6" s="15">
        <f>COUNTIF(Laminates!AN5:AN296,"⚠ Check")+COUNTIF(Laminates!AN5:AN296,"⚠ Missing")+COUNTIF(Laminates!AN5:AN296,"❌ Disc")</f>
        <v>107</v>
      </c>
      <c r="R6" s="16">
        <f>IFERROR(COUNTIF(Laminates!AF5:AF296,"&lt;&gt;"&amp;"")/292,"—")</f>
        <v>1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53</v>
      </c>
      <c r="I7" s="20">
        <f>COUNTIF('Acrylic n Crystal Acrylic'!V5:V67,"⚠ Check")+COUNTIF('Acrylic n Crystal Acrylic'!V5:V67,"⚠ Missing")+COUNTIF('Acrylic n Crystal Acrylic'!V5:V67,"❌ Disc")</f>
        <v>10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61</v>
      </c>
      <c r="M7" s="20">
        <f>COUNTIF('Acrylic n Crystal Acrylic'!AE5:AE67,"⚠ Check")+COUNTIF('Acrylic n Crystal Acrylic'!AE5:AE67,"⚠ Missing")+COUNTIF('Acrylic n Crystal Acrylic'!AE5:AE67,"❌ Disc")</f>
        <v>2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61</v>
      </c>
      <c r="Q7" s="20">
        <f>COUNTIF('Acrylic n Crystal Acrylic'!AN5:AN67,"⚠ Check")+COUNTIF('Acrylic n Crystal Acrylic'!AN5:AN67,"⚠ Missing")+COUNTIF('Acrylic n Crystal Acrylic'!AN5:AN67,"❌ Disc")</f>
        <v>2</v>
      </c>
      <c r="R7" s="21">
        <f>IFERROR(COUNTIF('Acrylic n Crystal Acrylic'!AF5:AF67,"&lt;&gt;"&amp;"")/63,"—")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72</v>
      </c>
      <c r="E8" s="9">
        <f>COUNTIF('PU and Membrane'!M5:M85,"⚠ Check")+COUNTIF('PU and Membrane'!M5:M85,"⚠ Missing")+COUNTIF('PU and Membrane'!M5:M85,"❌ Disc")</f>
        <v>9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72</v>
      </c>
      <c r="I8" s="11">
        <f>COUNTIF('PU and Membrane'!V5:V85,"⚠ Check")+COUNTIF('PU and Membrane'!V5:V85,"⚠ Missing")+COUNTIF('PU and Membrane'!V5:V85,"❌ Disc")</f>
        <v>9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72</v>
      </c>
      <c r="M8" s="13">
        <f>COUNTIF('PU and Membrane'!AE5:AE85,"⚠ Check")+COUNTIF('PU and Membrane'!AE5:AE85,"⚠ Missing")+COUNTIF('PU and Membrane'!AE5:AE85,"❌ Disc")</f>
        <v>9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79</v>
      </c>
      <c r="Q8" s="15">
        <f>COUNTIF('PU and Membrane'!AN5:AN85,"⚠ Check")+COUNTIF('PU and Membrane'!AN5:AN85,"⚠ Missing")+COUNTIF('PU and Membrane'!AN5:AN85,"❌ Disc")</f>
        <v>2</v>
      </c>
      <c r="R8" s="16">
        <f>IFERROR(COUNTIF('PU and Membrane'!AF5:AF85,"&lt;&gt;"&amp;"")/81,"—")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153</v>
      </c>
      <c r="E9" s="20">
        <f>COUNTIF(Rafters!M5:M168,"⚠ Check")+COUNTIF(Rafters!M5:M168,"⚠ Missing")+COUNTIF(Rafters!M5:M168,"❌ Disc")</f>
        <v>11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152</v>
      </c>
      <c r="I9" s="20">
        <f>COUNTIF(Rafters!V5:V168,"⚠ Check")+COUNTIF(Rafters!V5:V168,"⚠ Missing")+COUNTIF(Rafters!V5:V168,"❌ Disc")</f>
        <v>12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152</v>
      </c>
      <c r="M9" s="20">
        <f>COUNTIF(Rafters!AE5:AE168,"⚠ Check")+COUNTIF(Rafters!AE5:AE168,"⚠ Missing")+COUNTIF(Rafters!AE5:AE168,"❌ Disc")</f>
        <v>9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151</v>
      </c>
      <c r="Q9" s="20">
        <f>COUNTIF(Rafters!AN5:AN168,"⚠ Check")+COUNTIF(Rafters!AN5:AN168,"⚠ Missing")+COUNTIF(Rafters!AN5:AN168,"❌ Disc")</f>
        <v>10</v>
      </c>
      <c r="R9" s="21">
        <f>IFERROR(COUNTIF(Rafters!AF5:AF168,"&lt;&gt;"&amp;"")/164,"—")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1.8292682926829267E-2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916</v>
      </c>
      <c r="E10" s="9">
        <f>COUNTIF(Wallpaper!M5:M1413,"⚠ Check")+COUNTIF(Wallpaper!M5:M1413,"⚠ Missing")+COUNTIF(Wallpaper!M5:M1413,"❌ Disc")</f>
        <v>493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1400</v>
      </c>
      <c r="I10" s="11">
        <f>COUNTIF(Wallpaper!V5:V1413,"⚠ Check")+COUNTIF(Wallpaper!V5:V1413,"⚠ Missing")+COUNTIF(Wallpaper!V5:V1413,"❌ Disc")</f>
        <v>9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1401</v>
      </c>
      <c r="M10" s="13">
        <f>COUNTIF(Wallpaper!AE5:AE1413,"⚠ Check")+COUNTIF(Wallpaper!AE5:AE1413,"⚠ Missing")+COUNTIF(Wallpaper!AE5:AE1413,"❌ Disc")</f>
        <v>8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1409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32</v>
      </c>
      <c r="E11" s="20">
        <f>COUNTIF(Quartz!M5:M77,"⚠ Check")+COUNTIF(Quartz!M5:M77,"⚠ Missing")+COUNTIF(Quartz!M5:M77,"❌ Disc")</f>
        <v>41</v>
      </c>
      <c r="F11" s="21">
        <f>IFERROR(COUNTIF(Quartz!E5:E77,"&lt;&gt;"&amp;"")/73,"—")</f>
        <v>1</v>
      </c>
      <c r="G11" s="20">
        <v>73</v>
      </c>
      <c r="H11" s="20">
        <f>COUNTIF(Quartz!V5:V77,"✓ OK")</f>
        <v>27</v>
      </c>
      <c r="I11" s="20">
        <f>COUNTIF(Quartz!V5:V77,"⚠ Check")+COUNTIF(Quartz!V5:V77,"⚠ Missing")+COUNTIF(Quartz!V5:V77,"❌ Disc")</f>
        <v>46</v>
      </c>
      <c r="J11" s="21">
        <f>IFERROR(COUNTIF(Quartz!N5:N77,"&lt;&gt;"&amp;"")/73,"—")</f>
        <v>1</v>
      </c>
      <c r="K11" s="20">
        <v>73</v>
      </c>
      <c r="L11" s="20">
        <f>COUNTIF(Quartz!AE5:AE77,"✓ OK")</f>
        <v>54</v>
      </c>
      <c r="M11" s="20">
        <f>COUNTIF(Quartz!AE5:AE77,"⚠ Check")+COUNTIF(Quartz!AE5:AE77,"⚠ Missing")+COUNTIF(Quartz!AE5:AE77,"❌ Disc")</f>
        <v>19</v>
      </c>
      <c r="N11" s="21">
        <f>IFERROR(COUNTIF(Quartz!W5:W77,"&lt;&gt;"&amp;"")/73,"—")</f>
        <v>1</v>
      </c>
      <c r="O11" s="20">
        <v>73</v>
      </c>
      <c r="P11" s="20">
        <f>COUNTIF(Quartz!AN5:AN77,"✓ OK")</f>
        <v>54</v>
      </c>
      <c r="Q11" s="20">
        <f>COUNTIF(Quartz!AN5:AN77,"⚠ Check")+COUNTIF(Quartz!AN5:AN77,"⚠ Missing")+COUNTIF(Quartz!AN5:AN77,"❌ Disc")</f>
        <v>19</v>
      </c>
      <c r="R11" s="21">
        <f>IFERROR(COUNTIF(Quartz!AF5:AF77,"&lt;&gt;"&amp;"")/73,"—")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IFERROR(COUNTIF(Granite!E5:E15,"&lt;&gt;"&amp;"")/11,"—")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11</v>
      </c>
      <c r="L12" s="13">
        <f>COUNTIF(Granite!AE5:AE15,"✓ OK")</f>
        <v>10</v>
      </c>
      <c r="M12" s="13">
        <f>COUNTIF(Granite!AE5:AE15,"⚠ Check")+COUNTIF(Granite!AE5:AE15,"⚠ Missing")+COUNTIF(Granite!AE5:AE15,"❌ Disc")</f>
        <v>1</v>
      </c>
      <c r="N12" s="14">
        <f>IFERROR(COUNTIF(Granite!W5:W15,"&lt;&gt;"&amp;"")/11,"—")</f>
        <v>1</v>
      </c>
      <c r="O12" s="15">
        <v>11</v>
      </c>
      <c r="P12" s="15">
        <f>COUNTIF(Granite!AN5:AN15,"✓ OK")</f>
        <v>9</v>
      </c>
      <c r="Q12" s="15">
        <f>COUNTIF(Granite!AN5:AN15,"⚠ Check")+COUNTIF(Granite!AN5:AN15,"⚠ Missing")+COUNTIF(Granite!AN5:AN15,"❌ Disc")</f>
        <v>2</v>
      </c>
      <c r="R12" s="16">
        <f>IFERROR(COUNTIF(Granite!AF5:AF15,"&lt;&gt;"&amp;"")/11,"—")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21</v>
      </c>
      <c r="E13" s="20">
        <f>COUNTIF('Wooden Flooring'!M5:M26,"⚠ Check")+COUNTIF('Wooden Flooring'!M5:M26,"⚠ Missing")+COUNTIF('Wooden Flooring'!M5:M26,"❌ Disc")</f>
        <v>1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21</v>
      </c>
      <c r="I13" s="20">
        <f>COUNTIF('Wooden Flooring'!V5:V26,"⚠ Check")+COUNTIF('Wooden Flooring'!V5:V26,"⚠ Missing")+COUNTIF('Wooden Flooring'!V5:V26,"❌ Disc")</f>
        <v>1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21</v>
      </c>
      <c r="M13" s="20">
        <f>COUNTIF('Wooden Flooring'!AE5:AE26,"⚠ Check")+COUNTIF('Wooden Flooring'!AE5:AE26,"⚠ Missing")+COUNTIF('Wooden Flooring'!AE5:AE26,"❌ Disc")</f>
        <v>1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22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35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76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402</v>
      </c>
      <c r="Q16" s="15">
        <f>COUNTIF(Handles!AN5:AN516,"⚠ Check")+COUNTIF(Handles!AN5:AN516,"⚠ Missing")+COUNTIF(Handles!AN5:AN516,"❌ Disc")</f>
        <v>110</v>
      </c>
      <c r="R16" s="16">
        <f>IFERROR(COUNTIF(Handles!AF5:AF516,"&lt;&gt;"&amp;"")/512,"—")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0.60493827160493829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IFERROR(COUNTIF(Fabric!N5:N298,"&lt;&gt;"&amp;"")/486,"—")</f>
        <v>0.60493827160493829</v>
      </c>
      <c r="K17" s="20">
        <v>294</v>
      </c>
      <c r="L17" s="20">
        <f>COUNTIF(Fabric!AE5:AE298,"✓ OK")</f>
        <v>248</v>
      </c>
      <c r="M17" s="20">
        <f>COUNTIF(Fabric!AE5:AE298,"⚠ Check")+COUNTIF(Fabric!AE5:AE298,"⚠ Missing")+COUNTIF(Fabric!AE5:AE298,"❌ Disc")</f>
        <v>46</v>
      </c>
      <c r="N17" s="21">
        <f>IFERROR(COUNTIF(Fabric!W5:W298,"&lt;&gt;"&amp;"")/486,"—")</f>
        <v>0.60493827160493829</v>
      </c>
      <c r="O17" s="20">
        <v>294</v>
      </c>
      <c r="P17" s="20">
        <f>COUNTIF(Fabric!AN5:AN298,"✓ OK")</f>
        <v>254</v>
      </c>
      <c r="Q17" s="20">
        <f>COUNTIF(Fabric!AN5:AN298,"⚠ Check")+COUNTIF(Fabric!AN5:AN298,"⚠ Missing")+COUNTIF(Fabric!AN5:AN298,"❌ Disc")</f>
        <v>40</v>
      </c>
      <c r="R17" s="21">
        <f>IFERROR(COUNTIF(Fabric!AF5:AF298,"&lt;&gt;"&amp;"")/486,"—")</f>
        <v>0.60493827160493829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84" t="s">
        <v>24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7"/>
    </row>
    <row r="20" spans="2:22" hidden="1" x14ac:dyDescent="0.3">
      <c r="B20" s="88" t="s">
        <v>25</v>
      </c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7"/>
    </row>
    <row r="21" spans="2:22" ht="16.2" hidden="1" customHeight="1" x14ac:dyDescent="0.3">
      <c r="B21" s="86" t="s">
        <v>26</v>
      </c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7"/>
    </row>
    <row r="22" spans="2:22" ht="16.2" hidden="1" customHeight="1" x14ac:dyDescent="0.3">
      <c r="B22" s="83" t="s">
        <v>27</v>
      </c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7"/>
    </row>
    <row r="23" spans="2:22" ht="16.2" hidden="1" customHeight="1" x14ac:dyDescent="0.3">
      <c r="B23" s="86" t="s">
        <v>28</v>
      </c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7"/>
    </row>
    <row r="24" spans="2:22" ht="16.2" hidden="1" customHeight="1" x14ac:dyDescent="0.3">
      <c r="B24" s="83" t="s">
        <v>29</v>
      </c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7"/>
    </row>
    <row r="25" spans="2:22" ht="16.2" hidden="1" customHeight="1" x14ac:dyDescent="0.3">
      <c r="B25" s="86" t="s">
        <v>30</v>
      </c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7"/>
    </row>
    <row r="26" spans="2:22" ht="16.2" hidden="1" customHeight="1" x14ac:dyDescent="0.3">
      <c r="B26" s="83" t="s">
        <v>31</v>
      </c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tabSelected="1" workbookViewId="0">
      <pane xSplit="4" ySplit="4" topLeftCell="AF5" activePane="bottomRight" state="frozen"/>
      <selection pane="topRight" activeCell="H13" sqref="H13"/>
      <selection pane="bottomLeft" activeCell="H13" sqref="H13"/>
      <selection pane="bottomRight" activeCell="AF4" sqref="AF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2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57</v>
      </c>
      <c r="Q5" s="26" t="s">
        <v>56</v>
      </c>
      <c r="R5" s="26" t="s">
        <v>58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70">
        <v>46248</v>
      </c>
      <c r="X5" s="30" t="s">
        <v>55</v>
      </c>
      <c r="Y5" s="30" t="s">
        <v>57</v>
      </c>
      <c r="Z5" s="30" t="s">
        <v>56</v>
      </c>
      <c r="AA5" s="30" t="s">
        <v>60</v>
      </c>
      <c r="AB5" s="30" t="s">
        <v>57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❌ Disc</v>
      </c>
      <c r="AF5" s="33" t="s">
        <v>61</v>
      </c>
      <c r="AG5" s="33" t="s">
        <v>62</v>
      </c>
      <c r="AH5" s="33" t="s">
        <v>56</v>
      </c>
      <c r="AI5" s="33" t="s">
        <v>56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68" si="3">IF(AF5="","",IF(AI5="Yes","❌ Disc",IF(AH5="No","⚠ Missing",IF(AK5="Yes","✓ OK","⚠ Check"))))</f>
        <v>❌ Disc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63</v>
      </c>
      <c r="C6" s="41" t="s">
        <v>64</v>
      </c>
      <c r="D6" s="39" t="s">
        <v>54</v>
      </c>
      <c r="E6" s="42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42">
        <v>46193</v>
      </c>
      <c r="O6" s="26" t="s">
        <v>55</v>
      </c>
      <c r="P6" s="26" t="s">
        <v>57</v>
      </c>
      <c r="Q6" s="26" t="s">
        <v>56</v>
      </c>
      <c r="R6" s="26" t="s">
        <v>60</v>
      </c>
      <c r="S6" s="26" t="s">
        <v>57</v>
      </c>
      <c r="T6" s="27"/>
      <c r="U6" s="28" t="s">
        <v>57</v>
      </c>
      <c r="V6" s="29" t="str">
        <f t="shared" si="1"/>
        <v>❌ Disc</v>
      </c>
      <c r="W6" s="70">
        <v>46248</v>
      </c>
      <c r="X6" s="30" t="s">
        <v>55</v>
      </c>
      <c r="Y6" s="30" t="s">
        <v>57</v>
      </c>
      <c r="Z6" s="30" t="s">
        <v>56</v>
      </c>
      <c r="AA6" s="30" t="s">
        <v>60</v>
      </c>
      <c r="AB6" s="30" t="s">
        <v>57</v>
      </c>
      <c r="AC6" s="27"/>
      <c r="AD6" s="31" t="s">
        <v>57</v>
      </c>
      <c r="AE6" s="32" t="str">
        <f t="shared" si="2"/>
        <v>❌ Disc</v>
      </c>
      <c r="AF6" s="33" t="s">
        <v>61</v>
      </c>
      <c r="AG6" s="33" t="s">
        <v>62</v>
      </c>
      <c r="AH6" s="33" t="s">
        <v>56</v>
      </c>
      <c r="AI6" s="33" t="s">
        <v>56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❌ Disc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</v>
      </c>
      <c r="C7" s="25" t="s">
        <v>66</v>
      </c>
      <c r="D7" s="23" t="s">
        <v>54</v>
      </c>
      <c r="E7" s="42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57</v>
      </c>
      <c r="Q7" s="26" t="s">
        <v>56</v>
      </c>
      <c r="R7" s="26" t="s">
        <v>60</v>
      </c>
      <c r="S7" s="26" t="s">
        <v>57</v>
      </c>
      <c r="T7" s="27"/>
      <c r="U7" s="28" t="s">
        <v>57</v>
      </c>
      <c r="V7" s="29" t="str">
        <f t="shared" si="1"/>
        <v>❌ Disc</v>
      </c>
      <c r="W7" s="70">
        <v>46248</v>
      </c>
      <c r="X7" s="30" t="s">
        <v>55</v>
      </c>
      <c r="Y7" s="30" t="s">
        <v>57</v>
      </c>
      <c r="Z7" s="30" t="s">
        <v>56</v>
      </c>
      <c r="AA7" s="30" t="s">
        <v>60</v>
      </c>
      <c r="AB7" s="30" t="s">
        <v>57</v>
      </c>
      <c r="AC7" s="27"/>
      <c r="AD7" s="31" t="s">
        <v>57</v>
      </c>
      <c r="AE7" s="32" t="str">
        <f t="shared" si="2"/>
        <v>❌ Disc</v>
      </c>
      <c r="AF7" s="33" t="s">
        <v>61</v>
      </c>
      <c r="AG7" s="33" t="s">
        <v>62</v>
      </c>
      <c r="AH7" s="33" t="s">
        <v>57</v>
      </c>
      <c r="AI7" s="33" t="s">
        <v>56</v>
      </c>
      <c r="AJ7" s="33" t="s">
        <v>60</v>
      </c>
      <c r="AK7" s="33" t="s">
        <v>57</v>
      </c>
      <c r="AL7" s="27"/>
      <c r="AM7" s="34" t="s">
        <v>57</v>
      </c>
      <c r="AN7" s="35" t="str">
        <f t="shared" si="3"/>
        <v>❌ Disc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67</v>
      </c>
      <c r="C8" s="41" t="s">
        <v>68</v>
      </c>
      <c r="D8" s="39" t="s">
        <v>54</v>
      </c>
      <c r="E8" s="42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57</v>
      </c>
      <c r="Q8" s="26" t="s">
        <v>56</v>
      </c>
      <c r="R8" s="26" t="s">
        <v>60</v>
      </c>
      <c r="S8" s="26" t="s">
        <v>57</v>
      </c>
      <c r="T8" s="27"/>
      <c r="U8" s="28" t="s">
        <v>57</v>
      </c>
      <c r="V8" s="29" t="str">
        <f t="shared" si="1"/>
        <v>❌ Disc</v>
      </c>
      <c r="W8" s="70">
        <v>46248</v>
      </c>
      <c r="X8" s="30" t="s">
        <v>55</v>
      </c>
      <c r="Y8" s="30" t="s">
        <v>57</v>
      </c>
      <c r="Z8" s="30" t="s">
        <v>56</v>
      </c>
      <c r="AA8" s="30" t="s">
        <v>60</v>
      </c>
      <c r="AB8" s="30" t="s">
        <v>57</v>
      </c>
      <c r="AC8" s="27"/>
      <c r="AD8" s="31" t="s">
        <v>57</v>
      </c>
      <c r="AE8" s="32" t="str">
        <f t="shared" si="2"/>
        <v>❌ Disc</v>
      </c>
      <c r="AF8" s="33" t="s">
        <v>61</v>
      </c>
      <c r="AG8" s="33" t="s">
        <v>62</v>
      </c>
      <c r="AH8" s="33" t="s">
        <v>57</v>
      </c>
      <c r="AI8" s="33" t="s">
        <v>56</v>
      </c>
      <c r="AJ8" s="33" t="s">
        <v>60</v>
      </c>
      <c r="AK8" s="33" t="s">
        <v>57</v>
      </c>
      <c r="AL8" s="27"/>
      <c r="AM8" s="34" t="s">
        <v>57</v>
      </c>
      <c r="AN8" s="35" t="str">
        <f t="shared" si="3"/>
        <v>❌ Disc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69</v>
      </c>
      <c r="C9" s="25" t="s">
        <v>70</v>
      </c>
      <c r="D9" s="23" t="s">
        <v>54</v>
      </c>
      <c r="E9" s="42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57</v>
      </c>
      <c r="Q9" s="26" t="s">
        <v>56</v>
      </c>
      <c r="R9" s="26" t="s">
        <v>60</v>
      </c>
      <c r="S9" s="26" t="s">
        <v>57</v>
      </c>
      <c r="T9" s="27"/>
      <c r="U9" s="28" t="s">
        <v>57</v>
      </c>
      <c r="V9" s="29" t="str">
        <f t="shared" si="1"/>
        <v>❌ Disc</v>
      </c>
      <c r="W9" s="70">
        <v>46248</v>
      </c>
      <c r="X9" s="30" t="s">
        <v>55</v>
      </c>
      <c r="Y9" s="30" t="s">
        <v>57</v>
      </c>
      <c r="Z9" s="30" t="s">
        <v>56</v>
      </c>
      <c r="AA9" s="30" t="s">
        <v>60</v>
      </c>
      <c r="AB9" s="30" t="s">
        <v>57</v>
      </c>
      <c r="AC9" s="27"/>
      <c r="AD9" s="31" t="s">
        <v>57</v>
      </c>
      <c r="AE9" s="32" t="str">
        <f t="shared" si="2"/>
        <v>❌ Disc</v>
      </c>
      <c r="AF9" s="33" t="s">
        <v>61</v>
      </c>
      <c r="AG9" s="33" t="s">
        <v>62</v>
      </c>
      <c r="AH9" s="33" t="s">
        <v>57</v>
      </c>
      <c r="AI9" s="33" t="s">
        <v>56</v>
      </c>
      <c r="AJ9" s="33" t="s">
        <v>60</v>
      </c>
      <c r="AK9" s="33" t="s">
        <v>57</v>
      </c>
      <c r="AL9" s="27"/>
      <c r="AM9" s="34" t="s">
        <v>57</v>
      </c>
      <c r="AN9" s="35" t="str">
        <f t="shared" si="3"/>
        <v>❌ Disc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71</v>
      </c>
      <c r="C10" s="41" t="s">
        <v>72</v>
      </c>
      <c r="D10" s="39" t="s">
        <v>73</v>
      </c>
      <c r="E10" s="42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74</v>
      </c>
      <c r="L10" s="28" t="s">
        <v>56</v>
      </c>
      <c r="M10" s="29" t="str">
        <f t="shared" si="0"/>
        <v>⚠ Check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74</v>
      </c>
      <c r="U10" s="28" t="s">
        <v>56</v>
      </c>
      <c r="V10" s="29" t="str">
        <f t="shared" si="1"/>
        <v>⚠ Check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57</v>
      </c>
      <c r="AC10" s="27" t="s">
        <v>74</v>
      </c>
      <c r="AD10" s="31" t="s">
        <v>56</v>
      </c>
      <c r="AE10" s="32" t="str">
        <f t="shared" si="2"/>
        <v>⚠ Check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75</v>
      </c>
      <c r="C11" s="25" t="s">
        <v>76</v>
      </c>
      <c r="D11" s="23" t="s">
        <v>73</v>
      </c>
      <c r="E11" s="42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77</v>
      </c>
      <c r="L11" s="28" t="s">
        <v>56</v>
      </c>
      <c r="M11" s="29" t="str">
        <f t="shared" si="0"/>
        <v>⚠ Check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57</v>
      </c>
      <c r="T11" s="27" t="s">
        <v>77</v>
      </c>
      <c r="U11" s="28" t="s">
        <v>56</v>
      </c>
      <c r="V11" s="29" t="str">
        <f t="shared" si="1"/>
        <v>⚠ Check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56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78</v>
      </c>
      <c r="C12" s="41" t="s">
        <v>79</v>
      </c>
      <c r="D12" s="39" t="s">
        <v>73</v>
      </c>
      <c r="E12" s="42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80</v>
      </c>
      <c r="C13" s="25" t="s">
        <v>81</v>
      </c>
      <c r="D13" s="23" t="s">
        <v>73</v>
      </c>
      <c r="E13" s="42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82</v>
      </c>
      <c r="C14" s="41" t="s">
        <v>83</v>
      </c>
      <c r="D14" s="39" t="s">
        <v>73</v>
      </c>
      <c r="E14" s="42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84</v>
      </c>
      <c r="C15" s="25" t="s">
        <v>85</v>
      </c>
      <c r="D15" s="23" t="s">
        <v>73</v>
      </c>
      <c r="E15" s="42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86</v>
      </c>
      <c r="C16" s="41" t="s">
        <v>87</v>
      </c>
      <c r="D16" s="39" t="s">
        <v>73</v>
      </c>
      <c r="E16" s="42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77</v>
      </c>
      <c r="L16" s="28" t="s">
        <v>56</v>
      </c>
      <c r="M16" s="29" t="str">
        <f t="shared" si="0"/>
        <v>⚠ Check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77</v>
      </c>
      <c r="U16" s="28" t="s">
        <v>56</v>
      </c>
      <c r="V16" s="29" t="str">
        <f t="shared" si="1"/>
        <v>⚠ Check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56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88</v>
      </c>
      <c r="C17" s="25" t="s">
        <v>89</v>
      </c>
      <c r="D17" s="23" t="s">
        <v>73</v>
      </c>
      <c r="E17" s="42">
        <v>46128</v>
      </c>
      <c r="F17" s="26" t="s">
        <v>55</v>
      </c>
      <c r="G17" s="26" t="s">
        <v>57</v>
      </c>
      <c r="H17" s="26" t="s">
        <v>57</v>
      </c>
      <c r="I17" s="26" t="s">
        <v>90</v>
      </c>
      <c r="J17" s="26" t="s">
        <v>57</v>
      </c>
      <c r="K17" s="27" t="s">
        <v>91</v>
      </c>
      <c r="L17" s="28" t="s">
        <v>56</v>
      </c>
      <c r="M17" s="29" t="str">
        <f t="shared" si="0"/>
        <v>⚠ Missing</v>
      </c>
      <c r="N17" s="42">
        <v>46193</v>
      </c>
      <c r="O17" s="26" t="s">
        <v>55</v>
      </c>
      <c r="P17" s="26" t="s">
        <v>57</v>
      </c>
      <c r="Q17" s="26" t="s">
        <v>57</v>
      </c>
      <c r="R17" s="26" t="s">
        <v>90</v>
      </c>
      <c r="S17" s="26" t="s">
        <v>57</v>
      </c>
      <c r="T17" s="27" t="s">
        <v>91</v>
      </c>
      <c r="U17" s="28" t="s">
        <v>56</v>
      </c>
      <c r="V17" s="29" t="str">
        <f t="shared" si="1"/>
        <v>⚠ Missing</v>
      </c>
      <c r="W17" s="70">
        <v>46248</v>
      </c>
      <c r="X17" s="30" t="s">
        <v>55</v>
      </c>
      <c r="Y17" s="30" t="s">
        <v>57</v>
      </c>
      <c r="Z17" s="30" t="s">
        <v>57</v>
      </c>
      <c r="AA17" s="30" t="s">
        <v>90</v>
      </c>
      <c r="AB17" s="30" t="s">
        <v>57</v>
      </c>
      <c r="AC17" s="27" t="s">
        <v>91</v>
      </c>
      <c r="AD17" s="31" t="s">
        <v>56</v>
      </c>
      <c r="AE17" s="32" t="str">
        <f t="shared" si="2"/>
        <v>⚠ Missing</v>
      </c>
      <c r="AF17" s="33" t="s">
        <v>61</v>
      </c>
      <c r="AG17" s="33" t="s">
        <v>55</v>
      </c>
      <c r="AH17" s="33" t="s">
        <v>57</v>
      </c>
      <c r="AI17" s="33" t="s">
        <v>57</v>
      </c>
      <c r="AJ17" s="33" t="s">
        <v>90</v>
      </c>
      <c r="AK17" s="33" t="s">
        <v>57</v>
      </c>
      <c r="AL17" s="27" t="s">
        <v>91</v>
      </c>
      <c r="AM17" s="34" t="s">
        <v>56</v>
      </c>
      <c r="AN17" s="35" t="str">
        <f t="shared" si="3"/>
        <v>⚠ Missing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92</v>
      </c>
      <c r="C18" s="41" t="s">
        <v>93</v>
      </c>
      <c r="D18" s="39" t="s">
        <v>73</v>
      </c>
      <c r="E18" s="42">
        <v>46128</v>
      </c>
      <c r="F18" s="26" t="s">
        <v>55</v>
      </c>
      <c r="G18" s="26" t="s">
        <v>57</v>
      </c>
      <c r="H18" s="26" t="s">
        <v>57</v>
      </c>
      <c r="I18" s="26" t="s">
        <v>90</v>
      </c>
      <c r="J18" s="26" t="s">
        <v>57</v>
      </c>
      <c r="K18" s="27" t="s">
        <v>91</v>
      </c>
      <c r="L18" s="28" t="s">
        <v>56</v>
      </c>
      <c r="M18" s="29" t="str">
        <f t="shared" si="0"/>
        <v>⚠ Missing</v>
      </c>
      <c r="N18" s="42">
        <v>46193</v>
      </c>
      <c r="O18" s="26" t="s">
        <v>55</v>
      </c>
      <c r="P18" s="26" t="s">
        <v>57</v>
      </c>
      <c r="Q18" s="26" t="s">
        <v>57</v>
      </c>
      <c r="R18" s="26" t="s">
        <v>90</v>
      </c>
      <c r="S18" s="26" t="s">
        <v>57</v>
      </c>
      <c r="T18" s="27" t="s">
        <v>91</v>
      </c>
      <c r="U18" s="28" t="s">
        <v>56</v>
      </c>
      <c r="V18" s="29" t="str">
        <f t="shared" si="1"/>
        <v>⚠ Missing</v>
      </c>
      <c r="W18" s="70">
        <v>46248</v>
      </c>
      <c r="X18" s="30" t="s">
        <v>55</v>
      </c>
      <c r="Y18" s="30" t="s">
        <v>57</v>
      </c>
      <c r="Z18" s="30" t="s">
        <v>57</v>
      </c>
      <c r="AA18" s="30" t="s">
        <v>90</v>
      </c>
      <c r="AB18" s="30" t="s">
        <v>57</v>
      </c>
      <c r="AC18" s="27" t="s">
        <v>91</v>
      </c>
      <c r="AD18" s="31" t="s">
        <v>56</v>
      </c>
      <c r="AE18" s="32" t="str">
        <f t="shared" si="2"/>
        <v>⚠ Missing</v>
      </c>
      <c r="AF18" s="33" t="s">
        <v>61</v>
      </c>
      <c r="AG18" s="33" t="s">
        <v>55</v>
      </c>
      <c r="AH18" s="33" t="s">
        <v>57</v>
      </c>
      <c r="AI18" s="33" t="s">
        <v>57</v>
      </c>
      <c r="AJ18" s="33" t="s">
        <v>90</v>
      </c>
      <c r="AK18" s="33" t="s">
        <v>57</v>
      </c>
      <c r="AL18" s="27" t="s">
        <v>91</v>
      </c>
      <c r="AM18" s="34" t="s">
        <v>56</v>
      </c>
      <c r="AN18" s="35" t="str">
        <f t="shared" si="3"/>
        <v>⚠ Missing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94</v>
      </c>
      <c r="C19" s="25" t="s">
        <v>95</v>
      </c>
      <c r="D19" s="23" t="s">
        <v>73</v>
      </c>
      <c r="E19" s="42">
        <v>46128</v>
      </c>
      <c r="F19" s="26" t="s">
        <v>55</v>
      </c>
      <c r="G19" s="26" t="s">
        <v>57</v>
      </c>
      <c r="H19" s="26" t="s">
        <v>57</v>
      </c>
      <c r="I19" s="26" t="s">
        <v>90</v>
      </c>
      <c r="J19" s="26" t="s">
        <v>57</v>
      </c>
      <c r="K19" s="27" t="s">
        <v>91</v>
      </c>
      <c r="L19" s="28" t="s">
        <v>56</v>
      </c>
      <c r="M19" s="29" t="str">
        <f t="shared" si="0"/>
        <v>⚠ Missing</v>
      </c>
      <c r="N19" s="42">
        <v>46193</v>
      </c>
      <c r="O19" s="26" t="s">
        <v>55</v>
      </c>
      <c r="P19" s="26" t="s">
        <v>57</v>
      </c>
      <c r="Q19" s="26" t="s">
        <v>57</v>
      </c>
      <c r="R19" s="26" t="s">
        <v>90</v>
      </c>
      <c r="S19" s="26" t="s">
        <v>57</v>
      </c>
      <c r="T19" s="27" t="s">
        <v>91</v>
      </c>
      <c r="U19" s="28" t="s">
        <v>56</v>
      </c>
      <c r="V19" s="29" t="str">
        <f t="shared" si="1"/>
        <v>⚠ Missing</v>
      </c>
      <c r="W19" s="70">
        <v>46248</v>
      </c>
      <c r="X19" s="30" t="s">
        <v>55</v>
      </c>
      <c r="Y19" s="30" t="s">
        <v>57</v>
      </c>
      <c r="Z19" s="30" t="s">
        <v>57</v>
      </c>
      <c r="AA19" s="30" t="s">
        <v>90</v>
      </c>
      <c r="AB19" s="30" t="s">
        <v>57</v>
      </c>
      <c r="AC19" s="27" t="s">
        <v>91</v>
      </c>
      <c r="AD19" s="31" t="s">
        <v>56</v>
      </c>
      <c r="AE19" s="32" t="str">
        <f t="shared" si="2"/>
        <v>⚠ Missing</v>
      </c>
      <c r="AF19" s="33" t="s">
        <v>61</v>
      </c>
      <c r="AG19" s="33" t="s">
        <v>55</v>
      </c>
      <c r="AH19" s="33" t="s">
        <v>57</v>
      </c>
      <c r="AI19" s="33" t="s">
        <v>57</v>
      </c>
      <c r="AJ19" s="33" t="s">
        <v>90</v>
      </c>
      <c r="AK19" s="33" t="s">
        <v>57</v>
      </c>
      <c r="AL19" s="27" t="s">
        <v>91</v>
      </c>
      <c r="AM19" s="34" t="s">
        <v>56</v>
      </c>
      <c r="AN19" s="35" t="str">
        <f t="shared" si="3"/>
        <v>⚠ Missing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96</v>
      </c>
      <c r="C20" s="41" t="s">
        <v>97</v>
      </c>
      <c r="D20" s="39" t="s">
        <v>73</v>
      </c>
      <c r="E20" s="42">
        <v>46128</v>
      </c>
      <c r="F20" s="26" t="s">
        <v>55</v>
      </c>
      <c r="G20" s="26" t="s">
        <v>57</v>
      </c>
      <c r="H20" s="26" t="s">
        <v>57</v>
      </c>
      <c r="I20" s="26" t="s">
        <v>90</v>
      </c>
      <c r="J20" s="26" t="s">
        <v>57</v>
      </c>
      <c r="K20" s="27" t="s">
        <v>91</v>
      </c>
      <c r="L20" s="28" t="s">
        <v>56</v>
      </c>
      <c r="M20" s="29" t="str">
        <f t="shared" si="0"/>
        <v>⚠ Missing</v>
      </c>
      <c r="N20" s="42">
        <v>46193</v>
      </c>
      <c r="O20" s="26" t="s">
        <v>55</v>
      </c>
      <c r="P20" s="26" t="s">
        <v>57</v>
      </c>
      <c r="Q20" s="26" t="s">
        <v>57</v>
      </c>
      <c r="R20" s="26" t="s">
        <v>90</v>
      </c>
      <c r="S20" s="26" t="s">
        <v>57</v>
      </c>
      <c r="T20" s="27" t="s">
        <v>91</v>
      </c>
      <c r="U20" s="28" t="s">
        <v>56</v>
      </c>
      <c r="V20" s="29" t="str">
        <f t="shared" si="1"/>
        <v>⚠ Missing</v>
      </c>
      <c r="W20" s="70">
        <v>46248</v>
      </c>
      <c r="X20" s="30" t="s">
        <v>55</v>
      </c>
      <c r="Y20" s="30" t="s">
        <v>57</v>
      </c>
      <c r="Z20" s="30" t="s">
        <v>57</v>
      </c>
      <c r="AA20" s="30" t="s">
        <v>90</v>
      </c>
      <c r="AB20" s="30" t="s">
        <v>57</v>
      </c>
      <c r="AC20" s="27" t="s">
        <v>91</v>
      </c>
      <c r="AD20" s="31" t="s">
        <v>56</v>
      </c>
      <c r="AE20" s="32" t="str">
        <f t="shared" si="2"/>
        <v>⚠ Missing</v>
      </c>
      <c r="AF20" s="33" t="s">
        <v>61</v>
      </c>
      <c r="AG20" s="33" t="s">
        <v>55</v>
      </c>
      <c r="AH20" s="33" t="s">
        <v>57</v>
      </c>
      <c r="AI20" s="33" t="s">
        <v>57</v>
      </c>
      <c r="AJ20" s="33" t="s">
        <v>90</v>
      </c>
      <c r="AK20" s="33" t="s">
        <v>57</v>
      </c>
      <c r="AL20" s="27" t="s">
        <v>91</v>
      </c>
      <c r="AM20" s="34" t="s">
        <v>56</v>
      </c>
      <c r="AN20" s="35" t="str">
        <f t="shared" si="3"/>
        <v>⚠ Missing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98</v>
      </c>
      <c r="C21" s="25" t="s">
        <v>99</v>
      </c>
      <c r="D21" s="23" t="s">
        <v>73</v>
      </c>
      <c r="E21" s="42">
        <v>46128</v>
      </c>
      <c r="F21" s="26" t="s">
        <v>55</v>
      </c>
      <c r="G21" s="26" t="s">
        <v>57</v>
      </c>
      <c r="H21" s="26" t="s">
        <v>57</v>
      </c>
      <c r="I21" s="26" t="s">
        <v>90</v>
      </c>
      <c r="J21" s="26" t="s">
        <v>57</v>
      </c>
      <c r="K21" s="27" t="s">
        <v>91</v>
      </c>
      <c r="L21" s="28" t="s">
        <v>56</v>
      </c>
      <c r="M21" s="29" t="str">
        <f t="shared" si="0"/>
        <v>⚠ Missing</v>
      </c>
      <c r="N21" s="42">
        <v>46193</v>
      </c>
      <c r="O21" s="26" t="s">
        <v>55</v>
      </c>
      <c r="P21" s="26" t="s">
        <v>57</v>
      </c>
      <c r="Q21" s="26" t="s">
        <v>57</v>
      </c>
      <c r="R21" s="26" t="s">
        <v>90</v>
      </c>
      <c r="S21" s="26" t="s">
        <v>57</v>
      </c>
      <c r="T21" s="27" t="s">
        <v>91</v>
      </c>
      <c r="U21" s="28" t="s">
        <v>56</v>
      </c>
      <c r="V21" s="29" t="str">
        <f t="shared" si="1"/>
        <v>⚠ Missing</v>
      </c>
      <c r="W21" s="70">
        <v>46248</v>
      </c>
      <c r="X21" s="30" t="s">
        <v>55</v>
      </c>
      <c r="Y21" s="30" t="s">
        <v>57</v>
      </c>
      <c r="Z21" s="30" t="s">
        <v>57</v>
      </c>
      <c r="AA21" s="30" t="s">
        <v>90</v>
      </c>
      <c r="AB21" s="30" t="s">
        <v>57</v>
      </c>
      <c r="AC21" s="27" t="s">
        <v>91</v>
      </c>
      <c r="AD21" s="31" t="s">
        <v>56</v>
      </c>
      <c r="AE21" s="32" t="str">
        <f t="shared" si="2"/>
        <v>⚠ Missing</v>
      </c>
      <c r="AF21" s="33" t="s">
        <v>61</v>
      </c>
      <c r="AG21" s="33" t="s">
        <v>55</v>
      </c>
      <c r="AH21" s="33" t="s">
        <v>57</v>
      </c>
      <c r="AI21" s="33" t="s">
        <v>57</v>
      </c>
      <c r="AJ21" s="33" t="s">
        <v>90</v>
      </c>
      <c r="AK21" s="33" t="s">
        <v>57</v>
      </c>
      <c r="AL21" s="27" t="s">
        <v>91</v>
      </c>
      <c r="AM21" s="34" t="s">
        <v>56</v>
      </c>
      <c r="AN21" s="35" t="str">
        <f t="shared" si="3"/>
        <v>⚠ Missing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100</v>
      </c>
      <c r="C22" s="41" t="s">
        <v>101</v>
      </c>
      <c r="D22" s="39" t="s">
        <v>73</v>
      </c>
      <c r="E22" s="42">
        <v>46128</v>
      </c>
      <c r="F22" s="26" t="s">
        <v>55</v>
      </c>
      <c r="G22" s="26" t="s">
        <v>57</v>
      </c>
      <c r="H22" s="26" t="s">
        <v>57</v>
      </c>
      <c r="I22" s="26" t="s">
        <v>90</v>
      </c>
      <c r="J22" s="26" t="s">
        <v>57</v>
      </c>
      <c r="K22" s="27" t="s">
        <v>91</v>
      </c>
      <c r="L22" s="28" t="s">
        <v>56</v>
      </c>
      <c r="M22" s="29" t="str">
        <f t="shared" si="0"/>
        <v>⚠ Missing</v>
      </c>
      <c r="N22" s="42">
        <v>46193</v>
      </c>
      <c r="O22" s="26" t="s">
        <v>55</v>
      </c>
      <c r="P22" s="26" t="s">
        <v>57</v>
      </c>
      <c r="Q22" s="26" t="s">
        <v>57</v>
      </c>
      <c r="R22" s="26" t="s">
        <v>90</v>
      </c>
      <c r="S22" s="26" t="s">
        <v>57</v>
      </c>
      <c r="T22" s="27" t="s">
        <v>91</v>
      </c>
      <c r="U22" s="28" t="s">
        <v>56</v>
      </c>
      <c r="V22" s="29" t="str">
        <f t="shared" si="1"/>
        <v>⚠ Missing</v>
      </c>
      <c r="W22" s="70">
        <v>46248</v>
      </c>
      <c r="X22" s="30" t="s">
        <v>55</v>
      </c>
      <c r="Y22" s="30" t="s">
        <v>57</v>
      </c>
      <c r="Z22" s="30" t="s">
        <v>57</v>
      </c>
      <c r="AA22" s="30" t="s">
        <v>90</v>
      </c>
      <c r="AB22" s="30" t="s">
        <v>57</v>
      </c>
      <c r="AC22" s="27" t="s">
        <v>91</v>
      </c>
      <c r="AD22" s="31" t="s">
        <v>56</v>
      </c>
      <c r="AE22" s="32" t="str">
        <f t="shared" si="2"/>
        <v>⚠ Missing</v>
      </c>
      <c r="AF22" s="33" t="s">
        <v>61</v>
      </c>
      <c r="AG22" s="33" t="s">
        <v>55</v>
      </c>
      <c r="AH22" s="33" t="s">
        <v>57</v>
      </c>
      <c r="AI22" s="33" t="s">
        <v>57</v>
      </c>
      <c r="AJ22" s="33" t="s">
        <v>90</v>
      </c>
      <c r="AK22" s="33" t="s">
        <v>57</v>
      </c>
      <c r="AL22" s="27" t="s">
        <v>91</v>
      </c>
      <c r="AM22" s="34" t="s">
        <v>56</v>
      </c>
      <c r="AN22" s="35" t="str">
        <f t="shared" si="3"/>
        <v>⚠ Missing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102</v>
      </c>
      <c r="C23" s="25" t="s">
        <v>103</v>
      </c>
      <c r="D23" s="23" t="s">
        <v>73</v>
      </c>
      <c r="E23" s="42">
        <v>46128</v>
      </c>
      <c r="F23" s="26" t="s">
        <v>55</v>
      </c>
      <c r="G23" s="26" t="s">
        <v>57</v>
      </c>
      <c r="H23" s="26" t="s">
        <v>57</v>
      </c>
      <c r="I23" s="26" t="s">
        <v>90</v>
      </c>
      <c r="J23" s="26" t="s">
        <v>57</v>
      </c>
      <c r="K23" s="27" t="s">
        <v>91</v>
      </c>
      <c r="L23" s="28" t="s">
        <v>56</v>
      </c>
      <c r="M23" s="29" t="str">
        <f t="shared" si="0"/>
        <v>⚠ Missing</v>
      </c>
      <c r="N23" s="42">
        <v>46193</v>
      </c>
      <c r="O23" s="26" t="s">
        <v>55</v>
      </c>
      <c r="P23" s="26" t="s">
        <v>57</v>
      </c>
      <c r="Q23" s="26" t="s">
        <v>57</v>
      </c>
      <c r="R23" s="26" t="s">
        <v>90</v>
      </c>
      <c r="S23" s="26" t="s">
        <v>57</v>
      </c>
      <c r="T23" s="27" t="s">
        <v>91</v>
      </c>
      <c r="U23" s="28" t="s">
        <v>56</v>
      </c>
      <c r="V23" s="29" t="str">
        <f t="shared" si="1"/>
        <v>⚠ Missing</v>
      </c>
      <c r="W23" s="70">
        <v>46248</v>
      </c>
      <c r="X23" s="30" t="s">
        <v>55</v>
      </c>
      <c r="Y23" s="30" t="s">
        <v>57</v>
      </c>
      <c r="Z23" s="30" t="s">
        <v>57</v>
      </c>
      <c r="AA23" s="30" t="s">
        <v>90</v>
      </c>
      <c r="AB23" s="30" t="s">
        <v>57</v>
      </c>
      <c r="AC23" s="27" t="s">
        <v>91</v>
      </c>
      <c r="AD23" s="31" t="s">
        <v>56</v>
      </c>
      <c r="AE23" s="32" t="str">
        <f t="shared" si="2"/>
        <v>⚠ Missing</v>
      </c>
      <c r="AF23" s="33" t="s">
        <v>61</v>
      </c>
      <c r="AG23" s="33" t="s">
        <v>55</v>
      </c>
      <c r="AH23" s="33" t="s">
        <v>57</v>
      </c>
      <c r="AI23" s="33" t="s">
        <v>57</v>
      </c>
      <c r="AJ23" s="33" t="s">
        <v>90</v>
      </c>
      <c r="AK23" s="33" t="s">
        <v>57</v>
      </c>
      <c r="AL23" s="27" t="s">
        <v>91</v>
      </c>
      <c r="AM23" s="34" t="s">
        <v>56</v>
      </c>
      <c r="AN23" s="35" t="str">
        <f t="shared" si="3"/>
        <v>⚠ Missing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104</v>
      </c>
      <c r="C24" s="41" t="s">
        <v>105</v>
      </c>
      <c r="D24" s="39" t="s">
        <v>73</v>
      </c>
      <c r="E24" s="42">
        <v>46128</v>
      </c>
      <c r="F24" s="26" t="s">
        <v>55</v>
      </c>
      <c r="G24" s="26" t="s">
        <v>57</v>
      </c>
      <c r="H24" s="26" t="s">
        <v>57</v>
      </c>
      <c r="I24" s="26" t="s">
        <v>90</v>
      </c>
      <c r="J24" s="26" t="s">
        <v>57</v>
      </c>
      <c r="K24" s="27" t="s">
        <v>91</v>
      </c>
      <c r="L24" s="28" t="s">
        <v>56</v>
      </c>
      <c r="M24" s="29" t="str">
        <f t="shared" si="0"/>
        <v>⚠ Missing</v>
      </c>
      <c r="N24" s="42">
        <v>46193</v>
      </c>
      <c r="O24" s="26" t="s">
        <v>55</v>
      </c>
      <c r="P24" s="26" t="s">
        <v>57</v>
      </c>
      <c r="Q24" s="26" t="s">
        <v>57</v>
      </c>
      <c r="R24" s="26" t="s">
        <v>90</v>
      </c>
      <c r="S24" s="26" t="s">
        <v>57</v>
      </c>
      <c r="T24" s="27" t="s">
        <v>91</v>
      </c>
      <c r="U24" s="28" t="s">
        <v>56</v>
      </c>
      <c r="V24" s="29" t="str">
        <f t="shared" si="1"/>
        <v>⚠ Missing</v>
      </c>
      <c r="W24" s="70">
        <v>46248</v>
      </c>
      <c r="X24" s="30" t="s">
        <v>55</v>
      </c>
      <c r="Y24" s="30" t="s">
        <v>57</v>
      </c>
      <c r="Z24" s="30" t="s">
        <v>57</v>
      </c>
      <c r="AA24" s="30" t="s">
        <v>90</v>
      </c>
      <c r="AB24" s="30" t="s">
        <v>57</v>
      </c>
      <c r="AC24" s="27" t="s">
        <v>91</v>
      </c>
      <c r="AD24" s="31" t="s">
        <v>56</v>
      </c>
      <c r="AE24" s="32" t="str">
        <f t="shared" si="2"/>
        <v>⚠ Missing</v>
      </c>
      <c r="AF24" s="33" t="s">
        <v>61</v>
      </c>
      <c r="AG24" s="33" t="s">
        <v>55</v>
      </c>
      <c r="AH24" s="33" t="s">
        <v>57</v>
      </c>
      <c r="AI24" s="33" t="s">
        <v>57</v>
      </c>
      <c r="AJ24" s="33" t="s">
        <v>90</v>
      </c>
      <c r="AK24" s="33" t="s">
        <v>57</v>
      </c>
      <c r="AL24" s="27" t="s">
        <v>91</v>
      </c>
      <c r="AM24" s="34" t="s">
        <v>56</v>
      </c>
      <c r="AN24" s="35" t="str">
        <f t="shared" si="3"/>
        <v>⚠ Missing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106</v>
      </c>
      <c r="C25" s="25" t="s">
        <v>107</v>
      </c>
      <c r="D25" s="23" t="s">
        <v>73</v>
      </c>
      <c r="E25" s="42">
        <v>46128</v>
      </c>
      <c r="F25" s="26" t="s">
        <v>55</v>
      </c>
      <c r="G25" s="26" t="s">
        <v>57</v>
      </c>
      <c r="H25" s="26" t="s">
        <v>57</v>
      </c>
      <c r="I25" s="26" t="s">
        <v>90</v>
      </c>
      <c r="J25" s="26" t="s">
        <v>57</v>
      </c>
      <c r="K25" s="27" t="s">
        <v>91</v>
      </c>
      <c r="L25" s="28" t="s">
        <v>56</v>
      </c>
      <c r="M25" s="29" t="str">
        <f t="shared" si="0"/>
        <v>⚠ Missing</v>
      </c>
      <c r="N25" s="42">
        <v>46193</v>
      </c>
      <c r="O25" s="26" t="s">
        <v>55</v>
      </c>
      <c r="P25" s="26" t="s">
        <v>57</v>
      </c>
      <c r="Q25" s="26" t="s">
        <v>57</v>
      </c>
      <c r="R25" s="26" t="s">
        <v>90</v>
      </c>
      <c r="S25" s="26" t="s">
        <v>57</v>
      </c>
      <c r="T25" s="27" t="s">
        <v>91</v>
      </c>
      <c r="U25" s="28" t="s">
        <v>56</v>
      </c>
      <c r="V25" s="29" t="str">
        <f t="shared" si="1"/>
        <v>⚠ Missing</v>
      </c>
      <c r="W25" s="70">
        <v>46248</v>
      </c>
      <c r="X25" s="30" t="s">
        <v>55</v>
      </c>
      <c r="Y25" s="30" t="s">
        <v>57</v>
      </c>
      <c r="Z25" s="30" t="s">
        <v>57</v>
      </c>
      <c r="AA25" s="30" t="s">
        <v>90</v>
      </c>
      <c r="AB25" s="30" t="s">
        <v>57</v>
      </c>
      <c r="AC25" s="27" t="s">
        <v>91</v>
      </c>
      <c r="AD25" s="31" t="s">
        <v>56</v>
      </c>
      <c r="AE25" s="32" t="str">
        <f t="shared" si="2"/>
        <v>⚠ Missing</v>
      </c>
      <c r="AF25" s="33" t="s">
        <v>61</v>
      </c>
      <c r="AG25" s="33" t="s">
        <v>55</v>
      </c>
      <c r="AH25" s="33" t="s">
        <v>57</v>
      </c>
      <c r="AI25" s="33" t="s">
        <v>57</v>
      </c>
      <c r="AJ25" s="33" t="s">
        <v>90</v>
      </c>
      <c r="AK25" s="33" t="s">
        <v>57</v>
      </c>
      <c r="AL25" s="27" t="s">
        <v>91</v>
      </c>
      <c r="AM25" s="34" t="s">
        <v>56</v>
      </c>
      <c r="AN25" s="35" t="str">
        <f t="shared" si="3"/>
        <v>⚠ Missing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108</v>
      </c>
      <c r="C26" s="41" t="s">
        <v>109</v>
      </c>
      <c r="D26" s="39" t="s">
        <v>73</v>
      </c>
      <c r="E26" s="42">
        <v>46128</v>
      </c>
      <c r="F26" s="26" t="s">
        <v>55</v>
      </c>
      <c r="G26" s="26" t="s">
        <v>57</v>
      </c>
      <c r="H26" s="26" t="s">
        <v>57</v>
      </c>
      <c r="I26" s="26" t="s">
        <v>90</v>
      </c>
      <c r="J26" s="26" t="s">
        <v>57</v>
      </c>
      <c r="K26" s="27" t="s">
        <v>91</v>
      </c>
      <c r="L26" s="28" t="s">
        <v>56</v>
      </c>
      <c r="M26" s="29" t="str">
        <f t="shared" si="0"/>
        <v>⚠ Missing</v>
      </c>
      <c r="N26" s="42">
        <v>46193</v>
      </c>
      <c r="O26" s="26" t="s">
        <v>55</v>
      </c>
      <c r="P26" s="26" t="s">
        <v>57</v>
      </c>
      <c r="Q26" s="26" t="s">
        <v>57</v>
      </c>
      <c r="R26" s="26" t="s">
        <v>90</v>
      </c>
      <c r="S26" s="26" t="s">
        <v>57</v>
      </c>
      <c r="T26" s="27" t="s">
        <v>91</v>
      </c>
      <c r="U26" s="28" t="s">
        <v>56</v>
      </c>
      <c r="V26" s="29" t="str">
        <f t="shared" si="1"/>
        <v>⚠ Missing</v>
      </c>
      <c r="W26" s="70">
        <v>46248</v>
      </c>
      <c r="X26" s="30" t="s">
        <v>55</v>
      </c>
      <c r="Y26" s="30" t="s">
        <v>57</v>
      </c>
      <c r="Z26" s="30" t="s">
        <v>57</v>
      </c>
      <c r="AA26" s="30" t="s">
        <v>90</v>
      </c>
      <c r="AB26" s="30" t="s">
        <v>57</v>
      </c>
      <c r="AC26" s="27" t="s">
        <v>91</v>
      </c>
      <c r="AD26" s="31" t="s">
        <v>56</v>
      </c>
      <c r="AE26" s="32" t="str">
        <f t="shared" si="2"/>
        <v>⚠ Missing</v>
      </c>
      <c r="AF26" s="33" t="s">
        <v>61</v>
      </c>
      <c r="AG26" s="33" t="s">
        <v>55</v>
      </c>
      <c r="AH26" s="33" t="s">
        <v>57</v>
      </c>
      <c r="AI26" s="33" t="s">
        <v>57</v>
      </c>
      <c r="AJ26" s="33" t="s">
        <v>90</v>
      </c>
      <c r="AK26" s="33" t="s">
        <v>57</v>
      </c>
      <c r="AL26" s="27" t="s">
        <v>91</v>
      </c>
      <c r="AM26" s="34" t="s">
        <v>56</v>
      </c>
      <c r="AN26" s="35" t="str">
        <f t="shared" si="3"/>
        <v>⚠ Missing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110</v>
      </c>
      <c r="C27" s="25" t="s">
        <v>111</v>
      </c>
      <c r="D27" s="23" t="s">
        <v>73</v>
      </c>
      <c r="E27" s="42">
        <v>46128</v>
      </c>
      <c r="F27" s="26" t="s">
        <v>55</v>
      </c>
      <c r="G27" s="26" t="s">
        <v>57</v>
      </c>
      <c r="H27" s="26" t="s">
        <v>57</v>
      </c>
      <c r="I27" s="26" t="s">
        <v>90</v>
      </c>
      <c r="J27" s="26" t="s">
        <v>57</v>
      </c>
      <c r="K27" s="27" t="s">
        <v>91</v>
      </c>
      <c r="L27" s="28" t="s">
        <v>56</v>
      </c>
      <c r="M27" s="29" t="str">
        <f t="shared" si="0"/>
        <v>⚠ Missing</v>
      </c>
      <c r="N27" s="42">
        <v>46193</v>
      </c>
      <c r="O27" s="26" t="s">
        <v>55</v>
      </c>
      <c r="P27" s="26" t="s">
        <v>57</v>
      </c>
      <c r="Q27" s="26" t="s">
        <v>57</v>
      </c>
      <c r="R27" s="26" t="s">
        <v>90</v>
      </c>
      <c r="S27" s="26" t="s">
        <v>57</v>
      </c>
      <c r="T27" s="27" t="s">
        <v>91</v>
      </c>
      <c r="U27" s="28" t="s">
        <v>56</v>
      </c>
      <c r="V27" s="29" t="str">
        <f t="shared" si="1"/>
        <v>⚠ Missing</v>
      </c>
      <c r="W27" s="70">
        <v>46248</v>
      </c>
      <c r="X27" s="30" t="s">
        <v>55</v>
      </c>
      <c r="Y27" s="30" t="s">
        <v>57</v>
      </c>
      <c r="Z27" s="30" t="s">
        <v>57</v>
      </c>
      <c r="AA27" s="30" t="s">
        <v>90</v>
      </c>
      <c r="AB27" s="30" t="s">
        <v>57</v>
      </c>
      <c r="AC27" s="27" t="s">
        <v>91</v>
      </c>
      <c r="AD27" s="31" t="s">
        <v>56</v>
      </c>
      <c r="AE27" s="32" t="str">
        <f t="shared" si="2"/>
        <v>⚠ Missing</v>
      </c>
      <c r="AF27" s="33" t="s">
        <v>61</v>
      </c>
      <c r="AG27" s="33" t="s">
        <v>55</v>
      </c>
      <c r="AH27" s="33" t="s">
        <v>57</v>
      </c>
      <c r="AI27" s="33" t="s">
        <v>57</v>
      </c>
      <c r="AJ27" s="33" t="s">
        <v>90</v>
      </c>
      <c r="AK27" s="33" t="s">
        <v>57</v>
      </c>
      <c r="AL27" s="27" t="s">
        <v>91</v>
      </c>
      <c r="AM27" s="34" t="s">
        <v>56</v>
      </c>
      <c r="AN27" s="35" t="str">
        <f t="shared" si="3"/>
        <v>⚠ Missing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112</v>
      </c>
      <c r="C28" s="41" t="s">
        <v>113</v>
      </c>
      <c r="D28" s="39" t="s">
        <v>73</v>
      </c>
      <c r="E28" s="42">
        <v>46128</v>
      </c>
      <c r="F28" s="26" t="s">
        <v>55</v>
      </c>
      <c r="G28" s="26" t="s">
        <v>57</v>
      </c>
      <c r="H28" s="26" t="s">
        <v>57</v>
      </c>
      <c r="I28" s="26" t="s">
        <v>90</v>
      </c>
      <c r="J28" s="26" t="s">
        <v>57</v>
      </c>
      <c r="K28" s="27" t="s">
        <v>91</v>
      </c>
      <c r="L28" s="28" t="s">
        <v>56</v>
      </c>
      <c r="M28" s="29" t="str">
        <f t="shared" si="0"/>
        <v>⚠ Missing</v>
      </c>
      <c r="N28" s="42">
        <v>46193</v>
      </c>
      <c r="O28" s="26" t="s">
        <v>55</v>
      </c>
      <c r="P28" s="26" t="s">
        <v>57</v>
      </c>
      <c r="Q28" s="26" t="s">
        <v>57</v>
      </c>
      <c r="R28" s="26" t="s">
        <v>90</v>
      </c>
      <c r="S28" s="26" t="s">
        <v>57</v>
      </c>
      <c r="T28" s="27" t="s">
        <v>91</v>
      </c>
      <c r="U28" s="28" t="s">
        <v>56</v>
      </c>
      <c r="V28" s="29" t="str">
        <f t="shared" si="1"/>
        <v>⚠ Missing</v>
      </c>
      <c r="W28" s="70">
        <v>46248</v>
      </c>
      <c r="X28" s="30" t="s">
        <v>55</v>
      </c>
      <c r="Y28" s="30" t="s">
        <v>57</v>
      </c>
      <c r="Z28" s="30" t="s">
        <v>57</v>
      </c>
      <c r="AA28" s="30" t="s">
        <v>90</v>
      </c>
      <c r="AB28" s="30" t="s">
        <v>57</v>
      </c>
      <c r="AC28" s="27" t="s">
        <v>91</v>
      </c>
      <c r="AD28" s="31" t="s">
        <v>56</v>
      </c>
      <c r="AE28" s="32" t="str">
        <f t="shared" si="2"/>
        <v>⚠ Missing</v>
      </c>
      <c r="AF28" s="33" t="s">
        <v>61</v>
      </c>
      <c r="AG28" s="33" t="s">
        <v>55</v>
      </c>
      <c r="AH28" s="33" t="s">
        <v>57</v>
      </c>
      <c r="AI28" s="33" t="s">
        <v>57</v>
      </c>
      <c r="AJ28" s="33" t="s">
        <v>90</v>
      </c>
      <c r="AK28" s="33" t="s">
        <v>57</v>
      </c>
      <c r="AL28" s="27" t="s">
        <v>91</v>
      </c>
      <c r="AM28" s="34" t="s">
        <v>56</v>
      </c>
      <c r="AN28" s="35" t="str">
        <f t="shared" si="3"/>
        <v>⚠ Missing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114</v>
      </c>
      <c r="C29" s="25" t="s">
        <v>115</v>
      </c>
      <c r="D29" s="23" t="s">
        <v>73</v>
      </c>
      <c r="E29" s="42">
        <v>46128</v>
      </c>
      <c r="F29" s="26" t="s">
        <v>55</v>
      </c>
      <c r="G29" s="26" t="s">
        <v>57</v>
      </c>
      <c r="H29" s="26" t="s">
        <v>57</v>
      </c>
      <c r="I29" s="26" t="s">
        <v>90</v>
      </c>
      <c r="J29" s="26" t="s">
        <v>57</v>
      </c>
      <c r="K29" s="27" t="s">
        <v>91</v>
      </c>
      <c r="L29" s="28" t="s">
        <v>56</v>
      </c>
      <c r="M29" s="29" t="str">
        <f t="shared" si="0"/>
        <v>⚠ Missing</v>
      </c>
      <c r="N29" s="42">
        <v>46193</v>
      </c>
      <c r="O29" s="26" t="s">
        <v>55</v>
      </c>
      <c r="P29" s="26" t="s">
        <v>57</v>
      </c>
      <c r="Q29" s="26" t="s">
        <v>57</v>
      </c>
      <c r="R29" s="26" t="s">
        <v>90</v>
      </c>
      <c r="S29" s="26" t="s">
        <v>57</v>
      </c>
      <c r="T29" s="27" t="s">
        <v>91</v>
      </c>
      <c r="U29" s="28" t="s">
        <v>56</v>
      </c>
      <c r="V29" s="29" t="str">
        <f t="shared" si="1"/>
        <v>⚠ Missing</v>
      </c>
      <c r="W29" s="70">
        <v>46248</v>
      </c>
      <c r="X29" s="30" t="s">
        <v>55</v>
      </c>
      <c r="Y29" s="30" t="s">
        <v>57</v>
      </c>
      <c r="Z29" s="30" t="s">
        <v>57</v>
      </c>
      <c r="AA29" s="30" t="s">
        <v>90</v>
      </c>
      <c r="AB29" s="30" t="s">
        <v>57</v>
      </c>
      <c r="AC29" s="27" t="s">
        <v>91</v>
      </c>
      <c r="AD29" s="31" t="s">
        <v>56</v>
      </c>
      <c r="AE29" s="32" t="str">
        <f t="shared" si="2"/>
        <v>⚠ Missing</v>
      </c>
      <c r="AF29" s="33" t="s">
        <v>61</v>
      </c>
      <c r="AG29" s="33" t="s">
        <v>55</v>
      </c>
      <c r="AH29" s="33" t="s">
        <v>57</v>
      </c>
      <c r="AI29" s="33" t="s">
        <v>57</v>
      </c>
      <c r="AJ29" s="33" t="s">
        <v>90</v>
      </c>
      <c r="AK29" s="33" t="s">
        <v>57</v>
      </c>
      <c r="AL29" s="27" t="s">
        <v>91</v>
      </c>
      <c r="AM29" s="34" t="s">
        <v>56</v>
      </c>
      <c r="AN29" s="35" t="str">
        <f t="shared" si="3"/>
        <v>⚠ Missing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116</v>
      </c>
      <c r="C30" s="41" t="s">
        <v>117</v>
      </c>
      <c r="D30" s="39" t="s">
        <v>73</v>
      </c>
      <c r="E30" s="42">
        <v>46128</v>
      </c>
      <c r="F30" s="26" t="s">
        <v>55</v>
      </c>
      <c r="G30" s="26" t="s">
        <v>57</v>
      </c>
      <c r="H30" s="26" t="s">
        <v>57</v>
      </c>
      <c r="I30" s="26" t="s">
        <v>90</v>
      </c>
      <c r="J30" s="26" t="s">
        <v>57</v>
      </c>
      <c r="K30" s="27" t="s">
        <v>91</v>
      </c>
      <c r="L30" s="28" t="s">
        <v>56</v>
      </c>
      <c r="M30" s="29" t="str">
        <f t="shared" si="0"/>
        <v>⚠ Missing</v>
      </c>
      <c r="N30" s="42">
        <v>46193</v>
      </c>
      <c r="O30" s="26" t="s">
        <v>55</v>
      </c>
      <c r="P30" s="26" t="s">
        <v>57</v>
      </c>
      <c r="Q30" s="26" t="s">
        <v>57</v>
      </c>
      <c r="R30" s="26" t="s">
        <v>90</v>
      </c>
      <c r="S30" s="26" t="s">
        <v>57</v>
      </c>
      <c r="T30" s="27" t="s">
        <v>91</v>
      </c>
      <c r="U30" s="28" t="s">
        <v>56</v>
      </c>
      <c r="V30" s="29" t="str">
        <f t="shared" si="1"/>
        <v>⚠ Missing</v>
      </c>
      <c r="W30" s="70">
        <v>46248</v>
      </c>
      <c r="X30" s="30" t="s">
        <v>55</v>
      </c>
      <c r="Y30" s="30" t="s">
        <v>57</v>
      </c>
      <c r="Z30" s="30" t="s">
        <v>57</v>
      </c>
      <c r="AA30" s="30" t="s">
        <v>90</v>
      </c>
      <c r="AB30" s="30" t="s">
        <v>57</v>
      </c>
      <c r="AC30" s="27" t="s">
        <v>91</v>
      </c>
      <c r="AD30" s="31" t="s">
        <v>56</v>
      </c>
      <c r="AE30" s="32" t="str">
        <f t="shared" si="2"/>
        <v>⚠ Missing</v>
      </c>
      <c r="AF30" s="33" t="s">
        <v>61</v>
      </c>
      <c r="AG30" s="33" t="s">
        <v>55</v>
      </c>
      <c r="AH30" s="33" t="s">
        <v>57</v>
      </c>
      <c r="AI30" s="33" t="s">
        <v>57</v>
      </c>
      <c r="AJ30" s="33" t="s">
        <v>90</v>
      </c>
      <c r="AK30" s="33" t="s">
        <v>57</v>
      </c>
      <c r="AL30" s="27" t="s">
        <v>91</v>
      </c>
      <c r="AM30" s="34" t="s">
        <v>56</v>
      </c>
      <c r="AN30" s="35" t="str">
        <f t="shared" si="3"/>
        <v>⚠ Missing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118</v>
      </c>
      <c r="C31" s="25" t="s">
        <v>119</v>
      </c>
      <c r="D31" s="23" t="s">
        <v>73</v>
      </c>
      <c r="E31" s="42">
        <v>46128</v>
      </c>
      <c r="F31" s="26" t="s">
        <v>55</v>
      </c>
      <c r="G31" s="26" t="s">
        <v>57</v>
      </c>
      <c r="H31" s="26" t="s">
        <v>57</v>
      </c>
      <c r="I31" s="26" t="s">
        <v>90</v>
      </c>
      <c r="J31" s="26" t="s">
        <v>57</v>
      </c>
      <c r="K31" s="27" t="s">
        <v>91</v>
      </c>
      <c r="L31" s="28" t="s">
        <v>56</v>
      </c>
      <c r="M31" s="29" t="str">
        <f t="shared" si="0"/>
        <v>⚠ Missing</v>
      </c>
      <c r="N31" s="42">
        <v>46193</v>
      </c>
      <c r="O31" s="26" t="s">
        <v>55</v>
      </c>
      <c r="P31" s="26" t="s">
        <v>57</v>
      </c>
      <c r="Q31" s="26" t="s">
        <v>57</v>
      </c>
      <c r="R31" s="26" t="s">
        <v>90</v>
      </c>
      <c r="S31" s="26" t="s">
        <v>57</v>
      </c>
      <c r="T31" s="27" t="s">
        <v>91</v>
      </c>
      <c r="U31" s="28" t="s">
        <v>56</v>
      </c>
      <c r="V31" s="29" t="str">
        <f t="shared" si="1"/>
        <v>⚠ Missing</v>
      </c>
      <c r="W31" s="70">
        <v>46248</v>
      </c>
      <c r="X31" s="30" t="s">
        <v>55</v>
      </c>
      <c r="Y31" s="30" t="s">
        <v>57</v>
      </c>
      <c r="Z31" s="30" t="s">
        <v>57</v>
      </c>
      <c r="AA31" s="30" t="s">
        <v>90</v>
      </c>
      <c r="AB31" s="30" t="s">
        <v>57</v>
      </c>
      <c r="AC31" s="27" t="s">
        <v>91</v>
      </c>
      <c r="AD31" s="31" t="s">
        <v>56</v>
      </c>
      <c r="AE31" s="32" t="str">
        <f t="shared" si="2"/>
        <v>⚠ Missing</v>
      </c>
      <c r="AF31" s="33" t="s">
        <v>61</v>
      </c>
      <c r="AG31" s="33" t="s">
        <v>55</v>
      </c>
      <c r="AH31" s="33" t="s">
        <v>57</v>
      </c>
      <c r="AI31" s="33" t="s">
        <v>57</v>
      </c>
      <c r="AJ31" s="33" t="s">
        <v>90</v>
      </c>
      <c r="AK31" s="33" t="s">
        <v>57</v>
      </c>
      <c r="AL31" s="27" t="s">
        <v>91</v>
      </c>
      <c r="AM31" s="34" t="s">
        <v>56</v>
      </c>
      <c r="AN31" s="35" t="str">
        <f t="shared" si="3"/>
        <v>⚠ Missing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120</v>
      </c>
      <c r="C32" s="41" t="s">
        <v>121</v>
      </c>
      <c r="D32" s="39" t="s">
        <v>73</v>
      </c>
      <c r="E32" s="42">
        <v>46128</v>
      </c>
      <c r="F32" s="26" t="s">
        <v>55</v>
      </c>
      <c r="G32" s="26" t="s">
        <v>57</v>
      </c>
      <c r="H32" s="26" t="s">
        <v>57</v>
      </c>
      <c r="I32" s="26" t="s">
        <v>90</v>
      </c>
      <c r="J32" s="26" t="s">
        <v>57</v>
      </c>
      <c r="K32" s="27" t="s">
        <v>91</v>
      </c>
      <c r="L32" s="28" t="s">
        <v>56</v>
      </c>
      <c r="M32" s="29" t="str">
        <f t="shared" si="0"/>
        <v>⚠ Missing</v>
      </c>
      <c r="N32" s="42">
        <v>46193</v>
      </c>
      <c r="O32" s="26" t="s">
        <v>55</v>
      </c>
      <c r="P32" s="26" t="s">
        <v>57</v>
      </c>
      <c r="Q32" s="26" t="s">
        <v>57</v>
      </c>
      <c r="R32" s="26" t="s">
        <v>90</v>
      </c>
      <c r="S32" s="26" t="s">
        <v>57</v>
      </c>
      <c r="T32" s="27" t="s">
        <v>91</v>
      </c>
      <c r="U32" s="28" t="s">
        <v>56</v>
      </c>
      <c r="V32" s="29" t="str">
        <f t="shared" si="1"/>
        <v>⚠ Missing</v>
      </c>
      <c r="W32" s="70">
        <v>46248</v>
      </c>
      <c r="X32" s="30" t="s">
        <v>55</v>
      </c>
      <c r="Y32" s="30" t="s">
        <v>57</v>
      </c>
      <c r="Z32" s="30" t="s">
        <v>57</v>
      </c>
      <c r="AA32" s="30" t="s">
        <v>90</v>
      </c>
      <c r="AB32" s="30" t="s">
        <v>57</v>
      </c>
      <c r="AC32" s="27" t="s">
        <v>91</v>
      </c>
      <c r="AD32" s="31" t="s">
        <v>56</v>
      </c>
      <c r="AE32" s="32" t="str">
        <f t="shared" si="2"/>
        <v>⚠ Missing</v>
      </c>
      <c r="AF32" s="33" t="s">
        <v>61</v>
      </c>
      <c r="AG32" s="33" t="s">
        <v>55</v>
      </c>
      <c r="AH32" s="33" t="s">
        <v>57</v>
      </c>
      <c r="AI32" s="33" t="s">
        <v>57</v>
      </c>
      <c r="AJ32" s="33" t="s">
        <v>90</v>
      </c>
      <c r="AK32" s="33" t="s">
        <v>57</v>
      </c>
      <c r="AL32" s="27" t="s">
        <v>91</v>
      </c>
      <c r="AM32" s="34" t="s">
        <v>56</v>
      </c>
      <c r="AN32" s="35" t="str">
        <f t="shared" si="3"/>
        <v>⚠ Missing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122</v>
      </c>
      <c r="C33" s="25" t="s">
        <v>123</v>
      </c>
      <c r="D33" s="23" t="s">
        <v>73</v>
      </c>
      <c r="E33" s="42">
        <v>46128</v>
      </c>
      <c r="F33" s="26" t="s">
        <v>55</v>
      </c>
      <c r="G33" s="26" t="s">
        <v>57</v>
      </c>
      <c r="H33" s="26" t="s">
        <v>57</v>
      </c>
      <c r="I33" s="26" t="s">
        <v>90</v>
      </c>
      <c r="J33" s="26" t="s">
        <v>57</v>
      </c>
      <c r="K33" s="27" t="s">
        <v>91</v>
      </c>
      <c r="L33" s="28" t="s">
        <v>56</v>
      </c>
      <c r="M33" s="29" t="str">
        <f t="shared" si="0"/>
        <v>⚠ Missing</v>
      </c>
      <c r="N33" s="42">
        <v>46193</v>
      </c>
      <c r="O33" s="26" t="s">
        <v>55</v>
      </c>
      <c r="P33" s="26" t="s">
        <v>57</v>
      </c>
      <c r="Q33" s="26" t="s">
        <v>57</v>
      </c>
      <c r="R33" s="26" t="s">
        <v>90</v>
      </c>
      <c r="S33" s="26" t="s">
        <v>57</v>
      </c>
      <c r="T33" s="27" t="s">
        <v>91</v>
      </c>
      <c r="U33" s="28" t="s">
        <v>56</v>
      </c>
      <c r="V33" s="29" t="str">
        <f t="shared" si="1"/>
        <v>⚠ Missing</v>
      </c>
      <c r="W33" s="70">
        <v>46248</v>
      </c>
      <c r="X33" s="30" t="s">
        <v>55</v>
      </c>
      <c r="Y33" s="30" t="s">
        <v>57</v>
      </c>
      <c r="Z33" s="30" t="s">
        <v>57</v>
      </c>
      <c r="AA33" s="30" t="s">
        <v>90</v>
      </c>
      <c r="AB33" s="30" t="s">
        <v>57</v>
      </c>
      <c r="AC33" s="27" t="s">
        <v>91</v>
      </c>
      <c r="AD33" s="31" t="s">
        <v>56</v>
      </c>
      <c r="AE33" s="32" t="str">
        <f t="shared" si="2"/>
        <v>⚠ Missing</v>
      </c>
      <c r="AF33" s="33" t="s">
        <v>61</v>
      </c>
      <c r="AG33" s="33" t="s">
        <v>55</v>
      </c>
      <c r="AH33" s="33" t="s">
        <v>57</v>
      </c>
      <c r="AI33" s="33" t="s">
        <v>57</v>
      </c>
      <c r="AJ33" s="33" t="s">
        <v>90</v>
      </c>
      <c r="AK33" s="33" t="s">
        <v>57</v>
      </c>
      <c r="AL33" s="27" t="s">
        <v>91</v>
      </c>
      <c r="AM33" s="34" t="s">
        <v>56</v>
      </c>
      <c r="AN33" s="35" t="str">
        <f t="shared" si="3"/>
        <v>⚠ Missing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124</v>
      </c>
      <c r="C34" s="41" t="s">
        <v>125</v>
      </c>
      <c r="D34" s="39" t="s">
        <v>73</v>
      </c>
      <c r="E34" s="42">
        <v>46128</v>
      </c>
      <c r="F34" s="26" t="s">
        <v>55</v>
      </c>
      <c r="G34" s="26" t="s">
        <v>57</v>
      </c>
      <c r="H34" s="26" t="s">
        <v>57</v>
      </c>
      <c r="I34" s="26" t="s">
        <v>90</v>
      </c>
      <c r="J34" s="26" t="s">
        <v>57</v>
      </c>
      <c r="K34" s="27" t="s">
        <v>91</v>
      </c>
      <c r="L34" s="28" t="s">
        <v>56</v>
      </c>
      <c r="M34" s="29" t="str">
        <f t="shared" si="0"/>
        <v>⚠ Missing</v>
      </c>
      <c r="N34" s="42">
        <v>46193</v>
      </c>
      <c r="O34" s="26" t="s">
        <v>55</v>
      </c>
      <c r="P34" s="26" t="s">
        <v>57</v>
      </c>
      <c r="Q34" s="26" t="s">
        <v>57</v>
      </c>
      <c r="R34" s="26" t="s">
        <v>90</v>
      </c>
      <c r="S34" s="26" t="s">
        <v>57</v>
      </c>
      <c r="T34" s="27" t="s">
        <v>91</v>
      </c>
      <c r="U34" s="28" t="s">
        <v>56</v>
      </c>
      <c r="V34" s="29" t="str">
        <f t="shared" si="1"/>
        <v>⚠ Missing</v>
      </c>
      <c r="W34" s="70">
        <v>46248</v>
      </c>
      <c r="X34" s="30" t="s">
        <v>55</v>
      </c>
      <c r="Y34" s="30" t="s">
        <v>57</v>
      </c>
      <c r="Z34" s="30" t="s">
        <v>57</v>
      </c>
      <c r="AA34" s="30" t="s">
        <v>90</v>
      </c>
      <c r="AB34" s="30" t="s">
        <v>57</v>
      </c>
      <c r="AC34" s="27" t="s">
        <v>91</v>
      </c>
      <c r="AD34" s="31" t="s">
        <v>56</v>
      </c>
      <c r="AE34" s="32" t="str">
        <f t="shared" si="2"/>
        <v>⚠ Missing</v>
      </c>
      <c r="AF34" s="33" t="s">
        <v>61</v>
      </c>
      <c r="AG34" s="33" t="s">
        <v>55</v>
      </c>
      <c r="AH34" s="33" t="s">
        <v>57</v>
      </c>
      <c r="AI34" s="33" t="s">
        <v>57</v>
      </c>
      <c r="AJ34" s="33" t="s">
        <v>90</v>
      </c>
      <c r="AK34" s="33" t="s">
        <v>57</v>
      </c>
      <c r="AL34" s="27" t="s">
        <v>91</v>
      </c>
      <c r="AM34" s="34" t="s">
        <v>56</v>
      </c>
      <c r="AN34" s="35" t="str">
        <f t="shared" si="3"/>
        <v>⚠ Missing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126</v>
      </c>
      <c r="C35" s="25" t="s">
        <v>127</v>
      </c>
      <c r="D35" s="23" t="s">
        <v>73</v>
      </c>
      <c r="E35" s="42">
        <v>46128</v>
      </c>
      <c r="F35" s="26" t="s">
        <v>55</v>
      </c>
      <c r="G35" s="26" t="s">
        <v>57</v>
      </c>
      <c r="H35" s="26" t="s">
        <v>57</v>
      </c>
      <c r="I35" s="26" t="s">
        <v>90</v>
      </c>
      <c r="J35" s="26" t="s">
        <v>57</v>
      </c>
      <c r="K35" s="27" t="s">
        <v>91</v>
      </c>
      <c r="L35" s="28" t="s">
        <v>56</v>
      </c>
      <c r="M35" s="29" t="str">
        <f t="shared" si="0"/>
        <v>⚠ Missing</v>
      </c>
      <c r="N35" s="42">
        <v>46193</v>
      </c>
      <c r="O35" s="26" t="s">
        <v>55</v>
      </c>
      <c r="P35" s="26" t="s">
        <v>57</v>
      </c>
      <c r="Q35" s="26" t="s">
        <v>57</v>
      </c>
      <c r="R35" s="26" t="s">
        <v>90</v>
      </c>
      <c r="S35" s="26" t="s">
        <v>57</v>
      </c>
      <c r="T35" s="27" t="s">
        <v>91</v>
      </c>
      <c r="U35" s="28" t="s">
        <v>56</v>
      </c>
      <c r="V35" s="29" t="str">
        <f t="shared" si="1"/>
        <v>⚠ Missing</v>
      </c>
      <c r="W35" s="70">
        <v>46248</v>
      </c>
      <c r="X35" s="30" t="s">
        <v>55</v>
      </c>
      <c r="Y35" s="30" t="s">
        <v>57</v>
      </c>
      <c r="Z35" s="30" t="s">
        <v>57</v>
      </c>
      <c r="AA35" s="30" t="s">
        <v>90</v>
      </c>
      <c r="AB35" s="30" t="s">
        <v>57</v>
      </c>
      <c r="AC35" s="27" t="s">
        <v>91</v>
      </c>
      <c r="AD35" s="31" t="s">
        <v>56</v>
      </c>
      <c r="AE35" s="32" t="str">
        <f t="shared" si="2"/>
        <v>⚠ Missing</v>
      </c>
      <c r="AF35" s="33" t="s">
        <v>61</v>
      </c>
      <c r="AG35" s="33" t="s">
        <v>55</v>
      </c>
      <c r="AH35" s="33" t="s">
        <v>57</v>
      </c>
      <c r="AI35" s="33" t="s">
        <v>57</v>
      </c>
      <c r="AJ35" s="33" t="s">
        <v>90</v>
      </c>
      <c r="AK35" s="33" t="s">
        <v>57</v>
      </c>
      <c r="AL35" s="27" t="s">
        <v>91</v>
      </c>
      <c r="AM35" s="34" t="s">
        <v>56</v>
      </c>
      <c r="AN35" s="35" t="str">
        <f t="shared" si="3"/>
        <v>⚠ Missing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128</v>
      </c>
      <c r="C36" s="41" t="s">
        <v>129</v>
      </c>
      <c r="D36" s="39" t="s">
        <v>73</v>
      </c>
      <c r="E36" s="42">
        <v>46128</v>
      </c>
      <c r="F36" s="26" t="s">
        <v>55</v>
      </c>
      <c r="G36" s="26" t="s">
        <v>57</v>
      </c>
      <c r="H36" s="26" t="s">
        <v>57</v>
      </c>
      <c r="I36" s="26" t="s">
        <v>90</v>
      </c>
      <c r="J36" s="26" t="s">
        <v>57</v>
      </c>
      <c r="K36" s="27" t="s">
        <v>91</v>
      </c>
      <c r="L36" s="28" t="s">
        <v>56</v>
      </c>
      <c r="M36" s="29" t="str">
        <f t="shared" si="0"/>
        <v>⚠ Missing</v>
      </c>
      <c r="N36" s="42">
        <v>46193</v>
      </c>
      <c r="O36" s="26" t="s">
        <v>55</v>
      </c>
      <c r="P36" s="26" t="s">
        <v>57</v>
      </c>
      <c r="Q36" s="26" t="s">
        <v>57</v>
      </c>
      <c r="R36" s="26" t="s">
        <v>90</v>
      </c>
      <c r="S36" s="26" t="s">
        <v>57</v>
      </c>
      <c r="T36" s="27" t="s">
        <v>91</v>
      </c>
      <c r="U36" s="28" t="s">
        <v>56</v>
      </c>
      <c r="V36" s="29" t="str">
        <f t="shared" si="1"/>
        <v>⚠ Missing</v>
      </c>
      <c r="W36" s="70">
        <v>46248</v>
      </c>
      <c r="X36" s="30" t="s">
        <v>55</v>
      </c>
      <c r="Y36" s="30" t="s">
        <v>57</v>
      </c>
      <c r="Z36" s="30" t="s">
        <v>57</v>
      </c>
      <c r="AA36" s="30" t="s">
        <v>90</v>
      </c>
      <c r="AB36" s="30" t="s">
        <v>57</v>
      </c>
      <c r="AC36" s="27" t="s">
        <v>91</v>
      </c>
      <c r="AD36" s="31" t="s">
        <v>56</v>
      </c>
      <c r="AE36" s="32" t="str">
        <f t="shared" si="2"/>
        <v>⚠ Missing</v>
      </c>
      <c r="AF36" s="33" t="s">
        <v>61</v>
      </c>
      <c r="AG36" s="33" t="s">
        <v>55</v>
      </c>
      <c r="AH36" s="33" t="s">
        <v>57</v>
      </c>
      <c r="AI36" s="33" t="s">
        <v>57</v>
      </c>
      <c r="AJ36" s="33" t="s">
        <v>90</v>
      </c>
      <c r="AK36" s="33" t="s">
        <v>57</v>
      </c>
      <c r="AL36" s="27" t="s">
        <v>91</v>
      </c>
      <c r="AM36" s="34" t="s">
        <v>56</v>
      </c>
      <c r="AN36" s="35" t="str">
        <f t="shared" si="3"/>
        <v>⚠ Missing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130</v>
      </c>
      <c r="C37" s="25" t="s">
        <v>131</v>
      </c>
      <c r="D37" s="23" t="s">
        <v>73</v>
      </c>
      <c r="E37" s="42">
        <v>46128</v>
      </c>
      <c r="F37" s="26" t="s">
        <v>55</v>
      </c>
      <c r="G37" s="26" t="s">
        <v>57</v>
      </c>
      <c r="H37" s="26" t="s">
        <v>57</v>
      </c>
      <c r="I37" s="26" t="s">
        <v>90</v>
      </c>
      <c r="J37" s="26" t="s">
        <v>57</v>
      </c>
      <c r="K37" s="27" t="s">
        <v>91</v>
      </c>
      <c r="L37" s="28" t="s">
        <v>56</v>
      </c>
      <c r="M37" s="29" t="str">
        <f t="shared" si="0"/>
        <v>⚠ Missing</v>
      </c>
      <c r="N37" s="42">
        <v>46193</v>
      </c>
      <c r="O37" s="26" t="s">
        <v>55</v>
      </c>
      <c r="P37" s="26" t="s">
        <v>57</v>
      </c>
      <c r="Q37" s="26" t="s">
        <v>57</v>
      </c>
      <c r="R37" s="26" t="s">
        <v>90</v>
      </c>
      <c r="S37" s="26" t="s">
        <v>57</v>
      </c>
      <c r="T37" s="27" t="s">
        <v>91</v>
      </c>
      <c r="U37" s="28" t="s">
        <v>56</v>
      </c>
      <c r="V37" s="29" t="str">
        <f t="shared" si="1"/>
        <v>⚠ Missing</v>
      </c>
      <c r="W37" s="70">
        <v>46248</v>
      </c>
      <c r="X37" s="30" t="s">
        <v>55</v>
      </c>
      <c r="Y37" s="30" t="s">
        <v>57</v>
      </c>
      <c r="Z37" s="30" t="s">
        <v>57</v>
      </c>
      <c r="AA37" s="30" t="s">
        <v>90</v>
      </c>
      <c r="AB37" s="30" t="s">
        <v>57</v>
      </c>
      <c r="AC37" s="27" t="s">
        <v>91</v>
      </c>
      <c r="AD37" s="31" t="s">
        <v>56</v>
      </c>
      <c r="AE37" s="32" t="str">
        <f t="shared" si="2"/>
        <v>⚠ Missing</v>
      </c>
      <c r="AF37" s="33" t="s">
        <v>61</v>
      </c>
      <c r="AG37" s="33" t="s">
        <v>55</v>
      </c>
      <c r="AH37" s="33" t="s">
        <v>57</v>
      </c>
      <c r="AI37" s="33" t="s">
        <v>57</v>
      </c>
      <c r="AJ37" s="33" t="s">
        <v>90</v>
      </c>
      <c r="AK37" s="33" t="s">
        <v>57</v>
      </c>
      <c r="AL37" s="27" t="s">
        <v>91</v>
      </c>
      <c r="AM37" s="34" t="s">
        <v>56</v>
      </c>
      <c r="AN37" s="35" t="str">
        <f t="shared" si="3"/>
        <v>⚠ Missing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132</v>
      </c>
      <c r="C38" s="41" t="s">
        <v>133</v>
      </c>
      <c r="D38" s="39" t="s">
        <v>73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90</v>
      </c>
      <c r="J38" s="26" t="s">
        <v>57</v>
      </c>
      <c r="K38" s="27" t="s">
        <v>91</v>
      </c>
      <c r="L38" s="28" t="s">
        <v>56</v>
      </c>
      <c r="M38" s="29" t="str">
        <f t="shared" si="0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90</v>
      </c>
      <c r="S38" s="26" t="s">
        <v>57</v>
      </c>
      <c r="T38" s="27" t="s">
        <v>91</v>
      </c>
      <c r="U38" s="28" t="s">
        <v>56</v>
      </c>
      <c r="V38" s="29" t="str">
        <f t="shared" si="1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90</v>
      </c>
      <c r="AB38" s="30" t="s">
        <v>57</v>
      </c>
      <c r="AC38" s="27" t="s">
        <v>91</v>
      </c>
      <c r="AD38" s="31" t="s">
        <v>56</v>
      </c>
      <c r="AE38" s="32" t="str">
        <f t="shared" si="2"/>
        <v>⚠ Missing</v>
      </c>
      <c r="AF38" s="33" t="s">
        <v>61</v>
      </c>
      <c r="AG38" s="33" t="s">
        <v>55</v>
      </c>
      <c r="AH38" s="33" t="s">
        <v>57</v>
      </c>
      <c r="AI38" s="33" t="s">
        <v>57</v>
      </c>
      <c r="AJ38" s="33" t="s">
        <v>90</v>
      </c>
      <c r="AK38" s="33" t="s">
        <v>57</v>
      </c>
      <c r="AL38" s="27" t="s">
        <v>91</v>
      </c>
      <c r="AM38" s="34" t="s">
        <v>56</v>
      </c>
      <c r="AN38" s="35" t="str">
        <f t="shared" si="3"/>
        <v>⚠ Missing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134</v>
      </c>
      <c r="C39" s="25" t="s">
        <v>135</v>
      </c>
      <c r="D39" s="23" t="s">
        <v>73</v>
      </c>
      <c r="E39" s="42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136</v>
      </c>
      <c r="C40" s="41" t="s">
        <v>137</v>
      </c>
      <c r="D40" s="39" t="s">
        <v>73</v>
      </c>
      <c r="E40" s="42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77</v>
      </c>
      <c r="L40" s="28" t="s">
        <v>56</v>
      </c>
      <c r="M40" s="29" t="str">
        <f t="shared" si="0"/>
        <v>⚠ Check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77</v>
      </c>
      <c r="U40" s="28" t="s">
        <v>56</v>
      </c>
      <c r="V40" s="29" t="str">
        <f t="shared" si="1"/>
        <v>⚠ Check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56</v>
      </c>
      <c r="AE40" s="32" t="str">
        <f t="shared" si="2"/>
        <v>✓ OK</v>
      </c>
      <c r="AF40" s="33" t="s">
        <v>61</v>
      </c>
      <c r="AG40" s="33" t="s">
        <v>55</v>
      </c>
      <c r="AH40" s="33" t="s">
        <v>56</v>
      </c>
      <c r="AI40" s="33" t="s">
        <v>57</v>
      </c>
      <c r="AJ40" s="33" t="s">
        <v>58</v>
      </c>
      <c r="AK40" s="33" t="s">
        <v>56</v>
      </c>
      <c r="AL40" s="27"/>
      <c r="AM40" s="34" t="s">
        <v>57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138</v>
      </c>
      <c r="C41" s="25" t="s">
        <v>139</v>
      </c>
      <c r="D41" s="23" t="s">
        <v>73</v>
      </c>
      <c r="E41" s="42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140</v>
      </c>
      <c r="L41" s="28" t="s">
        <v>56</v>
      </c>
      <c r="M41" s="29" t="str">
        <f t="shared" si="0"/>
        <v>⚠ Check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140</v>
      </c>
      <c r="U41" s="28" t="s">
        <v>56</v>
      </c>
      <c r="V41" s="29" t="str">
        <f t="shared" si="1"/>
        <v>⚠ Check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56</v>
      </c>
      <c r="AE41" s="32" t="str">
        <f t="shared" si="2"/>
        <v>✓ OK</v>
      </c>
      <c r="AF41" s="33" t="s">
        <v>61</v>
      </c>
      <c r="AG41" s="33" t="s">
        <v>55</v>
      </c>
      <c r="AH41" s="33" t="s">
        <v>56</v>
      </c>
      <c r="AI41" s="33" t="s">
        <v>57</v>
      </c>
      <c r="AJ41" s="33" t="s">
        <v>58</v>
      </c>
      <c r="AK41" s="33" t="s">
        <v>56</v>
      </c>
      <c r="AL41" s="27"/>
      <c r="AM41" s="34" t="s">
        <v>57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141</v>
      </c>
      <c r="C42" s="41" t="s">
        <v>142</v>
      </c>
      <c r="D42" s="39" t="s">
        <v>73</v>
      </c>
      <c r="E42" s="42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77</v>
      </c>
      <c r="L42" s="28" t="s">
        <v>56</v>
      </c>
      <c r="M42" s="29" t="str">
        <f t="shared" si="0"/>
        <v>⚠ Check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 t="s">
        <v>61</v>
      </c>
      <c r="AG42" s="33" t="s">
        <v>55</v>
      </c>
      <c r="AH42" s="33" t="s">
        <v>56</v>
      </c>
      <c r="AI42" s="33" t="s">
        <v>57</v>
      </c>
      <c r="AJ42" s="33" t="s">
        <v>58</v>
      </c>
      <c r="AK42" s="33" t="s">
        <v>56</v>
      </c>
      <c r="AL42" s="27"/>
      <c r="AM42" s="34" t="s">
        <v>57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143</v>
      </c>
      <c r="C43" s="25" t="s">
        <v>144</v>
      </c>
      <c r="D43" s="23" t="s">
        <v>73</v>
      </c>
      <c r="E43" s="42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145</v>
      </c>
      <c r="C44" s="41" t="s">
        <v>146</v>
      </c>
      <c r="D44" s="39" t="s">
        <v>73</v>
      </c>
      <c r="E44" s="42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147</v>
      </c>
      <c r="C45" s="25" t="s">
        <v>148</v>
      </c>
      <c r="D45" s="23" t="s">
        <v>73</v>
      </c>
      <c r="E45" s="42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149</v>
      </c>
      <c r="C46" s="41" t="s">
        <v>150</v>
      </c>
      <c r="D46" s="39" t="s">
        <v>73</v>
      </c>
      <c r="E46" s="42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151</v>
      </c>
      <c r="C47" s="25" t="s">
        <v>152</v>
      </c>
      <c r="D47" s="23" t="s">
        <v>73</v>
      </c>
      <c r="E47" s="42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77</v>
      </c>
      <c r="L47" s="28" t="s">
        <v>56</v>
      </c>
      <c r="M47" s="29" t="str">
        <f t="shared" si="0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77</v>
      </c>
      <c r="U47" s="28" t="s">
        <v>56</v>
      </c>
      <c r="V47" s="29" t="str">
        <f t="shared" si="1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56</v>
      </c>
      <c r="AE47" s="32" t="str">
        <f t="shared" si="2"/>
        <v>✓ OK</v>
      </c>
      <c r="AF47" s="33" t="s">
        <v>61</v>
      </c>
      <c r="AG47" s="33" t="s">
        <v>55</v>
      </c>
      <c r="AH47" s="33" t="s">
        <v>56</v>
      </c>
      <c r="AI47" s="33" t="s">
        <v>57</v>
      </c>
      <c r="AJ47" s="33" t="s">
        <v>58</v>
      </c>
      <c r="AK47" s="33" t="s">
        <v>56</v>
      </c>
      <c r="AL47" s="27"/>
      <c r="AM47" s="34" t="s">
        <v>57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153</v>
      </c>
      <c r="C48" s="41" t="s">
        <v>154</v>
      </c>
      <c r="D48" s="39" t="s">
        <v>73</v>
      </c>
      <c r="E48" s="42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 t="s">
        <v>61</v>
      </c>
      <c r="AG48" s="33" t="s">
        <v>55</v>
      </c>
      <c r="AH48" s="33" t="s">
        <v>56</v>
      </c>
      <c r="AI48" s="33" t="s">
        <v>57</v>
      </c>
      <c r="AJ48" s="33" t="s">
        <v>58</v>
      </c>
      <c r="AK48" s="33" t="s">
        <v>56</v>
      </c>
      <c r="AL48" s="27"/>
      <c r="AM48" s="34" t="s">
        <v>57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155</v>
      </c>
      <c r="C49" s="25" t="s">
        <v>156</v>
      </c>
      <c r="D49" s="23" t="s">
        <v>157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56</v>
      </c>
      <c r="M49" s="29" t="str">
        <f t="shared" si="0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56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56</v>
      </c>
      <c r="AE49" s="32" t="str">
        <f t="shared" si="2"/>
        <v>✓ OK</v>
      </c>
      <c r="AF49" s="33" t="s">
        <v>61</v>
      </c>
      <c r="AG49" s="33" t="s">
        <v>55</v>
      </c>
      <c r="AH49" s="33" t="s">
        <v>56</v>
      </c>
      <c r="AI49" s="33" t="s">
        <v>57</v>
      </c>
      <c r="AJ49" s="33" t="s">
        <v>58</v>
      </c>
      <c r="AK49" s="33" t="s">
        <v>56</v>
      </c>
      <c r="AL49" s="27"/>
      <c r="AM49" s="34" t="s">
        <v>56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158</v>
      </c>
      <c r="C50" s="41" t="s">
        <v>159</v>
      </c>
      <c r="D50" s="39" t="s">
        <v>157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 t="s">
        <v>61</v>
      </c>
      <c r="AG50" s="33" t="s">
        <v>55</v>
      </c>
      <c r="AH50" s="33" t="s">
        <v>56</v>
      </c>
      <c r="AI50" s="33" t="s">
        <v>57</v>
      </c>
      <c r="AJ50" s="33" t="s">
        <v>58</v>
      </c>
      <c r="AK50" s="33" t="s">
        <v>56</v>
      </c>
      <c r="AL50" s="27"/>
      <c r="AM50" s="34" t="s">
        <v>57</v>
      </c>
      <c r="AN50" s="35" t="str">
        <f t="shared" si="3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160</v>
      </c>
      <c r="C51" s="25" t="s">
        <v>161</v>
      </c>
      <c r="D51" s="23" t="s">
        <v>157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162</v>
      </c>
      <c r="C52" s="41" t="s">
        <v>163</v>
      </c>
      <c r="D52" s="39" t="s">
        <v>157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 t="s">
        <v>61</v>
      </c>
      <c r="AG52" s="33" t="s">
        <v>55</v>
      </c>
      <c r="AH52" s="33" t="s">
        <v>56</v>
      </c>
      <c r="AI52" s="33" t="s">
        <v>57</v>
      </c>
      <c r="AJ52" s="33" t="s">
        <v>58</v>
      </c>
      <c r="AK52" s="33" t="s">
        <v>56</v>
      </c>
      <c r="AL52" s="27"/>
      <c r="AM52" s="34" t="s">
        <v>57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164</v>
      </c>
      <c r="C53" s="25" t="s">
        <v>165</v>
      </c>
      <c r="D53" s="23" t="s">
        <v>157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 t="s">
        <v>61</v>
      </c>
      <c r="AG53" s="33" t="s">
        <v>55</v>
      </c>
      <c r="AH53" s="33" t="s">
        <v>56</v>
      </c>
      <c r="AI53" s="33" t="s">
        <v>57</v>
      </c>
      <c r="AJ53" s="33" t="s">
        <v>58</v>
      </c>
      <c r="AK53" s="33" t="s">
        <v>56</v>
      </c>
      <c r="AL53" s="27"/>
      <c r="AM53" s="34" t="s">
        <v>57</v>
      </c>
      <c r="AN53" s="35" t="str">
        <f t="shared" si="3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166</v>
      </c>
      <c r="C54" s="41" t="s">
        <v>167</v>
      </c>
      <c r="D54" s="39" t="s">
        <v>157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 t="s">
        <v>61</v>
      </c>
      <c r="AG54" s="33" t="s">
        <v>55</v>
      </c>
      <c r="AH54" s="33" t="s">
        <v>56</v>
      </c>
      <c r="AI54" s="33" t="s">
        <v>57</v>
      </c>
      <c r="AJ54" s="33" t="s">
        <v>58</v>
      </c>
      <c r="AK54" s="33" t="s">
        <v>56</v>
      </c>
      <c r="AL54" s="27"/>
      <c r="AM54" s="34" t="s">
        <v>57</v>
      </c>
      <c r="AN54" s="35" t="str">
        <f t="shared" si="3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168</v>
      </c>
      <c r="C55" s="25" t="s">
        <v>169</v>
      </c>
      <c r="D55" s="23" t="s">
        <v>157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 t="s">
        <v>61</v>
      </c>
      <c r="AG55" s="33" t="s">
        <v>55</v>
      </c>
      <c r="AH55" s="33" t="s">
        <v>56</v>
      </c>
      <c r="AI55" s="33" t="s">
        <v>57</v>
      </c>
      <c r="AJ55" s="33" t="s">
        <v>58</v>
      </c>
      <c r="AK55" s="33" t="s">
        <v>56</v>
      </c>
      <c r="AL55" s="27"/>
      <c r="AM55" s="34" t="s">
        <v>57</v>
      </c>
      <c r="AN55" s="35" t="str">
        <f t="shared" si="3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170</v>
      </c>
      <c r="C56" s="41" t="s">
        <v>171</v>
      </c>
      <c r="D56" s="39" t="s">
        <v>157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 t="s">
        <v>61</v>
      </c>
      <c r="AG56" s="33" t="s">
        <v>55</v>
      </c>
      <c r="AH56" s="33" t="s">
        <v>56</v>
      </c>
      <c r="AI56" s="33" t="s">
        <v>57</v>
      </c>
      <c r="AJ56" s="33" t="s">
        <v>58</v>
      </c>
      <c r="AK56" s="33" t="s">
        <v>56</v>
      </c>
      <c r="AL56" s="27"/>
      <c r="AM56" s="34" t="s">
        <v>57</v>
      </c>
      <c r="AN56" s="35" t="str">
        <f t="shared" si="3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172</v>
      </c>
      <c r="C57" s="25" t="s">
        <v>173</v>
      </c>
      <c r="D57" s="23" t="s">
        <v>174</v>
      </c>
      <c r="E57" s="42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175</v>
      </c>
      <c r="L57" s="28" t="s">
        <v>56</v>
      </c>
      <c r="M57" s="29" t="str">
        <f t="shared" si="0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 t="s">
        <v>61</v>
      </c>
      <c r="AG57" s="33" t="s">
        <v>55</v>
      </c>
      <c r="AH57" s="33" t="s">
        <v>56</v>
      </c>
      <c r="AI57" s="33" t="s">
        <v>57</v>
      </c>
      <c r="AJ57" s="33" t="s">
        <v>58</v>
      </c>
      <c r="AK57" s="33" t="s">
        <v>56</v>
      </c>
      <c r="AL57" s="27"/>
      <c r="AM57" s="34" t="s">
        <v>57</v>
      </c>
      <c r="AN57" s="35" t="str">
        <f t="shared" si="3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176</v>
      </c>
      <c r="C58" s="41" t="s">
        <v>177</v>
      </c>
      <c r="D58" s="39" t="s">
        <v>174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2"/>
        <v>✓ OK</v>
      </c>
      <c r="AF58" s="33" t="s">
        <v>61</v>
      </c>
      <c r="AG58" s="33" t="s">
        <v>55</v>
      </c>
      <c r="AH58" s="33" t="s">
        <v>56</v>
      </c>
      <c r="AI58" s="33" t="s">
        <v>57</v>
      </c>
      <c r="AJ58" s="33" t="s">
        <v>58</v>
      </c>
      <c r="AK58" s="33" t="s">
        <v>56</v>
      </c>
      <c r="AL58" s="27"/>
      <c r="AM58" s="34" t="s">
        <v>57</v>
      </c>
      <c r="AN58" s="35" t="str">
        <f t="shared" si="3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178</v>
      </c>
      <c r="C59" s="25" t="s">
        <v>179</v>
      </c>
      <c r="D59" s="23" t="s">
        <v>174</v>
      </c>
      <c r="E59" s="42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2"/>
        <v>✓ OK</v>
      </c>
      <c r="AF59" s="33" t="s">
        <v>61</v>
      </c>
      <c r="AG59" s="33" t="s">
        <v>55</v>
      </c>
      <c r="AH59" s="33" t="s">
        <v>56</v>
      </c>
      <c r="AI59" s="33" t="s">
        <v>57</v>
      </c>
      <c r="AJ59" s="33" t="s">
        <v>58</v>
      </c>
      <c r="AK59" s="33" t="s">
        <v>56</v>
      </c>
      <c r="AL59" s="27"/>
      <c r="AM59" s="34" t="s">
        <v>57</v>
      </c>
      <c r="AN59" s="35" t="str">
        <f t="shared" si="3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180</v>
      </c>
      <c r="C60" s="41" t="s">
        <v>181</v>
      </c>
      <c r="D60" s="39" t="s">
        <v>174</v>
      </c>
      <c r="E60" s="42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2"/>
        <v>✓ OK</v>
      </c>
      <c r="AF60" s="33" t="s">
        <v>61</v>
      </c>
      <c r="AG60" s="33" t="s">
        <v>55</v>
      </c>
      <c r="AH60" s="33" t="s">
        <v>56</v>
      </c>
      <c r="AI60" s="33" t="s">
        <v>57</v>
      </c>
      <c r="AJ60" s="33" t="s">
        <v>58</v>
      </c>
      <c r="AK60" s="33" t="s">
        <v>56</v>
      </c>
      <c r="AL60" s="27"/>
      <c r="AM60" s="34" t="s">
        <v>57</v>
      </c>
      <c r="AN60" s="35" t="str">
        <f t="shared" si="3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182</v>
      </c>
      <c r="C61" s="25" t="s">
        <v>183</v>
      </c>
      <c r="D61" s="23" t="s">
        <v>174</v>
      </c>
      <c r="E61" s="42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184</v>
      </c>
      <c r="L61" s="28" t="s">
        <v>56</v>
      </c>
      <c r="M61" s="29" t="str">
        <f t="shared" si="0"/>
        <v>⚠ Check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57</v>
      </c>
      <c r="T61" s="27" t="s">
        <v>184</v>
      </c>
      <c r="U61" s="28" t="s">
        <v>56</v>
      </c>
      <c r="V61" s="29" t="str">
        <f t="shared" si="1"/>
        <v>⚠ Check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56</v>
      </c>
      <c r="AE61" s="32" t="str">
        <f t="shared" si="2"/>
        <v>✓ OK</v>
      </c>
      <c r="AF61" s="33" t="s">
        <v>61</v>
      </c>
      <c r="AG61" s="33" t="s">
        <v>55</v>
      </c>
      <c r="AH61" s="33" t="s">
        <v>56</v>
      </c>
      <c r="AI61" s="33" t="s">
        <v>57</v>
      </c>
      <c r="AJ61" s="33" t="s">
        <v>58</v>
      </c>
      <c r="AK61" s="33" t="s">
        <v>56</v>
      </c>
      <c r="AL61" s="27"/>
      <c r="AM61" s="34" t="s">
        <v>57</v>
      </c>
      <c r="AN61" s="35" t="str">
        <f t="shared" si="3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185</v>
      </c>
      <c r="C62" s="41" t="s">
        <v>186</v>
      </c>
      <c r="D62" s="39" t="s">
        <v>174</v>
      </c>
      <c r="E62" s="42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175</v>
      </c>
      <c r="L62" s="28" t="s">
        <v>56</v>
      </c>
      <c r="M62" s="29" t="str">
        <f t="shared" si="0"/>
        <v>⚠ Check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57</v>
      </c>
      <c r="T62" s="27" t="s">
        <v>175</v>
      </c>
      <c r="U62" s="28" t="s">
        <v>56</v>
      </c>
      <c r="V62" s="29" t="str">
        <f t="shared" si="1"/>
        <v>⚠ Check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57</v>
      </c>
      <c r="AC62" s="27" t="s">
        <v>175</v>
      </c>
      <c r="AD62" s="31" t="s">
        <v>56</v>
      </c>
      <c r="AE62" s="32" t="str">
        <f t="shared" si="2"/>
        <v>⚠ Check</v>
      </c>
      <c r="AF62" s="33" t="s">
        <v>61</v>
      </c>
      <c r="AG62" s="33" t="s">
        <v>55</v>
      </c>
      <c r="AH62" s="33" t="s">
        <v>56</v>
      </c>
      <c r="AI62" s="33" t="s">
        <v>57</v>
      </c>
      <c r="AJ62" s="33" t="s">
        <v>58</v>
      </c>
      <c r="AK62" s="33" t="s">
        <v>56</v>
      </c>
      <c r="AL62" s="27"/>
      <c r="AM62" s="34" t="s">
        <v>57</v>
      </c>
      <c r="AN62" s="35" t="str">
        <f t="shared" si="3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187</v>
      </c>
      <c r="C63" s="25" t="s">
        <v>188</v>
      </c>
      <c r="D63" s="23" t="s">
        <v>174</v>
      </c>
      <c r="E63" s="42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2"/>
        <v>✓ OK</v>
      </c>
      <c r="AF63" s="33" t="s">
        <v>61</v>
      </c>
      <c r="AG63" s="33" t="s">
        <v>55</v>
      </c>
      <c r="AH63" s="33" t="s">
        <v>56</v>
      </c>
      <c r="AI63" s="33" t="s">
        <v>57</v>
      </c>
      <c r="AJ63" s="33" t="s">
        <v>58</v>
      </c>
      <c r="AK63" s="33" t="s">
        <v>56</v>
      </c>
      <c r="AL63" s="27"/>
      <c r="AM63" s="34" t="s">
        <v>57</v>
      </c>
      <c r="AN63" s="35" t="str">
        <f t="shared" si="3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189</v>
      </c>
      <c r="C64" s="41" t="s">
        <v>190</v>
      </c>
      <c r="D64" s="39" t="s">
        <v>174</v>
      </c>
      <c r="E64" s="42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184</v>
      </c>
      <c r="L64" s="28" t="s">
        <v>56</v>
      </c>
      <c r="M64" s="29" t="str">
        <f t="shared" si="0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184</v>
      </c>
      <c r="U64" s="28" t="s">
        <v>56</v>
      </c>
      <c r="V64" s="29" t="str">
        <f t="shared" si="1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56</v>
      </c>
      <c r="AE64" s="32" t="str">
        <f t="shared" si="2"/>
        <v>✓ OK</v>
      </c>
      <c r="AF64" s="33" t="s">
        <v>61</v>
      </c>
      <c r="AG64" s="33" t="s">
        <v>55</v>
      </c>
      <c r="AH64" s="33" t="s">
        <v>56</v>
      </c>
      <c r="AI64" s="33" t="s">
        <v>57</v>
      </c>
      <c r="AJ64" s="33" t="s">
        <v>58</v>
      </c>
      <c r="AK64" s="33" t="s">
        <v>56</v>
      </c>
      <c r="AL64" s="27"/>
      <c r="AM64" s="34" t="s">
        <v>57</v>
      </c>
      <c r="AN64" s="35" t="str">
        <f t="shared" si="3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191</v>
      </c>
      <c r="C65" s="25" t="s">
        <v>192</v>
      </c>
      <c r="D65" s="23" t="s">
        <v>174</v>
      </c>
      <c r="E65" s="42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184</v>
      </c>
      <c r="L65" s="28" t="s">
        <v>56</v>
      </c>
      <c r="M65" s="29" t="str">
        <f t="shared" si="0"/>
        <v>⚠ Check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57</v>
      </c>
      <c r="T65" s="27" t="s">
        <v>184</v>
      </c>
      <c r="U65" s="28" t="s">
        <v>56</v>
      </c>
      <c r="V65" s="29" t="str">
        <f t="shared" si="1"/>
        <v>⚠ Check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56</v>
      </c>
      <c r="AE65" s="32" t="str">
        <f t="shared" si="2"/>
        <v>✓ OK</v>
      </c>
      <c r="AF65" s="33" t="s">
        <v>61</v>
      </c>
      <c r="AG65" s="33" t="s">
        <v>55</v>
      </c>
      <c r="AH65" s="33" t="s">
        <v>56</v>
      </c>
      <c r="AI65" s="33" t="s">
        <v>57</v>
      </c>
      <c r="AJ65" s="33" t="s">
        <v>58</v>
      </c>
      <c r="AK65" s="33" t="s">
        <v>56</v>
      </c>
      <c r="AL65" s="27"/>
      <c r="AM65" s="34" t="s">
        <v>57</v>
      </c>
      <c r="AN65" s="35" t="str">
        <f t="shared" si="3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193</v>
      </c>
      <c r="C66" s="41" t="s">
        <v>194</v>
      </c>
      <c r="D66" s="39" t="s">
        <v>174</v>
      </c>
      <c r="E66" s="42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2"/>
        <v>✓ OK</v>
      </c>
      <c r="AF66" s="33" t="s">
        <v>61</v>
      </c>
      <c r="AG66" s="33" t="s">
        <v>55</v>
      </c>
      <c r="AH66" s="33" t="s">
        <v>56</v>
      </c>
      <c r="AI66" s="33" t="s">
        <v>57</v>
      </c>
      <c r="AJ66" s="33" t="s">
        <v>58</v>
      </c>
      <c r="AK66" s="33" t="s">
        <v>56</v>
      </c>
      <c r="AL66" s="27"/>
      <c r="AM66" s="34" t="s">
        <v>57</v>
      </c>
      <c r="AN66" s="35" t="str">
        <f t="shared" si="3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195</v>
      </c>
      <c r="C67" s="25" t="s">
        <v>196</v>
      </c>
      <c r="D67" s="23" t="s">
        <v>174</v>
      </c>
      <c r="E67" s="42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184</v>
      </c>
      <c r="L67" s="28" t="s">
        <v>56</v>
      </c>
      <c r="M67" s="29" t="str">
        <f t="shared" si="0"/>
        <v>⚠ Check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57</v>
      </c>
      <c r="T67" s="27" t="s">
        <v>184</v>
      </c>
      <c r="U67" s="28" t="s">
        <v>56</v>
      </c>
      <c r="V67" s="29" t="str">
        <f t="shared" si="1"/>
        <v>⚠ Check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56</v>
      </c>
      <c r="AE67" s="32" t="str">
        <f t="shared" si="2"/>
        <v>✓ OK</v>
      </c>
      <c r="AF67" s="33" t="s">
        <v>61</v>
      </c>
      <c r="AG67" s="33" t="s">
        <v>62</v>
      </c>
      <c r="AH67" s="33" t="s">
        <v>56</v>
      </c>
      <c r="AI67" s="33" t="s">
        <v>56</v>
      </c>
      <c r="AJ67" s="33" t="s">
        <v>58</v>
      </c>
      <c r="AK67" s="33" t="s">
        <v>56</v>
      </c>
      <c r="AL67" s="27"/>
      <c r="AM67" s="34" t="s">
        <v>57</v>
      </c>
      <c r="AN67" s="35" t="str">
        <f t="shared" si="3"/>
        <v>❌ Disc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197</v>
      </c>
      <c r="C68" s="41" t="s">
        <v>198</v>
      </c>
      <c r="D68" s="39" t="s">
        <v>174</v>
      </c>
      <c r="E68" s="42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184</v>
      </c>
      <c r="L68" s="28" t="s">
        <v>56</v>
      </c>
      <c r="M68" s="29" t="str">
        <f t="shared" si="0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184</v>
      </c>
      <c r="U68" s="28" t="s">
        <v>56</v>
      </c>
      <c r="V68" s="29" t="str">
        <f t="shared" si="1"/>
        <v>⚠ Check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56</v>
      </c>
      <c r="AE68" s="32" t="str">
        <f t="shared" si="2"/>
        <v>✓ OK</v>
      </c>
      <c r="AF68" s="33" t="s">
        <v>61</v>
      </c>
      <c r="AG68" s="33" t="s">
        <v>55</v>
      </c>
      <c r="AH68" s="33" t="s">
        <v>56</v>
      </c>
      <c r="AI68" s="33" t="s">
        <v>57</v>
      </c>
      <c r="AJ68" s="33" t="s">
        <v>58</v>
      </c>
      <c r="AK68" s="33" t="s">
        <v>56</v>
      </c>
      <c r="AL68" s="27"/>
      <c r="AM68" s="34" t="s">
        <v>57</v>
      </c>
      <c r="AN68" s="35" t="str">
        <f t="shared" si="3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199</v>
      </c>
      <c r="C69" s="25" t="s">
        <v>200</v>
      </c>
      <c r="D69" s="23" t="s">
        <v>174</v>
      </c>
      <c r="E69" s="42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201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✓ OK</v>
      </c>
      <c r="AF69" s="33" t="s">
        <v>61</v>
      </c>
      <c r="AG69" s="33" t="s">
        <v>55</v>
      </c>
      <c r="AH69" s="33" t="s">
        <v>56</v>
      </c>
      <c r="AI69" s="33" t="s">
        <v>57</v>
      </c>
      <c r="AJ69" s="33" t="s">
        <v>58</v>
      </c>
      <c r="AK69" s="33" t="s">
        <v>56</v>
      </c>
      <c r="AL69" s="27"/>
      <c r="AM69" s="34" t="s">
        <v>57</v>
      </c>
      <c r="AN69" s="35" t="str">
        <f t="shared" ref="AN69:AN132" si="8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202</v>
      </c>
      <c r="C70" s="41" t="s">
        <v>203</v>
      </c>
      <c r="D70" s="39" t="s">
        <v>174</v>
      </c>
      <c r="E70" s="42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201</v>
      </c>
      <c r="L70" s="28" t="s">
        <v>56</v>
      </c>
      <c r="M70" s="29" t="str">
        <f t="shared" si="5"/>
        <v>⚠ Check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201</v>
      </c>
      <c r="U70" s="28" t="s">
        <v>56</v>
      </c>
      <c r="V70" s="29" t="str">
        <f t="shared" si="6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57</v>
      </c>
      <c r="AC70" s="27" t="s">
        <v>201</v>
      </c>
      <c r="AD70" s="31" t="s">
        <v>56</v>
      </c>
      <c r="AE70" s="32" t="str">
        <f t="shared" si="7"/>
        <v>⚠ Check</v>
      </c>
      <c r="AF70" s="33" t="s">
        <v>61</v>
      </c>
      <c r="AG70" s="33" t="s">
        <v>55</v>
      </c>
      <c r="AH70" s="33" t="s">
        <v>56</v>
      </c>
      <c r="AI70" s="33" t="s">
        <v>57</v>
      </c>
      <c r="AJ70" s="33" t="s">
        <v>58</v>
      </c>
      <c r="AK70" s="33" t="s">
        <v>56</v>
      </c>
      <c r="AL70" s="27"/>
      <c r="AM70" s="34" t="s">
        <v>57</v>
      </c>
      <c r="AN70" s="35" t="str">
        <f t="shared" si="8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204</v>
      </c>
      <c r="C71" s="25" t="s">
        <v>205</v>
      </c>
      <c r="D71" s="23" t="s">
        <v>174</v>
      </c>
      <c r="E71" s="42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7"/>
        <v>✓ OK</v>
      </c>
      <c r="AF71" s="33" t="s">
        <v>61</v>
      </c>
      <c r="AG71" s="33" t="s">
        <v>55</v>
      </c>
      <c r="AH71" s="33" t="s">
        <v>56</v>
      </c>
      <c r="AI71" s="33" t="s">
        <v>57</v>
      </c>
      <c r="AJ71" s="33" t="s">
        <v>58</v>
      </c>
      <c r="AK71" s="33" t="s">
        <v>56</v>
      </c>
      <c r="AL71" s="27"/>
      <c r="AM71" s="34" t="s">
        <v>57</v>
      </c>
      <c r="AN71" s="35" t="str">
        <f t="shared" si="8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206</v>
      </c>
      <c r="C72" s="41" t="s">
        <v>207</v>
      </c>
      <c r="D72" s="39" t="s">
        <v>174</v>
      </c>
      <c r="E72" s="42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175</v>
      </c>
      <c r="L72" s="28" t="s">
        <v>56</v>
      </c>
      <c r="M72" s="29" t="str">
        <f t="shared" si="5"/>
        <v>⚠ Check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7"/>
        <v>✓ OK</v>
      </c>
      <c r="AF72" s="33" t="s">
        <v>61</v>
      </c>
      <c r="AG72" s="33" t="s">
        <v>55</v>
      </c>
      <c r="AH72" s="33" t="s">
        <v>56</v>
      </c>
      <c r="AI72" s="33" t="s">
        <v>57</v>
      </c>
      <c r="AJ72" s="33" t="s">
        <v>58</v>
      </c>
      <c r="AK72" s="33" t="s">
        <v>56</v>
      </c>
      <c r="AL72" s="27"/>
      <c r="AM72" s="34" t="s">
        <v>57</v>
      </c>
      <c r="AN72" s="35" t="str">
        <f t="shared" si="8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208</v>
      </c>
      <c r="C73" s="25" t="s">
        <v>209</v>
      </c>
      <c r="D73" s="23" t="s">
        <v>210</v>
      </c>
      <c r="E73" s="42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70">
        <v>46248</v>
      </c>
      <c r="X73" s="30" t="s">
        <v>55</v>
      </c>
      <c r="Y73" s="30" t="s">
        <v>57</v>
      </c>
      <c r="Z73" s="30" t="s">
        <v>56</v>
      </c>
      <c r="AA73" s="30" t="s">
        <v>60</v>
      </c>
      <c r="AB73" s="30" t="s">
        <v>57</v>
      </c>
      <c r="AC73" s="27"/>
      <c r="AD73" s="31" t="s">
        <v>57</v>
      </c>
      <c r="AE73" s="32" t="str">
        <f t="shared" si="7"/>
        <v>❌ Disc</v>
      </c>
      <c r="AF73" s="33" t="s">
        <v>61</v>
      </c>
      <c r="AG73" s="33" t="s">
        <v>62</v>
      </c>
      <c r="AH73" s="33" t="s">
        <v>57</v>
      </c>
      <c r="AI73" s="33" t="s">
        <v>56</v>
      </c>
      <c r="AJ73" s="33" t="s">
        <v>60</v>
      </c>
      <c r="AK73" s="33" t="s">
        <v>57</v>
      </c>
      <c r="AL73" s="27"/>
      <c r="AM73" s="34" t="s">
        <v>57</v>
      </c>
      <c r="AN73" s="35" t="str">
        <f t="shared" si="8"/>
        <v>❌ Disc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211</v>
      </c>
      <c r="C74" s="41" t="s">
        <v>212</v>
      </c>
      <c r="D74" s="39" t="s">
        <v>210</v>
      </c>
      <c r="E74" s="42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70">
        <v>46252</v>
      </c>
      <c r="X74" s="30" t="s">
        <v>55</v>
      </c>
      <c r="Y74" s="30" t="s">
        <v>57</v>
      </c>
      <c r="Z74" s="30" t="s">
        <v>56</v>
      </c>
      <c r="AA74" s="30" t="s">
        <v>60</v>
      </c>
      <c r="AB74" s="30" t="s">
        <v>57</v>
      </c>
      <c r="AC74" s="27"/>
      <c r="AD74" s="31" t="s">
        <v>57</v>
      </c>
      <c r="AE74" s="32" t="str">
        <f t="shared" si="7"/>
        <v>❌ Disc</v>
      </c>
      <c r="AF74" s="33" t="s">
        <v>61</v>
      </c>
      <c r="AG74" s="33" t="s">
        <v>62</v>
      </c>
      <c r="AH74" s="33" t="s">
        <v>57</v>
      </c>
      <c r="AI74" s="33" t="s">
        <v>56</v>
      </c>
      <c r="AJ74" s="33" t="s">
        <v>60</v>
      </c>
      <c r="AK74" s="33" t="s">
        <v>57</v>
      </c>
      <c r="AL74" s="27"/>
      <c r="AM74" s="34" t="s">
        <v>57</v>
      </c>
      <c r="AN74" s="35" t="str">
        <f t="shared" si="8"/>
        <v>❌ Disc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213</v>
      </c>
      <c r="C75" s="25" t="s">
        <v>214</v>
      </c>
      <c r="D75" s="23" t="s">
        <v>210</v>
      </c>
      <c r="E75" s="42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70">
        <v>46252</v>
      </c>
      <c r="X75" s="30" t="s">
        <v>55</v>
      </c>
      <c r="Y75" s="30" t="s">
        <v>57</v>
      </c>
      <c r="Z75" s="30" t="s">
        <v>56</v>
      </c>
      <c r="AA75" s="30" t="s">
        <v>60</v>
      </c>
      <c r="AB75" s="30" t="s">
        <v>57</v>
      </c>
      <c r="AC75" s="27"/>
      <c r="AD75" s="31" t="s">
        <v>57</v>
      </c>
      <c r="AE75" s="32" t="str">
        <f t="shared" si="7"/>
        <v>❌ Disc</v>
      </c>
      <c r="AF75" s="33" t="s">
        <v>61</v>
      </c>
      <c r="AG75" s="33" t="s">
        <v>62</v>
      </c>
      <c r="AH75" s="33" t="s">
        <v>57</v>
      </c>
      <c r="AI75" s="33" t="s">
        <v>56</v>
      </c>
      <c r="AJ75" s="33" t="s">
        <v>60</v>
      </c>
      <c r="AK75" s="33" t="s">
        <v>57</v>
      </c>
      <c r="AL75" s="27"/>
      <c r="AM75" s="34" t="s">
        <v>57</v>
      </c>
      <c r="AN75" s="35" t="str">
        <f t="shared" si="8"/>
        <v>❌ Disc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215</v>
      </c>
      <c r="C76" s="41" t="s">
        <v>216</v>
      </c>
      <c r="D76" s="39" t="s">
        <v>210</v>
      </c>
      <c r="E76" s="42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7"/>
        <v>✓ OK</v>
      </c>
      <c r="AF76" s="33" t="s">
        <v>61</v>
      </c>
      <c r="AG76" s="33" t="s">
        <v>55</v>
      </c>
      <c r="AH76" s="33" t="s">
        <v>56</v>
      </c>
      <c r="AI76" s="33" t="s">
        <v>57</v>
      </c>
      <c r="AJ76" s="33" t="s">
        <v>58</v>
      </c>
      <c r="AK76" s="33" t="s">
        <v>56</v>
      </c>
      <c r="AL76" s="27"/>
      <c r="AM76" s="34" t="s">
        <v>57</v>
      </c>
      <c r="AN76" s="35" t="str">
        <f t="shared" si="8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217</v>
      </c>
      <c r="C77" s="25" t="s">
        <v>218</v>
      </c>
      <c r="D77" s="23" t="s">
        <v>210</v>
      </c>
      <c r="E77" s="42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7"/>
        <v>✓ OK</v>
      </c>
      <c r="AF77" s="33" t="s">
        <v>61</v>
      </c>
      <c r="AG77" s="33" t="s">
        <v>55</v>
      </c>
      <c r="AH77" s="33" t="s">
        <v>56</v>
      </c>
      <c r="AI77" s="33" t="s">
        <v>57</v>
      </c>
      <c r="AJ77" s="33" t="s">
        <v>58</v>
      </c>
      <c r="AK77" s="33" t="s">
        <v>56</v>
      </c>
      <c r="AL77" s="27"/>
      <c r="AM77" s="34" t="s">
        <v>57</v>
      </c>
      <c r="AN77" s="35" t="str">
        <f t="shared" si="8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219</v>
      </c>
      <c r="C78" s="41" t="s">
        <v>220</v>
      </c>
      <c r="D78" s="39" t="s">
        <v>210</v>
      </c>
      <c r="E78" s="42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221</v>
      </c>
      <c r="L78" s="28" t="s">
        <v>56</v>
      </c>
      <c r="M78" s="29" t="str">
        <f t="shared" si="5"/>
        <v>⚠ Check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57</v>
      </c>
      <c r="T78" s="27" t="s">
        <v>221</v>
      </c>
      <c r="U78" s="28" t="s">
        <v>56</v>
      </c>
      <c r="V78" s="29" t="str">
        <f t="shared" si="6"/>
        <v>⚠ Check</v>
      </c>
      <c r="W78" s="70">
        <v>46248</v>
      </c>
      <c r="X78" s="30" t="s">
        <v>55</v>
      </c>
      <c r="Y78" s="30" t="s">
        <v>57</v>
      </c>
      <c r="Z78" s="30" t="s">
        <v>56</v>
      </c>
      <c r="AA78" s="30" t="s">
        <v>60</v>
      </c>
      <c r="AB78" s="30" t="s">
        <v>57</v>
      </c>
      <c r="AC78" s="27"/>
      <c r="AD78" s="31" t="s">
        <v>57</v>
      </c>
      <c r="AE78" s="32" t="str">
        <f t="shared" si="7"/>
        <v>❌ Disc</v>
      </c>
      <c r="AF78" s="33" t="s">
        <v>61</v>
      </c>
      <c r="AG78" s="33" t="s">
        <v>62</v>
      </c>
      <c r="AH78" s="33" t="s">
        <v>56</v>
      </c>
      <c r="AI78" s="33" t="s">
        <v>56</v>
      </c>
      <c r="AJ78" s="33" t="s">
        <v>58</v>
      </c>
      <c r="AK78" s="33" t="s">
        <v>56</v>
      </c>
      <c r="AL78" s="27"/>
      <c r="AM78" s="34" t="s">
        <v>57</v>
      </c>
      <c r="AN78" s="35" t="str">
        <f t="shared" si="8"/>
        <v>❌ Disc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222</v>
      </c>
      <c r="C79" s="25" t="s">
        <v>223</v>
      </c>
      <c r="D79" s="23" t="s">
        <v>210</v>
      </c>
      <c r="E79" s="42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224</v>
      </c>
      <c r="L79" s="28" t="s">
        <v>56</v>
      </c>
      <c r="M79" s="29" t="str">
        <f t="shared" si="5"/>
        <v>⚠ Check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7"/>
        <v>✓ OK</v>
      </c>
      <c r="AF79" s="33" t="s">
        <v>61</v>
      </c>
      <c r="AG79" s="33" t="s">
        <v>55</v>
      </c>
      <c r="AH79" s="33" t="s">
        <v>56</v>
      </c>
      <c r="AI79" s="33" t="s">
        <v>57</v>
      </c>
      <c r="AJ79" s="33" t="s">
        <v>58</v>
      </c>
      <c r="AK79" s="33" t="s">
        <v>56</v>
      </c>
      <c r="AL79" s="27"/>
      <c r="AM79" s="34" t="s">
        <v>57</v>
      </c>
      <c r="AN79" s="35" t="str">
        <f t="shared" si="8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225</v>
      </c>
      <c r="C80" s="41" t="s">
        <v>226</v>
      </c>
      <c r="D80" s="39" t="s">
        <v>210</v>
      </c>
      <c r="E80" s="42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7"/>
        <v>✓ OK</v>
      </c>
      <c r="AF80" s="33" t="s">
        <v>61</v>
      </c>
      <c r="AG80" s="33" t="s">
        <v>55</v>
      </c>
      <c r="AH80" s="33" t="s">
        <v>56</v>
      </c>
      <c r="AI80" s="33" t="s">
        <v>57</v>
      </c>
      <c r="AJ80" s="33" t="s">
        <v>58</v>
      </c>
      <c r="AK80" s="33" t="s">
        <v>56</v>
      </c>
      <c r="AL80" s="27"/>
      <c r="AM80" s="34" t="s">
        <v>57</v>
      </c>
      <c r="AN80" s="35" t="str">
        <f t="shared" si="8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227</v>
      </c>
      <c r="C81" s="25" t="s">
        <v>228</v>
      </c>
      <c r="D81" s="23" t="s">
        <v>210</v>
      </c>
      <c r="E81" s="42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221</v>
      </c>
      <c r="L81" s="28" t="s">
        <v>56</v>
      </c>
      <c r="M81" s="29" t="str">
        <f t="shared" si="5"/>
        <v>⚠ Check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57</v>
      </c>
      <c r="T81" s="27" t="s">
        <v>221</v>
      </c>
      <c r="U81" s="28" t="s">
        <v>56</v>
      </c>
      <c r="V81" s="29" t="str">
        <f t="shared" si="6"/>
        <v>⚠ Check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57</v>
      </c>
      <c r="AC81" s="27" t="s">
        <v>221</v>
      </c>
      <c r="AD81" s="31" t="s">
        <v>56</v>
      </c>
      <c r="AE81" s="32" t="str">
        <f t="shared" si="7"/>
        <v>⚠ Check</v>
      </c>
      <c r="AF81" s="33" t="s">
        <v>61</v>
      </c>
      <c r="AG81" s="33" t="s">
        <v>55</v>
      </c>
      <c r="AH81" s="33" t="s">
        <v>56</v>
      </c>
      <c r="AI81" s="33" t="s">
        <v>57</v>
      </c>
      <c r="AJ81" s="33" t="s">
        <v>58</v>
      </c>
      <c r="AK81" s="33" t="s">
        <v>56</v>
      </c>
      <c r="AL81" s="27"/>
      <c r="AM81" s="34" t="s">
        <v>57</v>
      </c>
      <c r="AN81" s="35" t="str">
        <f t="shared" si="8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229</v>
      </c>
      <c r="C82" s="41" t="s">
        <v>230</v>
      </c>
      <c r="D82" s="39" t="s">
        <v>210</v>
      </c>
      <c r="E82" s="42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221</v>
      </c>
      <c r="L82" s="28" t="s">
        <v>56</v>
      </c>
      <c r="M82" s="29" t="str">
        <f t="shared" si="5"/>
        <v>⚠ Check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57</v>
      </c>
      <c r="T82" s="27" t="s">
        <v>221</v>
      </c>
      <c r="U82" s="28" t="s">
        <v>56</v>
      </c>
      <c r="V82" s="29" t="str">
        <f t="shared" si="6"/>
        <v>⚠ Check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57</v>
      </c>
      <c r="AC82" s="27" t="s">
        <v>221</v>
      </c>
      <c r="AD82" s="31" t="s">
        <v>56</v>
      </c>
      <c r="AE82" s="32" t="str">
        <f t="shared" si="7"/>
        <v>⚠ Check</v>
      </c>
      <c r="AF82" s="33" t="s">
        <v>61</v>
      </c>
      <c r="AG82" s="33" t="s">
        <v>55</v>
      </c>
      <c r="AH82" s="33" t="s">
        <v>56</v>
      </c>
      <c r="AI82" s="33" t="s">
        <v>57</v>
      </c>
      <c r="AJ82" s="33" t="s">
        <v>58</v>
      </c>
      <c r="AK82" s="33" t="s">
        <v>56</v>
      </c>
      <c r="AL82" s="27"/>
      <c r="AM82" s="34" t="s">
        <v>57</v>
      </c>
      <c r="AN82" s="35" t="str">
        <f t="shared" si="8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231</v>
      </c>
      <c r="C83" s="25" t="s">
        <v>232</v>
      </c>
      <c r="D83" s="23" t="s">
        <v>210</v>
      </c>
      <c r="E83" s="42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7"/>
        <v>✓ OK</v>
      </c>
      <c r="AF83" s="33" t="s">
        <v>61</v>
      </c>
      <c r="AG83" s="33" t="s">
        <v>55</v>
      </c>
      <c r="AH83" s="33" t="s">
        <v>56</v>
      </c>
      <c r="AI83" s="33" t="s">
        <v>57</v>
      </c>
      <c r="AJ83" s="33" t="s">
        <v>58</v>
      </c>
      <c r="AK83" s="33" t="s">
        <v>56</v>
      </c>
      <c r="AL83" s="27"/>
      <c r="AM83" s="34" t="s">
        <v>57</v>
      </c>
      <c r="AN83" s="35" t="str">
        <f t="shared" si="8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233</v>
      </c>
      <c r="C84" s="41" t="s">
        <v>234</v>
      </c>
      <c r="D84" s="39" t="s">
        <v>210</v>
      </c>
      <c r="E84" s="42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221</v>
      </c>
      <c r="L84" s="28" t="s">
        <v>56</v>
      </c>
      <c r="M84" s="29" t="str">
        <f t="shared" si="5"/>
        <v>⚠ Check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57</v>
      </c>
      <c r="T84" s="27" t="s">
        <v>221</v>
      </c>
      <c r="U84" s="28" t="s">
        <v>56</v>
      </c>
      <c r="V84" s="29" t="str">
        <f t="shared" si="6"/>
        <v>⚠ Check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57</v>
      </c>
      <c r="AC84" s="27" t="s">
        <v>221</v>
      </c>
      <c r="AD84" s="31" t="s">
        <v>56</v>
      </c>
      <c r="AE84" s="32" t="str">
        <f t="shared" si="7"/>
        <v>⚠ Check</v>
      </c>
      <c r="AF84" s="33" t="s">
        <v>61</v>
      </c>
      <c r="AG84" s="33" t="s">
        <v>55</v>
      </c>
      <c r="AH84" s="33" t="s">
        <v>56</v>
      </c>
      <c r="AI84" s="33" t="s">
        <v>57</v>
      </c>
      <c r="AJ84" s="33" t="s">
        <v>58</v>
      </c>
      <c r="AK84" s="33" t="s">
        <v>56</v>
      </c>
      <c r="AL84" s="27"/>
      <c r="AM84" s="34" t="s">
        <v>57</v>
      </c>
      <c r="AN84" s="35" t="str">
        <f t="shared" si="8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235</v>
      </c>
      <c r="C85" s="25" t="s">
        <v>236</v>
      </c>
      <c r="D85" s="23" t="s">
        <v>210</v>
      </c>
      <c r="E85" s="42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7"/>
        <v>✓ OK</v>
      </c>
      <c r="AF85" s="33" t="s">
        <v>61</v>
      </c>
      <c r="AG85" s="33" t="s">
        <v>55</v>
      </c>
      <c r="AH85" s="33" t="s">
        <v>56</v>
      </c>
      <c r="AI85" s="33" t="s">
        <v>57</v>
      </c>
      <c r="AJ85" s="33" t="s">
        <v>58</v>
      </c>
      <c r="AK85" s="33" t="s">
        <v>56</v>
      </c>
      <c r="AL85" s="27"/>
      <c r="AM85" s="34" t="s">
        <v>57</v>
      </c>
      <c r="AN85" s="35" t="str">
        <f t="shared" si="8"/>
        <v>✓ OK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237</v>
      </c>
      <c r="C86" s="41" t="s">
        <v>238</v>
      </c>
      <c r="D86" s="39" t="s">
        <v>210</v>
      </c>
      <c r="E86" s="42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221</v>
      </c>
      <c r="L86" s="28" t="s">
        <v>56</v>
      </c>
      <c r="M86" s="29" t="str">
        <f t="shared" si="5"/>
        <v>⚠ Check</v>
      </c>
      <c r="N86" s="42">
        <v>46193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57</v>
      </c>
      <c r="T86" s="27" t="s">
        <v>221</v>
      </c>
      <c r="U86" s="28" t="s">
        <v>56</v>
      </c>
      <c r="V86" s="29" t="str">
        <f t="shared" si="6"/>
        <v>⚠ Check</v>
      </c>
      <c r="W86" s="70">
        <v>46252</v>
      </c>
      <c r="X86" s="30" t="s">
        <v>55</v>
      </c>
      <c r="Y86" s="30" t="s">
        <v>57</v>
      </c>
      <c r="Z86" s="30" t="s">
        <v>56</v>
      </c>
      <c r="AA86" s="30" t="s">
        <v>60</v>
      </c>
      <c r="AB86" s="30" t="s">
        <v>57</v>
      </c>
      <c r="AC86" s="27"/>
      <c r="AD86" s="31" t="s">
        <v>57</v>
      </c>
      <c r="AE86" s="32" t="str">
        <f t="shared" si="7"/>
        <v>❌ Disc</v>
      </c>
      <c r="AF86" s="33" t="s">
        <v>61</v>
      </c>
      <c r="AG86" s="33" t="s">
        <v>62</v>
      </c>
      <c r="AH86" s="33" t="s">
        <v>56</v>
      </c>
      <c r="AI86" s="33" t="s">
        <v>56</v>
      </c>
      <c r="AJ86" s="33" t="s">
        <v>58</v>
      </c>
      <c r="AK86" s="33" t="s">
        <v>56</v>
      </c>
      <c r="AL86" s="27"/>
      <c r="AM86" s="34" t="s">
        <v>57</v>
      </c>
      <c r="AN86" s="35" t="str">
        <f t="shared" si="8"/>
        <v>❌ Disc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239</v>
      </c>
      <c r="C87" s="25" t="s">
        <v>240</v>
      </c>
      <c r="D87" s="23" t="s">
        <v>210</v>
      </c>
      <c r="E87" s="42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221</v>
      </c>
      <c r="L87" s="28" t="s">
        <v>56</v>
      </c>
      <c r="M87" s="29" t="str">
        <f t="shared" si="5"/>
        <v>⚠ Check</v>
      </c>
      <c r="N87" s="42">
        <v>46193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57</v>
      </c>
      <c r="T87" s="27" t="s">
        <v>221</v>
      </c>
      <c r="U87" s="28" t="s">
        <v>56</v>
      </c>
      <c r="V87" s="29" t="str">
        <f t="shared" si="6"/>
        <v>⚠ Check</v>
      </c>
      <c r="W87" s="70">
        <v>46252</v>
      </c>
      <c r="X87" s="30" t="s">
        <v>55</v>
      </c>
      <c r="Y87" s="30" t="s">
        <v>57</v>
      </c>
      <c r="Z87" s="30" t="s">
        <v>56</v>
      </c>
      <c r="AA87" s="30" t="s">
        <v>60</v>
      </c>
      <c r="AB87" s="30" t="s">
        <v>57</v>
      </c>
      <c r="AC87" s="27"/>
      <c r="AD87" s="31" t="s">
        <v>57</v>
      </c>
      <c r="AE87" s="32" t="str">
        <f t="shared" si="7"/>
        <v>❌ Disc</v>
      </c>
      <c r="AF87" s="33" t="s">
        <v>61</v>
      </c>
      <c r="AG87" s="33" t="s">
        <v>62</v>
      </c>
      <c r="AH87" s="33" t="s">
        <v>56</v>
      </c>
      <c r="AI87" s="33" t="s">
        <v>56</v>
      </c>
      <c r="AJ87" s="33" t="s">
        <v>58</v>
      </c>
      <c r="AK87" s="33" t="s">
        <v>56</v>
      </c>
      <c r="AL87" s="27"/>
      <c r="AM87" s="34" t="s">
        <v>57</v>
      </c>
      <c r="AN87" s="35" t="str">
        <f t="shared" si="8"/>
        <v>❌ Disc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241</v>
      </c>
      <c r="C88" s="41" t="s">
        <v>242</v>
      </c>
      <c r="D88" s="39" t="s">
        <v>210</v>
      </c>
      <c r="E88" s="42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42">
        <v>46193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70">
        <v>46252</v>
      </c>
      <c r="X88" s="30" t="s">
        <v>55</v>
      </c>
      <c r="Y88" s="30" t="s">
        <v>57</v>
      </c>
      <c r="Z88" s="30" t="s">
        <v>56</v>
      </c>
      <c r="AA88" s="30" t="s">
        <v>60</v>
      </c>
      <c r="AB88" s="30" t="s">
        <v>57</v>
      </c>
      <c r="AC88" s="27"/>
      <c r="AD88" s="31" t="s">
        <v>57</v>
      </c>
      <c r="AE88" s="32" t="str">
        <f t="shared" si="7"/>
        <v>❌ Disc</v>
      </c>
      <c r="AF88" s="33" t="s">
        <v>61</v>
      </c>
      <c r="AG88" s="33" t="s">
        <v>62</v>
      </c>
      <c r="AH88" s="33" t="s">
        <v>57</v>
      </c>
      <c r="AI88" s="33" t="s">
        <v>56</v>
      </c>
      <c r="AJ88" s="33" t="s">
        <v>60</v>
      </c>
      <c r="AK88" s="33" t="s">
        <v>57</v>
      </c>
      <c r="AL88" s="27"/>
      <c r="AM88" s="34" t="s">
        <v>57</v>
      </c>
      <c r="AN88" s="35" t="str">
        <f t="shared" si="8"/>
        <v>❌ Disc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243</v>
      </c>
      <c r="C89" s="25" t="s">
        <v>244</v>
      </c>
      <c r="D89" s="23" t="s">
        <v>210</v>
      </c>
      <c r="E89" s="42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42">
        <v>46193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7"/>
        <v>✓ OK</v>
      </c>
      <c r="AF89" s="33" t="s">
        <v>61</v>
      </c>
      <c r="AG89" s="33" t="s">
        <v>55</v>
      </c>
      <c r="AH89" s="33" t="s">
        <v>56</v>
      </c>
      <c r="AI89" s="33" t="s">
        <v>57</v>
      </c>
      <c r="AJ89" s="33" t="s">
        <v>58</v>
      </c>
      <c r="AK89" s="33" t="s">
        <v>56</v>
      </c>
      <c r="AL89" s="27"/>
      <c r="AM89" s="34" t="s">
        <v>57</v>
      </c>
      <c r="AN89" s="35" t="str">
        <f t="shared" si="8"/>
        <v>✓ OK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245</v>
      </c>
      <c r="C90" s="41" t="s">
        <v>246</v>
      </c>
      <c r="D90" s="39" t="s">
        <v>210</v>
      </c>
      <c r="E90" s="42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221</v>
      </c>
      <c r="L90" s="28" t="s">
        <v>56</v>
      </c>
      <c r="M90" s="29" t="str">
        <f t="shared" si="5"/>
        <v>⚠ Check</v>
      </c>
      <c r="N90" s="42">
        <v>46193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57</v>
      </c>
      <c r="T90" s="27" t="s">
        <v>221</v>
      </c>
      <c r="U90" s="28" t="s">
        <v>56</v>
      </c>
      <c r="V90" s="29" t="str">
        <f t="shared" si="6"/>
        <v>⚠ Check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57</v>
      </c>
      <c r="AC90" s="27" t="s">
        <v>221</v>
      </c>
      <c r="AD90" s="31" t="s">
        <v>56</v>
      </c>
      <c r="AE90" s="32" t="str">
        <f t="shared" si="7"/>
        <v>⚠ Check</v>
      </c>
      <c r="AF90" s="33" t="s">
        <v>61</v>
      </c>
      <c r="AG90" s="33" t="s">
        <v>55</v>
      </c>
      <c r="AH90" s="33" t="s">
        <v>56</v>
      </c>
      <c r="AI90" s="33" t="s">
        <v>57</v>
      </c>
      <c r="AJ90" s="33" t="s">
        <v>58</v>
      </c>
      <c r="AK90" s="33" t="s">
        <v>56</v>
      </c>
      <c r="AL90" s="27"/>
      <c r="AM90" s="34" t="s">
        <v>57</v>
      </c>
      <c r="AN90" s="35" t="str">
        <f t="shared" si="8"/>
        <v>✓ OK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247</v>
      </c>
      <c r="C91" s="25" t="s">
        <v>248</v>
      </c>
      <c r="D91" s="23" t="s">
        <v>210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46193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 t="s">
        <v>61</v>
      </c>
      <c r="AG91" s="33" t="s">
        <v>55</v>
      </c>
      <c r="AH91" s="33" t="s">
        <v>56</v>
      </c>
      <c r="AI91" s="33" t="s">
        <v>57</v>
      </c>
      <c r="AJ91" s="33" t="s">
        <v>58</v>
      </c>
      <c r="AK91" s="33" t="s">
        <v>56</v>
      </c>
      <c r="AL91" s="27"/>
      <c r="AM91" s="34" t="s">
        <v>57</v>
      </c>
      <c r="AN91" s="35" t="str">
        <f t="shared" si="8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249</v>
      </c>
      <c r="C92" s="41" t="s">
        <v>250</v>
      </c>
      <c r="D92" s="39" t="s">
        <v>210</v>
      </c>
      <c r="E92" s="42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221</v>
      </c>
      <c r="L92" s="28" t="s">
        <v>56</v>
      </c>
      <c r="M92" s="29" t="str">
        <f t="shared" si="5"/>
        <v>⚠ Check</v>
      </c>
      <c r="N92" s="42">
        <v>46193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57</v>
      </c>
      <c r="T92" s="27" t="s">
        <v>221</v>
      </c>
      <c r="U92" s="28" t="s">
        <v>56</v>
      </c>
      <c r="V92" s="29" t="str">
        <f t="shared" si="6"/>
        <v>⚠ Check</v>
      </c>
      <c r="W92" s="70">
        <v>46252</v>
      </c>
      <c r="X92" s="30" t="s">
        <v>55</v>
      </c>
      <c r="Y92" s="30" t="s">
        <v>57</v>
      </c>
      <c r="Z92" s="30" t="s">
        <v>56</v>
      </c>
      <c r="AA92" s="30" t="s">
        <v>60</v>
      </c>
      <c r="AB92" s="30" t="s">
        <v>57</v>
      </c>
      <c r="AC92" s="27"/>
      <c r="AD92" s="31" t="s">
        <v>57</v>
      </c>
      <c r="AE92" s="32" t="str">
        <f t="shared" si="7"/>
        <v>❌ Disc</v>
      </c>
      <c r="AF92" s="33" t="s">
        <v>61</v>
      </c>
      <c r="AG92" s="33" t="s">
        <v>62</v>
      </c>
      <c r="AH92" s="33" t="s">
        <v>56</v>
      </c>
      <c r="AI92" s="33" t="s">
        <v>56</v>
      </c>
      <c r="AJ92" s="33" t="s">
        <v>58</v>
      </c>
      <c r="AK92" s="33" t="s">
        <v>56</v>
      </c>
      <c r="AL92" s="27"/>
      <c r="AM92" s="34" t="s">
        <v>57</v>
      </c>
      <c r="AN92" s="35" t="str">
        <f t="shared" si="8"/>
        <v>❌ Disc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251</v>
      </c>
      <c r="C93" s="25" t="s">
        <v>252</v>
      </c>
      <c r="D93" s="23" t="s">
        <v>210</v>
      </c>
      <c r="E93" s="42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46193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46252</v>
      </c>
      <c r="X93" s="30" t="s">
        <v>55</v>
      </c>
      <c r="Y93" s="30" t="s">
        <v>57</v>
      </c>
      <c r="Z93" s="30" t="s">
        <v>56</v>
      </c>
      <c r="AA93" s="30" t="s">
        <v>60</v>
      </c>
      <c r="AB93" s="30" t="s">
        <v>57</v>
      </c>
      <c r="AC93" s="27"/>
      <c r="AD93" s="31" t="s">
        <v>57</v>
      </c>
      <c r="AE93" s="32" t="str">
        <f t="shared" si="7"/>
        <v>❌ Disc</v>
      </c>
      <c r="AF93" s="33" t="s">
        <v>61</v>
      </c>
      <c r="AG93" s="33" t="s">
        <v>62</v>
      </c>
      <c r="AH93" s="33" t="s">
        <v>57</v>
      </c>
      <c r="AI93" s="33" t="s">
        <v>56</v>
      </c>
      <c r="AJ93" s="33" t="s">
        <v>60</v>
      </c>
      <c r="AK93" s="33" t="s">
        <v>57</v>
      </c>
      <c r="AL93" s="27"/>
      <c r="AM93" s="34" t="s">
        <v>57</v>
      </c>
      <c r="AN93" s="35" t="str">
        <f t="shared" si="8"/>
        <v>❌ Disc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253</v>
      </c>
      <c r="C94" s="41" t="s">
        <v>254</v>
      </c>
      <c r="D94" s="39" t="s">
        <v>210</v>
      </c>
      <c r="E94" s="42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46193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 t="s">
        <v>61</v>
      </c>
      <c r="AG94" s="33" t="s">
        <v>55</v>
      </c>
      <c r="AH94" s="33" t="s">
        <v>56</v>
      </c>
      <c r="AI94" s="33" t="s">
        <v>57</v>
      </c>
      <c r="AJ94" s="33" t="s">
        <v>58</v>
      </c>
      <c r="AK94" s="33" t="s">
        <v>56</v>
      </c>
      <c r="AL94" s="27"/>
      <c r="AM94" s="34" t="s">
        <v>57</v>
      </c>
      <c r="AN94" s="35" t="str">
        <f t="shared" si="8"/>
        <v>✓ OK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255</v>
      </c>
      <c r="C95" s="25" t="s">
        <v>256</v>
      </c>
      <c r="D95" s="23" t="s">
        <v>210</v>
      </c>
      <c r="E95" s="42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46193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 t="s">
        <v>61</v>
      </c>
      <c r="AG95" s="33" t="s">
        <v>55</v>
      </c>
      <c r="AH95" s="33" t="s">
        <v>56</v>
      </c>
      <c r="AI95" s="33" t="s">
        <v>57</v>
      </c>
      <c r="AJ95" s="33" t="s">
        <v>58</v>
      </c>
      <c r="AK95" s="33" t="s">
        <v>56</v>
      </c>
      <c r="AL95" s="27"/>
      <c r="AM95" s="34" t="s">
        <v>57</v>
      </c>
      <c r="AN95" s="35" t="str">
        <f t="shared" si="8"/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257</v>
      </c>
      <c r="C96" s="41" t="s">
        <v>258</v>
      </c>
      <c r="D96" s="39" t="s">
        <v>210</v>
      </c>
      <c r="E96" s="42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221</v>
      </c>
      <c r="L96" s="28" t="s">
        <v>56</v>
      </c>
      <c r="M96" s="29" t="str">
        <f t="shared" si="5"/>
        <v>⚠ Check</v>
      </c>
      <c r="N96" s="42">
        <v>46193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57</v>
      </c>
      <c r="T96" s="27" t="s">
        <v>221</v>
      </c>
      <c r="U96" s="28" t="s">
        <v>56</v>
      </c>
      <c r="V96" s="29" t="str">
        <f t="shared" si="6"/>
        <v>⚠ Check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57</v>
      </c>
      <c r="AC96" s="27" t="s">
        <v>221</v>
      </c>
      <c r="AD96" s="31" t="s">
        <v>56</v>
      </c>
      <c r="AE96" s="32" t="str">
        <f t="shared" si="7"/>
        <v>⚠ Check</v>
      </c>
      <c r="AF96" s="33" t="s">
        <v>61</v>
      </c>
      <c r="AG96" s="33" t="s">
        <v>55</v>
      </c>
      <c r="AH96" s="33" t="s">
        <v>56</v>
      </c>
      <c r="AI96" s="33" t="s">
        <v>57</v>
      </c>
      <c r="AJ96" s="33" t="s">
        <v>58</v>
      </c>
      <c r="AK96" s="33" t="s">
        <v>56</v>
      </c>
      <c r="AL96" s="27"/>
      <c r="AM96" s="34" t="s">
        <v>57</v>
      </c>
      <c r="AN96" s="35" t="str">
        <f t="shared" si="8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259</v>
      </c>
      <c r="C97" s="25" t="s">
        <v>260</v>
      </c>
      <c r="D97" s="23" t="s">
        <v>210</v>
      </c>
      <c r="E97" s="42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261</v>
      </c>
      <c r="L97" s="28" t="s">
        <v>56</v>
      </c>
      <c r="M97" s="29" t="str">
        <f t="shared" si="5"/>
        <v>⚠ Check</v>
      </c>
      <c r="N97" s="42">
        <v>46193</v>
      </c>
      <c r="O97" s="26" t="s">
        <v>55</v>
      </c>
      <c r="P97" s="26" t="s">
        <v>57</v>
      </c>
      <c r="Q97" s="26" t="s">
        <v>56</v>
      </c>
      <c r="R97" s="26" t="s">
        <v>60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70">
        <v>46248</v>
      </c>
      <c r="X97" s="30" t="s">
        <v>55</v>
      </c>
      <c r="Y97" s="30" t="s">
        <v>57</v>
      </c>
      <c r="Z97" s="30" t="s">
        <v>56</v>
      </c>
      <c r="AA97" s="30" t="s">
        <v>60</v>
      </c>
      <c r="AB97" s="30" t="s">
        <v>57</v>
      </c>
      <c r="AC97" s="27"/>
      <c r="AD97" s="31" t="s">
        <v>57</v>
      </c>
      <c r="AE97" s="32" t="str">
        <f t="shared" si="7"/>
        <v>❌ Disc</v>
      </c>
      <c r="AF97" s="33" t="s">
        <v>61</v>
      </c>
      <c r="AG97" s="33" t="s">
        <v>62</v>
      </c>
      <c r="AH97" s="33" t="s">
        <v>56</v>
      </c>
      <c r="AI97" s="33" t="s">
        <v>56</v>
      </c>
      <c r="AJ97" s="33" t="s">
        <v>58</v>
      </c>
      <c r="AK97" s="33" t="s">
        <v>56</v>
      </c>
      <c r="AL97" s="27"/>
      <c r="AM97" s="34" t="s">
        <v>57</v>
      </c>
      <c r="AN97" s="35" t="str">
        <f t="shared" si="8"/>
        <v>❌ Disc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262</v>
      </c>
      <c r="C98" s="41" t="s">
        <v>263</v>
      </c>
      <c r="D98" s="39" t="s">
        <v>210</v>
      </c>
      <c r="E98" s="42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43"/>
      <c r="L98" s="28" t="s">
        <v>57</v>
      </c>
      <c r="M98" s="29" t="str">
        <f t="shared" si="5"/>
        <v>✓ OK</v>
      </c>
      <c r="N98" s="42">
        <v>46193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43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57</v>
      </c>
      <c r="Z98" s="30" t="s">
        <v>56</v>
      </c>
      <c r="AA98" s="30" t="s">
        <v>60</v>
      </c>
      <c r="AB98" s="30" t="s">
        <v>57</v>
      </c>
      <c r="AC98" s="27"/>
      <c r="AD98" s="31" t="s">
        <v>57</v>
      </c>
      <c r="AE98" s="32" t="str">
        <f t="shared" si="7"/>
        <v>❌ Disc</v>
      </c>
      <c r="AF98" s="33" t="s">
        <v>61</v>
      </c>
      <c r="AG98" s="33" t="s">
        <v>62</v>
      </c>
      <c r="AH98" s="33" t="s">
        <v>57</v>
      </c>
      <c r="AI98" s="33" t="s">
        <v>56</v>
      </c>
      <c r="AJ98" s="33" t="s">
        <v>60</v>
      </c>
      <c r="AK98" s="33" t="s">
        <v>57</v>
      </c>
      <c r="AL98" s="27"/>
      <c r="AM98" s="34" t="s">
        <v>57</v>
      </c>
      <c r="AN98" s="35" t="str">
        <f t="shared" si="8"/>
        <v>❌ Disc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264</v>
      </c>
      <c r="C99" s="25" t="s">
        <v>265</v>
      </c>
      <c r="D99" s="23" t="s">
        <v>210</v>
      </c>
      <c r="E99" s="42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266</v>
      </c>
      <c r="L99" s="28" t="s">
        <v>56</v>
      </c>
      <c r="M99" s="29" t="str">
        <f t="shared" si="5"/>
        <v>⚠ Check</v>
      </c>
      <c r="N99" s="42">
        <v>46193</v>
      </c>
      <c r="O99" s="26" t="s">
        <v>55</v>
      </c>
      <c r="P99" s="26" t="s">
        <v>57</v>
      </c>
      <c r="Q99" s="26" t="s">
        <v>56</v>
      </c>
      <c r="R99" s="26" t="s">
        <v>60</v>
      </c>
      <c r="S99" s="26" t="s">
        <v>57</v>
      </c>
      <c r="T99" s="27"/>
      <c r="U99" s="28" t="s">
        <v>57</v>
      </c>
      <c r="V99" s="29" t="str">
        <f t="shared" si="6"/>
        <v>❌ Disc</v>
      </c>
      <c r="W99" s="70">
        <v>46248</v>
      </c>
      <c r="X99" s="30" t="s">
        <v>55</v>
      </c>
      <c r="Y99" s="30" t="s">
        <v>57</v>
      </c>
      <c r="Z99" s="30" t="s">
        <v>56</v>
      </c>
      <c r="AA99" s="30" t="s">
        <v>60</v>
      </c>
      <c r="AB99" s="30" t="s">
        <v>57</v>
      </c>
      <c r="AC99" s="27"/>
      <c r="AD99" s="31" t="s">
        <v>57</v>
      </c>
      <c r="AE99" s="32" t="str">
        <f t="shared" si="7"/>
        <v>❌ Disc</v>
      </c>
      <c r="AF99" s="33" t="s">
        <v>61</v>
      </c>
      <c r="AG99" s="33" t="s">
        <v>62</v>
      </c>
      <c r="AH99" s="33" t="s">
        <v>56</v>
      </c>
      <c r="AI99" s="33" t="s">
        <v>56</v>
      </c>
      <c r="AJ99" s="33" t="s">
        <v>58</v>
      </c>
      <c r="AK99" s="33" t="s">
        <v>56</v>
      </c>
      <c r="AL99" s="27"/>
      <c r="AM99" s="34" t="s">
        <v>57</v>
      </c>
      <c r="AN99" s="35" t="str">
        <f t="shared" si="8"/>
        <v>❌ Disc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267</v>
      </c>
      <c r="C100" s="41" t="s">
        <v>268</v>
      </c>
      <c r="D100" s="39" t="s">
        <v>210</v>
      </c>
      <c r="E100" s="42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269</v>
      </c>
      <c r="L100" s="28" t="s">
        <v>56</v>
      </c>
      <c r="M100" s="29" t="str">
        <f t="shared" si="5"/>
        <v>⚠ Check</v>
      </c>
      <c r="N100" s="42">
        <v>46193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 t="s">
        <v>61</v>
      </c>
      <c r="AG100" s="33" t="s">
        <v>55</v>
      </c>
      <c r="AH100" s="33" t="s">
        <v>56</v>
      </c>
      <c r="AI100" s="33" t="s">
        <v>57</v>
      </c>
      <c r="AJ100" s="33" t="s">
        <v>58</v>
      </c>
      <c r="AK100" s="33" t="s">
        <v>56</v>
      </c>
      <c r="AL100" s="27"/>
      <c r="AM100" s="34" t="s">
        <v>57</v>
      </c>
      <c r="AN100" s="35" t="str">
        <f t="shared" si="8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270</v>
      </c>
      <c r="C101" s="25" t="s">
        <v>271</v>
      </c>
      <c r="D101" s="23" t="s">
        <v>210</v>
      </c>
      <c r="E101" s="42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3" t="s">
        <v>261</v>
      </c>
      <c r="L101" s="28" t="s">
        <v>56</v>
      </c>
      <c r="M101" s="29" t="str">
        <f t="shared" si="5"/>
        <v>⚠ Check</v>
      </c>
      <c r="N101" s="42">
        <v>46193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57</v>
      </c>
      <c r="T101" s="43" t="s">
        <v>261</v>
      </c>
      <c r="U101" s="28" t="s">
        <v>56</v>
      </c>
      <c r="V101" s="29" t="str">
        <f t="shared" si="6"/>
        <v>⚠ Check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56</v>
      </c>
      <c r="AE101" s="32" t="str">
        <f t="shared" si="7"/>
        <v>✓ OK</v>
      </c>
      <c r="AF101" s="33" t="s">
        <v>61</v>
      </c>
      <c r="AG101" s="33" t="s">
        <v>55</v>
      </c>
      <c r="AH101" s="33" t="s">
        <v>56</v>
      </c>
      <c r="AI101" s="33" t="s">
        <v>57</v>
      </c>
      <c r="AJ101" s="33" t="s">
        <v>58</v>
      </c>
      <c r="AK101" s="33" t="s">
        <v>56</v>
      </c>
      <c r="AL101" s="27"/>
      <c r="AM101" s="34" t="s">
        <v>57</v>
      </c>
      <c r="AN101" s="35" t="str">
        <f t="shared" si="8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272</v>
      </c>
      <c r="C102" s="41" t="s">
        <v>273</v>
      </c>
      <c r="D102" s="39" t="s">
        <v>210</v>
      </c>
      <c r="E102" s="42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3" t="s">
        <v>261</v>
      </c>
      <c r="L102" s="28" t="s">
        <v>56</v>
      </c>
      <c r="M102" s="29" t="str">
        <f t="shared" si="5"/>
        <v>⚠ Check</v>
      </c>
      <c r="N102" s="42">
        <v>46193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57</v>
      </c>
      <c r="Z102" s="30" t="s">
        <v>56</v>
      </c>
      <c r="AA102" s="30" t="s">
        <v>60</v>
      </c>
      <c r="AB102" s="30" t="s">
        <v>57</v>
      </c>
      <c r="AC102" s="27"/>
      <c r="AD102" s="31" t="s">
        <v>57</v>
      </c>
      <c r="AE102" s="32" t="str">
        <f t="shared" si="7"/>
        <v>❌ Disc</v>
      </c>
      <c r="AF102" s="33" t="s">
        <v>61</v>
      </c>
      <c r="AG102" s="33" t="s">
        <v>62</v>
      </c>
      <c r="AH102" s="33" t="s">
        <v>56</v>
      </c>
      <c r="AI102" s="33" t="s">
        <v>56</v>
      </c>
      <c r="AJ102" s="33" t="s">
        <v>58</v>
      </c>
      <c r="AK102" s="33" t="s">
        <v>56</v>
      </c>
      <c r="AL102" s="27"/>
      <c r="AM102" s="34" t="s">
        <v>57</v>
      </c>
      <c r="AN102" s="35" t="str">
        <f t="shared" si="8"/>
        <v>❌ Disc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274</v>
      </c>
      <c r="C103" s="25" t="s">
        <v>275</v>
      </c>
      <c r="D103" s="23" t="s">
        <v>210</v>
      </c>
      <c r="E103" s="42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42">
        <v>46193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57</v>
      </c>
      <c r="Z103" s="30" t="s">
        <v>56</v>
      </c>
      <c r="AA103" s="30" t="s">
        <v>60</v>
      </c>
      <c r="AB103" s="30" t="s">
        <v>57</v>
      </c>
      <c r="AC103" s="27"/>
      <c r="AD103" s="31" t="s">
        <v>57</v>
      </c>
      <c r="AE103" s="32" t="str">
        <f t="shared" si="7"/>
        <v>❌ Disc</v>
      </c>
      <c r="AF103" s="33" t="s">
        <v>61</v>
      </c>
      <c r="AG103" s="33" t="s">
        <v>62</v>
      </c>
      <c r="AH103" s="33" t="s">
        <v>56</v>
      </c>
      <c r="AI103" s="33" t="s">
        <v>56</v>
      </c>
      <c r="AJ103" s="33" t="s">
        <v>58</v>
      </c>
      <c r="AK103" s="33" t="s">
        <v>56</v>
      </c>
      <c r="AL103" s="27"/>
      <c r="AM103" s="34" t="s">
        <v>57</v>
      </c>
      <c r="AN103" s="35" t="str">
        <f t="shared" si="8"/>
        <v>❌ Disc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276</v>
      </c>
      <c r="C104" s="41" t="s">
        <v>277</v>
      </c>
      <c r="D104" s="39" t="s">
        <v>210</v>
      </c>
      <c r="E104" s="42">
        <v>46127</v>
      </c>
      <c r="F104" s="26" t="s">
        <v>55</v>
      </c>
      <c r="G104" s="26" t="s">
        <v>56</v>
      </c>
      <c r="H104" s="26" t="s">
        <v>57</v>
      </c>
      <c r="I104" s="26" t="s">
        <v>278</v>
      </c>
      <c r="J104" s="26" t="s">
        <v>57</v>
      </c>
      <c r="K104" s="27" t="s">
        <v>279</v>
      </c>
      <c r="L104" s="28" t="s">
        <v>56</v>
      </c>
      <c r="M104" s="29" t="str">
        <f t="shared" si="5"/>
        <v>⚠ Check</v>
      </c>
      <c r="N104" s="42">
        <v>46193</v>
      </c>
      <c r="O104" s="26" t="s">
        <v>55</v>
      </c>
      <c r="P104" s="26" t="s">
        <v>57</v>
      </c>
      <c r="Q104" s="26" t="s">
        <v>56</v>
      </c>
      <c r="R104" s="26" t="s">
        <v>60</v>
      </c>
      <c r="S104" s="26" t="s">
        <v>57</v>
      </c>
      <c r="T104" s="27"/>
      <c r="U104" s="28" t="s">
        <v>57</v>
      </c>
      <c r="V104" s="29" t="str">
        <f t="shared" si="6"/>
        <v>❌ Disc</v>
      </c>
      <c r="W104" s="70">
        <v>46248</v>
      </c>
      <c r="X104" s="30" t="s">
        <v>55</v>
      </c>
      <c r="Y104" s="30" t="s">
        <v>57</v>
      </c>
      <c r="Z104" s="30" t="s">
        <v>56</v>
      </c>
      <c r="AA104" s="30" t="s">
        <v>60</v>
      </c>
      <c r="AB104" s="30" t="s">
        <v>57</v>
      </c>
      <c r="AC104" s="27"/>
      <c r="AD104" s="31" t="s">
        <v>57</v>
      </c>
      <c r="AE104" s="32" t="str">
        <f t="shared" si="7"/>
        <v>❌ Disc</v>
      </c>
      <c r="AF104" s="33" t="s">
        <v>61</v>
      </c>
      <c r="AG104" s="33" t="s">
        <v>62</v>
      </c>
      <c r="AH104" s="33" t="s">
        <v>56</v>
      </c>
      <c r="AI104" s="33" t="s">
        <v>56</v>
      </c>
      <c r="AJ104" s="33" t="s">
        <v>58</v>
      </c>
      <c r="AK104" s="33" t="s">
        <v>56</v>
      </c>
      <c r="AL104" s="27"/>
      <c r="AM104" s="34" t="s">
        <v>57</v>
      </c>
      <c r="AN104" s="35" t="str">
        <f t="shared" si="8"/>
        <v>❌ Disc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280</v>
      </c>
      <c r="C105" s="25" t="s">
        <v>281</v>
      </c>
      <c r="D105" s="23" t="s">
        <v>210</v>
      </c>
      <c r="E105" s="42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46193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46252</v>
      </c>
      <c r="X105" s="30" t="s">
        <v>55</v>
      </c>
      <c r="Y105" s="30" t="s">
        <v>57</v>
      </c>
      <c r="Z105" s="30" t="s">
        <v>56</v>
      </c>
      <c r="AA105" s="30" t="s">
        <v>60</v>
      </c>
      <c r="AB105" s="30" t="s">
        <v>57</v>
      </c>
      <c r="AC105" s="27"/>
      <c r="AD105" s="31" t="s">
        <v>57</v>
      </c>
      <c r="AE105" s="32" t="str">
        <f t="shared" si="7"/>
        <v>❌ Disc</v>
      </c>
      <c r="AF105" s="33" t="s">
        <v>61</v>
      </c>
      <c r="AG105" s="33" t="s">
        <v>62</v>
      </c>
      <c r="AH105" s="33" t="s">
        <v>57</v>
      </c>
      <c r="AI105" s="33" t="s">
        <v>56</v>
      </c>
      <c r="AJ105" s="33" t="s">
        <v>60</v>
      </c>
      <c r="AK105" s="33" t="s">
        <v>57</v>
      </c>
      <c r="AL105" s="27"/>
      <c r="AM105" s="34" t="s">
        <v>57</v>
      </c>
      <c r="AN105" s="35" t="str">
        <f t="shared" si="8"/>
        <v>❌ Disc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282</v>
      </c>
      <c r="C106" s="41" t="s">
        <v>283</v>
      </c>
      <c r="D106" s="39" t="s">
        <v>210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46193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46252</v>
      </c>
      <c r="X106" s="30" t="s">
        <v>55</v>
      </c>
      <c r="Y106" s="30" t="s">
        <v>57</v>
      </c>
      <c r="Z106" s="30" t="s">
        <v>56</v>
      </c>
      <c r="AA106" s="30" t="s">
        <v>60</v>
      </c>
      <c r="AB106" s="30" t="s">
        <v>57</v>
      </c>
      <c r="AC106" s="27"/>
      <c r="AD106" s="31" t="s">
        <v>57</v>
      </c>
      <c r="AE106" s="32" t="str">
        <f t="shared" si="7"/>
        <v>❌ Disc</v>
      </c>
      <c r="AF106" s="33" t="s">
        <v>61</v>
      </c>
      <c r="AG106" s="33" t="s">
        <v>62</v>
      </c>
      <c r="AH106" s="33" t="s">
        <v>57</v>
      </c>
      <c r="AI106" s="33" t="s">
        <v>56</v>
      </c>
      <c r="AJ106" s="33" t="s">
        <v>60</v>
      </c>
      <c r="AK106" s="33" t="s">
        <v>57</v>
      </c>
      <c r="AL106" s="27"/>
      <c r="AM106" s="34" t="s">
        <v>57</v>
      </c>
      <c r="AN106" s="35" t="str">
        <f t="shared" si="8"/>
        <v>❌ Disc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284</v>
      </c>
      <c r="C107" s="25" t="s">
        <v>285</v>
      </c>
      <c r="D107" s="23" t="s">
        <v>210</v>
      </c>
      <c r="E107" s="42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46193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46252</v>
      </c>
      <c r="X107" s="30" t="s">
        <v>55</v>
      </c>
      <c r="Y107" s="30" t="s">
        <v>57</v>
      </c>
      <c r="Z107" s="30" t="s">
        <v>56</v>
      </c>
      <c r="AA107" s="30" t="s">
        <v>60</v>
      </c>
      <c r="AB107" s="30" t="s">
        <v>57</v>
      </c>
      <c r="AC107" s="27"/>
      <c r="AD107" s="31" t="s">
        <v>57</v>
      </c>
      <c r="AE107" s="32" t="str">
        <f t="shared" si="7"/>
        <v>❌ Disc</v>
      </c>
      <c r="AF107" s="33" t="s">
        <v>61</v>
      </c>
      <c r="AG107" s="33" t="s">
        <v>62</v>
      </c>
      <c r="AH107" s="33" t="s">
        <v>57</v>
      </c>
      <c r="AI107" s="33" t="s">
        <v>56</v>
      </c>
      <c r="AJ107" s="33" t="s">
        <v>60</v>
      </c>
      <c r="AK107" s="33" t="s">
        <v>57</v>
      </c>
      <c r="AL107" s="27"/>
      <c r="AM107" s="34" t="s">
        <v>57</v>
      </c>
      <c r="AN107" s="35" t="str">
        <f t="shared" si="8"/>
        <v>❌ Disc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286</v>
      </c>
      <c r="C108" s="41" t="s">
        <v>287</v>
      </c>
      <c r="D108" s="39" t="s">
        <v>210</v>
      </c>
      <c r="E108" s="42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46193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 t="s">
        <v>61</v>
      </c>
      <c r="AG108" s="33" t="s">
        <v>55</v>
      </c>
      <c r="AH108" s="33" t="s">
        <v>56</v>
      </c>
      <c r="AI108" s="33" t="s">
        <v>57</v>
      </c>
      <c r="AJ108" s="33" t="s">
        <v>58</v>
      </c>
      <c r="AK108" s="33" t="s">
        <v>56</v>
      </c>
      <c r="AL108" s="27"/>
      <c r="AM108" s="34" t="s">
        <v>57</v>
      </c>
      <c r="AN108" s="35" t="str">
        <f t="shared" si="8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288</v>
      </c>
      <c r="C109" s="25" t="s">
        <v>289</v>
      </c>
      <c r="D109" s="23" t="s">
        <v>210</v>
      </c>
      <c r="E109" s="42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46193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 t="s">
        <v>61</v>
      </c>
      <c r="AG109" s="33" t="s">
        <v>55</v>
      </c>
      <c r="AH109" s="33" t="s">
        <v>56</v>
      </c>
      <c r="AI109" s="33" t="s">
        <v>57</v>
      </c>
      <c r="AJ109" s="33" t="s">
        <v>58</v>
      </c>
      <c r="AK109" s="33" t="s">
        <v>56</v>
      </c>
      <c r="AL109" s="27"/>
      <c r="AM109" s="34" t="s">
        <v>57</v>
      </c>
      <c r="AN109" s="35" t="str">
        <f t="shared" si="8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290</v>
      </c>
      <c r="C110" s="41" t="s">
        <v>291</v>
      </c>
      <c r="D110" s="39" t="s">
        <v>210</v>
      </c>
      <c r="E110" s="42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46193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 t="s">
        <v>61</v>
      </c>
      <c r="AG110" s="33" t="s">
        <v>55</v>
      </c>
      <c r="AH110" s="33" t="s">
        <v>56</v>
      </c>
      <c r="AI110" s="33" t="s">
        <v>57</v>
      </c>
      <c r="AJ110" s="33" t="s">
        <v>58</v>
      </c>
      <c r="AK110" s="33" t="s">
        <v>56</v>
      </c>
      <c r="AL110" s="27"/>
      <c r="AM110" s="34" t="s">
        <v>57</v>
      </c>
      <c r="AN110" s="35" t="str">
        <f t="shared" si="8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292</v>
      </c>
      <c r="C111" s="25" t="s">
        <v>293</v>
      </c>
      <c r="D111" s="23" t="s">
        <v>210</v>
      </c>
      <c r="E111" s="42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175</v>
      </c>
      <c r="L111" s="28" t="s">
        <v>56</v>
      </c>
      <c r="M111" s="29" t="str">
        <f t="shared" si="5"/>
        <v>⚠ Check</v>
      </c>
      <c r="N111" s="42">
        <v>46193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57</v>
      </c>
      <c r="T111" s="27" t="s">
        <v>175</v>
      </c>
      <c r="U111" s="28" t="s">
        <v>56</v>
      </c>
      <c r="V111" s="29" t="str">
        <f t="shared" si="6"/>
        <v>⚠ Check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57</v>
      </c>
      <c r="AC111" s="27" t="s">
        <v>175</v>
      </c>
      <c r="AD111" s="31" t="s">
        <v>56</v>
      </c>
      <c r="AE111" s="32" t="str">
        <f t="shared" si="7"/>
        <v>⚠ Check</v>
      </c>
      <c r="AF111" s="33" t="s">
        <v>61</v>
      </c>
      <c r="AG111" s="33" t="s">
        <v>55</v>
      </c>
      <c r="AH111" s="33" t="s">
        <v>56</v>
      </c>
      <c r="AI111" s="33" t="s">
        <v>57</v>
      </c>
      <c r="AJ111" s="33" t="s">
        <v>58</v>
      </c>
      <c r="AK111" s="33" t="s">
        <v>56</v>
      </c>
      <c r="AL111" s="27"/>
      <c r="AM111" s="34" t="s">
        <v>57</v>
      </c>
      <c r="AN111" s="35" t="str">
        <f t="shared" si="8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294</v>
      </c>
      <c r="C112" s="41" t="s">
        <v>295</v>
      </c>
      <c r="D112" s="39" t="s">
        <v>210</v>
      </c>
      <c r="E112" s="42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296</v>
      </c>
      <c r="L112" s="28" t="s">
        <v>56</v>
      </c>
      <c r="M112" s="29" t="str">
        <f t="shared" si="5"/>
        <v>⚠ Check</v>
      </c>
      <c r="N112" s="42">
        <v>46193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 t="s">
        <v>61</v>
      </c>
      <c r="AG112" s="33" t="s">
        <v>55</v>
      </c>
      <c r="AH112" s="33" t="s">
        <v>56</v>
      </c>
      <c r="AI112" s="33" t="s">
        <v>57</v>
      </c>
      <c r="AJ112" s="33" t="s">
        <v>58</v>
      </c>
      <c r="AK112" s="33" t="s">
        <v>56</v>
      </c>
      <c r="AL112" s="27"/>
      <c r="AM112" s="34" t="s">
        <v>57</v>
      </c>
      <c r="AN112" s="35" t="str">
        <f t="shared" si="8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297</v>
      </c>
      <c r="C113" s="25" t="s">
        <v>298</v>
      </c>
      <c r="D113" s="23" t="s">
        <v>210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46193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 t="s">
        <v>61</v>
      </c>
      <c r="AG113" s="33" t="s">
        <v>55</v>
      </c>
      <c r="AH113" s="33" t="s">
        <v>56</v>
      </c>
      <c r="AI113" s="33" t="s">
        <v>57</v>
      </c>
      <c r="AJ113" s="33" t="s">
        <v>58</v>
      </c>
      <c r="AK113" s="33" t="s">
        <v>56</v>
      </c>
      <c r="AL113" s="27"/>
      <c r="AM113" s="34" t="s">
        <v>57</v>
      </c>
      <c r="AN113" s="35" t="str">
        <f t="shared" si="8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299</v>
      </c>
      <c r="C114" s="41" t="s">
        <v>300</v>
      </c>
      <c r="D114" s="39" t="s">
        <v>210</v>
      </c>
      <c r="E114" s="42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3" t="s">
        <v>261</v>
      </c>
      <c r="L114" s="28" t="s">
        <v>56</v>
      </c>
      <c r="M114" s="29" t="str">
        <f t="shared" si="5"/>
        <v>⚠ Check</v>
      </c>
      <c r="N114" s="42">
        <v>46193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 t="s">
        <v>61</v>
      </c>
      <c r="AG114" s="33" t="s">
        <v>55</v>
      </c>
      <c r="AH114" s="33" t="s">
        <v>56</v>
      </c>
      <c r="AI114" s="33" t="s">
        <v>57</v>
      </c>
      <c r="AJ114" s="33" t="s">
        <v>58</v>
      </c>
      <c r="AK114" s="33" t="s">
        <v>56</v>
      </c>
      <c r="AL114" s="27"/>
      <c r="AM114" s="34" t="s">
        <v>57</v>
      </c>
      <c r="AN114" s="35" t="str">
        <f t="shared" si="8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301</v>
      </c>
      <c r="C115" s="25" t="s">
        <v>302</v>
      </c>
      <c r="D115" s="23" t="s">
        <v>210</v>
      </c>
      <c r="E115" s="42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303</v>
      </c>
      <c r="L115" s="28" t="s">
        <v>56</v>
      </c>
      <c r="M115" s="29" t="str">
        <f t="shared" si="5"/>
        <v>⚠ Check</v>
      </c>
      <c r="N115" s="42">
        <v>46193</v>
      </c>
      <c r="O115" s="26" t="s">
        <v>55</v>
      </c>
      <c r="P115" s="26" t="s">
        <v>57</v>
      </c>
      <c r="Q115" s="26" t="s">
        <v>56</v>
      </c>
      <c r="R115" s="26" t="s">
        <v>60</v>
      </c>
      <c r="S115" s="26" t="s">
        <v>57</v>
      </c>
      <c r="T115" s="27"/>
      <c r="U115" s="28" t="s">
        <v>57</v>
      </c>
      <c r="V115" s="29" t="str">
        <f t="shared" si="6"/>
        <v>❌ Disc</v>
      </c>
      <c r="W115" s="70">
        <v>46248</v>
      </c>
      <c r="X115" s="30" t="s">
        <v>55</v>
      </c>
      <c r="Y115" s="30" t="s">
        <v>57</v>
      </c>
      <c r="Z115" s="30" t="s">
        <v>56</v>
      </c>
      <c r="AA115" s="30" t="s">
        <v>60</v>
      </c>
      <c r="AB115" s="30" t="s">
        <v>57</v>
      </c>
      <c r="AC115" s="27"/>
      <c r="AD115" s="31" t="s">
        <v>57</v>
      </c>
      <c r="AE115" s="32" t="str">
        <f t="shared" si="7"/>
        <v>❌ Disc</v>
      </c>
      <c r="AF115" s="33" t="s">
        <v>61</v>
      </c>
      <c r="AG115" s="33" t="s">
        <v>62</v>
      </c>
      <c r="AH115" s="33" t="s">
        <v>56</v>
      </c>
      <c r="AI115" s="33" t="s">
        <v>56</v>
      </c>
      <c r="AJ115" s="33" t="s">
        <v>58</v>
      </c>
      <c r="AK115" s="33" t="s">
        <v>56</v>
      </c>
      <c r="AL115" s="27"/>
      <c r="AM115" s="34" t="s">
        <v>57</v>
      </c>
      <c r="AN115" s="35" t="str">
        <f t="shared" si="8"/>
        <v>❌ Disc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304</v>
      </c>
      <c r="C116" s="41" t="s">
        <v>305</v>
      </c>
      <c r="D116" s="39" t="s">
        <v>210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46193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 t="s">
        <v>61</v>
      </c>
      <c r="AG116" s="33" t="s">
        <v>55</v>
      </c>
      <c r="AH116" s="33" t="s">
        <v>56</v>
      </c>
      <c r="AI116" s="33" t="s">
        <v>57</v>
      </c>
      <c r="AJ116" s="33" t="s">
        <v>58</v>
      </c>
      <c r="AK116" s="33" t="s">
        <v>56</v>
      </c>
      <c r="AL116" s="27"/>
      <c r="AM116" s="34" t="s">
        <v>57</v>
      </c>
      <c r="AN116" s="35" t="str">
        <f t="shared" si="8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306</v>
      </c>
      <c r="C117" s="25" t="s">
        <v>307</v>
      </c>
      <c r="D117" s="23" t="s">
        <v>210</v>
      </c>
      <c r="E117" s="42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46193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 t="s">
        <v>61</v>
      </c>
      <c r="AG117" s="33" t="s">
        <v>55</v>
      </c>
      <c r="AH117" s="33" t="s">
        <v>56</v>
      </c>
      <c r="AI117" s="33" t="s">
        <v>57</v>
      </c>
      <c r="AJ117" s="33" t="s">
        <v>58</v>
      </c>
      <c r="AK117" s="33" t="s">
        <v>56</v>
      </c>
      <c r="AL117" s="27"/>
      <c r="AM117" s="34" t="s">
        <v>57</v>
      </c>
      <c r="AN117" s="35" t="str">
        <f t="shared" si="8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308</v>
      </c>
      <c r="C118" s="41" t="s">
        <v>309</v>
      </c>
      <c r="D118" s="39" t="s">
        <v>210</v>
      </c>
      <c r="E118" s="42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46193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57</v>
      </c>
      <c r="Z118" s="30" t="s">
        <v>56</v>
      </c>
      <c r="AA118" s="30" t="s">
        <v>60</v>
      </c>
      <c r="AB118" s="30" t="s">
        <v>57</v>
      </c>
      <c r="AC118" s="27"/>
      <c r="AD118" s="31" t="s">
        <v>57</v>
      </c>
      <c r="AE118" s="32" t="str">
        <f t="shared" si="7"/>
        <v>❌ Disc</v>
      </c>
      <c r="AF118" s="33" t="s">
        <v>61</v>
      </c>
      <c r="AG118" s="33" t="s">
        <v>62</v>
      </c>
      <c r="AH118" s="33" t="s">
        <v>57</v>
      </c>
      <c r="AI118" s="33" t="s">
        <v>56</v>
      </c>
      <c r="AJ118" s="33" t="s">
        <v>60</v>
      </c>
      <c r="AK118" s="33" t="s">
        <v>57</v>
      </c>
      <c r="AL118" s="27"/>
      <c r="AM118" s="34" t="s">
        <v>57</v>
      </c>
      <c r="AN118" s="35" t="str">
        <f t="shared" si="8"/>
        <v>❌ Disc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310</v>
      </c>
      <c r="C119" s="25" t="s">
        <v>311</v>
      </c>
      <c r="D119" s="23" t="s">
        <v>210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46193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 t="s">
        <v>61</v>
      </c>
      <c r="AG119" s="33" t="s">
        <v>55</v>
      </c>
      <c r="AH119" s="33" t="s">
        <v>56</v>
      </c>
      <c r="AI119" s="33" t="s">
        <v>57</v>
      </c>
      <c r="AJ119" s="33" t="s">
        <v>58</v>
      </c>
      <c r="AK119" s="33" t="s">
        <v>56</v>
      </c>
      <c r="AL119" s="27"/>
      <c r="AM119" s="34" t="s">
        <v>57</v>
      </c>
      <c r="AN119" s="35" t="str">
        <f t="shared" si="8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312</v>
      </c>
      <c r="C120" s="41" t="s">
        <v>313</v>
      </c>
      <c r="D120" s="39" t="s">
        <v>210</v>
      </c>
      <c r="E120" s="42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46193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57</v>
      </c>
      <c r="Z120" s="30" t="s">
        <v>56</v>
      </c>
      <c r="AA120" s="30" t="s">
        <v>60</v>
      </c>
      <c r="AB120" s="30" t="s">
        <v>57</v>
      </c>
      <c r="AC120" s="27"/>
      <c r="AD120" s="31" t="s">
        <v>57</v>
      </c>
      <c r="AE120" s="32" t="str">
        <f t="shared" si="7"/>
        <v>❌ Disc</v>
      </c>
      <c r="AF120" s="33" t="s">
        <v>61</v>
      </c>
      <c r="AG120" s="33" t="s">
        <v>62</v>
      </c>
      <c r="AH120" s="33" t="s">
        <v>57</v>
      </c>
      <c r="AI120" s="33" t="s">
        <v>56</v>
      </c>
      <c r="AJ120" s="33" t="s">
        <v>60</v>
      </c>
      <c r="AK120" s="33" t="s">
        <v>57</v>
      </c>
      <c r="AL120" s="27"/>
      <c r="AM120" s="34" t="s">
        <v>57</v>
      </c>
      <c r="AN120" s="35" t="str">
        <f t="shared" si="8"/>
        <v>❌ Disc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314</v>
      </c>
      <c r="C121" s="25" t="s">
        <v>315</v>
      </c>
      <c r="D121" s="23" t="s">
        <v>210</v>
      </c>
      <c r="E121" s="42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3" t="s">
        <v>261</v>
      </c>
      <c r="L121" s="28" t="s">
        <v>56</v>
      </c>
      <c r="M121" s="29" t="str">
        <f t="shared" si="5"/>
        <v>⚠ Check</v>
      </c>
      <c r="N121" s="42">
        <v>46193</v>
      </c>
      <c r="O121" s="26" t="s">
        <v>55</v>
      </c>
      <c r="P121" s="26" t="s">
        <v>57</v>
      </c>
      <c r="Q121" s="26" t="s">
        <v>56</v>
      </c>
      <c r="R121" s="26" t="s">
        <v>60</v>
      </c>
      <c r="S121" s="26" t="s">
        <v>57</v>
      </c>
      <c r="T121" s="43"/>
      <c r="U121" s="28" t="s">
        <v>57</v>
      </c>
      <c r="V121" s="29" t="str">
        <f t="shared" si="6"/>
        <v>❌ Disc</v>
      </c>
      <c r="W121" s="70">
        <v>46248</v>
      </c>
      <c r="X121" s="30" t="s">
        <v>55</v>
      </c>
      <c r="Y121" s="30" t="s">
        <v>57</v>
      </c>
      <c r="Z121" s="30" t="s">
        <v>56</v>
      </c>
      <c r="AA121" s="30" t="s">
        <v>60</v>
      </c>
      <c r="AB121" s="30" t="s">
        <v>57</v>
      </c>
      <c r="AC121" s="27"/>
      <c r="AD121" s="31" t="s">
        <v>57</v>
      </c>
      <c r="AE121" s="32" t="str">
        <f t="shared" si="7"/>
        <v>❌ Disc</v>
      </c>
      <c r="AF121" s="33" t="s">
        <v>61</v>
      </c>
      <c r="AG121" s="33" t="s">
        <v>62</v>
      </c>
      <c r="AH121" s="33" t="s">
        <v>56</v>
      </c>
      <c r="AI121" s="33" t="s">
        <v>56</v>
      </c>
      <c r="AJ121" s="33" t="s">
        <v>58</v>
      </c>
      <c r="AK121" s="33" t="s">
        <v>56</v>
      </c>
      <c r="AL121" s="27"/>
      <c r="AM121" s="34" t="s">
        <v>57</v>
      </c>
      <c r="AN121" s="35" t="str">
        <f t="shared" si="8"/>
        <v>❌ Disc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316</v>
      </c>
      <c r="C122" s="41" t="s">
        <v>317</v>
      </c>
      <c r="D122" s="39" t="s">
        <v>210</v>
      </c>
      <c r="E122" s="42">
        <v>46127</v>
      </c>
      <c r="F122" s="26" t="s">
        <v>55</v>
      </c>
      <c r="G122" s="26" t="s">
        <v>56</v>
      </c>
      <c r="H122" s="26" t="s">
        <v>57</v>
      </c>
      <c r="I122" s="26" t="s">
        <v>278</v>
      </c>
      <c r="J122" s="26" t="s">
        <v>57</v>
      </c>
      <c r="K122" s="27" t="s">
        <v>318</v>
      </c>
      <c r="L122" s="28" t="s">
        <v>56</v>
      </c>
      <c r="M122" s="29" t="str">
        <f t="shared" si="5"/>
        <v>⚠ Check</v>
      </c>
      <c r="N122" s="42">
        <v>46193</v>
      </c>
      <c r="O122" s="26" t="s">
        <v>55</v>
      </c>
      <c r="P122" s="26" t="s">
        <v>57</v>
      </c>
      <c r="Q122" s="26" t="s">
        <v>56</v>
      </c>
      <c r="R122" s="26" t="s">
        <v>60</v>
      </c>
      <c r="S122" s="26" t="s">
        <v>57</v>
      </c>
      <c r="T122" s="27"/>
      <c r="U122" s="28" t="s">
        <v>57</v>
      </c>
      <c r="V122" s="29" t="str">
        <f t="shared" si="6"/>
        <v>❌ Disc</v>
      </c>
      <c r="W122" s="70">
        <v>46248</v>
      </c>
      <c r="X122" s="30" t="s">
        <v>55</v>
      </c>
      <c r="Y122" s="30" t="s">
        <v>57</v>
      </c>
      <c r="Z122" s="30" t="s">
        <v>56</v>
      </c>
      <c r="AA122" s="30" t="s">
        <v>60</v>
      </c>
      <c r="AB122" s="30" t="s">
        <v>57</v>
      </c>
      <c r="AC122" s="27"/>
      <c r="AD122" s="31" t="s">
        <v>57</v>
      </c>
      <c r="AE122" s="32" t="str">
        <f t="shared" si="7"/>
        <v>❌ Disc</v>
      </c>
      <c r="AF122" s="33" t="s">
        <v>61</v>
      </c>
      <c r="AG122" s="33" t="s">
        <v>62</v>
      </c>
      <c r="AH122" s="33" t="s">
        <v>56</v>
      </c>
      <c r="AI122" s="33" t="s">
        <v>56</v>
      </c>
      <c r="AJ122" s="33" t="s">
        <v>58</v>
      </c>
      <c r="AK122" s="33" t="s">
        <v>56</v>
      </c>
      <c r="AL122" s="27"/>
      <c r="AM122" s="34" t="s">
        <v>57</v>
      </c>
      <c r="AN122" s="35" t="str">
        <f t="shared" si="8"/>
        <v>❌ Disc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319</v>
      </c>
      <c r="C123" s="25" t="s">
        <v>320</v>
      </c>
      <c r="D123" s="23" t="s">
        <v>210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46193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 t="s">
        <v>61</v>
      </c>
      <c r="AG123" s="33" t="s">
        <v>55</v>
      </c>
      <c r="AH123" s="33" t="s">
        <v>56</v>
      </c>
      <c r="AI123" s="33" t="s">
        <v>57</v>
      </c>
      <c r="AJ123" s="33" t="s">
        <v>58</v>
      </c>
      <c r="AK123" s="33" t="s">
        <v>56</v>
      </c>
      <c r="AL123" s="27"/>
      <c r="AM123" s="34" t="s">
        <v>57</v>
      </c>
      <c r="AN123" s="35" t="str">
        <f t="shared" si="8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321</v>
      </c>
      <c r="C124" s="41" t="s">
        <v>322</v>
      </c>
      <c r="D124" s="39" t="s">
        <v>210</v>
      </c>
      <c r="E124" s="42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46193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 t="s">
        <v>61</v>
      </c>
      <c r="AG124" s="33" t="s">
        <v>55</v>
      </c>
      <c r="AH124" s="33" t="s">
        <v>56</v>
      </c>
      <c r="AI124" s="33" t="s">
        <v>57</v>
      </c>
      <c r="AJ124" s="33" t="s">
        <v>58</v>
      </c>
      <c r="AK124" s="33" t="s">
        <v>56</v>
      </c>
      <c r="AL124" s="27"/>
      <c r="AM124" s="34" t="s">
        <v>57</v>
      </c>
      <c r="AN124" s="35" t="str">
        <f t="shared" si="8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323</v>
      </c>
      <c r="C125" s="25" t="s">
        <v>324</v>
      </c>
      <c r="D125" s="23" t="s">
        <v>210</v>
      </c>
      <c r="E125" s="42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46193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57</v>
      </c>
      <c r="T125" s="27" t="s">
        <v>59</v>
      </c>
      <c r="U125" s="28" t="s">
        <v>56</v>
      </c>
      <c r="V125" s="29" t="str">
        <f t="shared" si="6"/>
        <v>⚠ Check</v>
      </c>
      <c r="W125" s="70">
        <v>46252</v>
      </c>
      <c r="X125" s="30" t="s">
        <v>55</v>
      </c>
      <c r="Y125" s="30" t="s">
        <v>57</v>
      </c>
      <c r="Z125" s="30" t="s">
        <v>56</v>
      </c>
      <c r="AA125" s="30" t="s">
        <v>60</v>
      </c>
      <c r="AB125" s="30" t="s">
        <v>57</v>
      </c>
      <c r="AC125" s="27"/>
      <c r="AD125" s="31" t="s">
        <v>57</v>
      </c>
      <c r="AE125" s="32" t="str">
        <f t="shared" si="7"/>
        <v>❌ Disc</v>
      </c>
      <c r="AF125" s="33" t="s">
        <v>61</v>
      </c>
      <c r="AG125" s="33" t="s">
        <v>62</v>
      </c>
      <c r="AH125" s="33" t="s">
        <v>56</v>
      </c>
      <c r="AI125" s="33" t="s">
        <v>56</v>
      </c>
      <c r="AJ125" s="33" t="s">
        <v>58</v>
      </c>
      <c r="AK125" s="33" t="s">
        <v>56</v>
      </c>
      <c r="AL125" s="27"/>
      <c r="AM125" s="34" t="s">
        <v>57</v>
      </c>
      <c r="AN125" s="35" t="str">
        <f t="shared" si="8"/>
        <v>❌ Disc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325</v>
      </c>
      <c r="C126" s="41" t="s">
        <v>326</v>
      </c>
      <c r="D126" s="39" t="s">
        <v>210</v>
      </c>
      <c r="E126" s="42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327</v>
      </c>
      <c r="L126" s="28" t="s">
        <v>56</v>
      </c>
      <c r="M126" s="29" t="str">
        <f t="shared" si="5"/>
        <v>⚠ Check</v>
      </c>
      <c r="N126" s="42">
        <v>46193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57</v>
      </c>
      <c r="T126" s="27" t="s">
        <v>327</v>
      </c>
      <c r="U126" s="28" t="s">
        <v>56</v>
      </c>
      <c r="V126" s="29" t="str">
        <f t="shared" si="6"/>
        <v>⚠ Check</v>
      </c>
      <c r="W126" s="70">
        <v>46248</v>
      </c>
      <c r="X126" s="30" t="s">
        <v>55</v>
      </c>
      <c r="Y126" s="30" t="s">
        <v>57</v>
      </c>
      <c r="Z126" s="30" t="s">
        <v>56</v>
      </c>
      <c r="AA126" s="30" t="s">
        <v>60</v>
      </c>
      <c r="AB126" s="30" t="s">
        <v>57</v>
      </c>
      <c r="AC126" s="27"/>
      <c r="AD126" s="31" t="s">
        <v>57</v>
      </c>
      <c r="AE126" s="32" t="str">
        <f t="shared" si="7"/>
        <v>❌ Disc</v>
      </c>
      <c r="AF126" s="33" t="s">
        <v>61</v>
      </c>
      <c r="AG126" s="33" t="s">
        <v>62</v>
      </c>
      <c r="AH126" s="33" t="s">
        <v>57</v>
      </c>
      <c r="AI126" s="33" t="s">
        <v>56</v>
      </c>
      <c r="AJ126" s="33" t="s">
        <v>60</v>
      </c>
      <c r="AK126" s="33" t="s">
        <v>57</v>
      </c>
      <c r="AL126" s="27"/>
      <c r="AM126" s="34" t="s">
        <v>57</v>
      </c>
      <c r="AN126" s="35" t="str">
        <f t="shared" si="8"/>
        <v>❌ Disc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328</v>
      </c>
      <c r="C127" s="25" t="s">
        <v>329</v>
      </c>
      <c r="D127" s="23" t="s">
        <v>210</v>
      </c>
      <c r="E127" s="42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3" t="s">
        <v>261</v>
      </c>
      <c r="L127" s="28" t="s">
        <v>56</v>
      </c>
      <c r="M127" s="29" t="str">
        <f t="shared" si="5"/>
        <v>⚠ Check</v>
      </c>
      <c r="N127" s="42">
        <v>46193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57</v>
      </c>
      <c r="Z127" s="30" t="s">
        <v>56</v>
      </c>
      <c r="AA127" s="30" t="s">
        <v>60</v>
      </c>
      <c r="AB127" s="30" t="s">
        <v>57</v>
      </c>
      <c r="AC127" s="27"/>
      <c r="AD127" s="31" t="s">
        <v>57</v>
      </c>
      <c r="AE127" s="32" t="str">
        <f t="shared" si="7"/>
        <v>❌ Disc</v>
      </c>
      <c r="AF127" s="33" t="s">
        <v>61</v>
      </c>
      <c r="AG127" s="33" t="s">
        <v>62</v>
      </c>
      <c r="AH127" s="33" t="s">
        <v>56</v>
      </c>
      <c r="AI127" s="33" t="s">
        <v>56</v>
      </c>
      <c r="AJ127" s="33" t="s">
        <v>58</v>
      </c>
      <c r="AK127" s="33" t="s">
        <v>56</v>
      </c>
      <c r="AL127" s="27"/>
      <c r="AM127" s="34" t="s">
        <v>57</v>
      </c>
      <c r="AN127" s="35" t="str">
        <f t="shared" si="8"/>
        <v>❌ Disc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330</v>
      </c>
      <c r="C128" s="41" t="s">
        <v>331</v>
      </c>
      <c r="D128" s="39" t="s">
        <v>210</v>
      </c>
      <c r="E128" s="42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46193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46252</v>
      </c>
      <c r="X128" s="30" t="s">
        <v>55</v>
      </c>
      <c r="Y128" s="30" t="s">
        <v>57</v>
      </c>
      <c r="Z128" s="30" t="s">
        <v>56</v>
      </c>
      <c r="AA128" s="30" t="s">
        <v>60</v>
      </c>
      <c r="AB128" s="30" t="s">
        <v>57</v>
      </c>
      <c r="AC128" s="27"/>
      <c r="AD128" s="31" t="s">
        <v>57</v>
      </c>
      <c r="AE128" s="32" t="str">
        <f t="shared" si="7"/>
        <v>❌ Disc</v>
      </c>
      <c r="AF128" s="33" t="s">
        <v>61</v>
      </c>
      <c r="AG128" s="33" t="s">
        <v>62</v>
      </c>
      <c r="AH128" s="33" t="s">
        <v>57</v>
      </c>
      <c r="AI128" s="33" t="s">
        <v>56</v>
      </c>
      <c r="AJ128" s="33" t="s">
        <v>60</v>
      </c>
      <c r="AK128" s="33" t="s">
        <v>57</v>
      </c>
      <c r="AL128" s="27"/>
      <c r="AM128" s="34" t="s">
        <v>57</v>
      </c>
      <c r="AN128" s="35" t="str">
        <f t="shared" si="8"/>
        <v>❌ Disc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332</v>
      </c>
      <c r="C129" s="25" t="s">
        <v>333</v>
      </c>
      <c r="D129" s="23" t="s">
        <v>210</v>
      </c>
      <c r="E129" s="42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3" t="s">
        <v>261</v>
      </c>
      <c r="L129" s="28" t="s">
        <v>56</v>
      </c>
      <c r="M129" s="29" t="str">
        <f t="shared" si="5"/>
        <v>⚠ Check</v>
      </c>
      <c r="N129" s="42">
        <v>46193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 t="s">
        <v>61</v>
      </c>
      <c r="AG129" s="33" t="s">
        <v>55</v>
      </c>
      <c r="AH129" s="33" t="s">
        <v>56</v>
      </c>
      <c r="AI129" s="33" t="s">
        <v>57</v>
      </c>
      <c r="AJ129" s="33" t="s">
        <v>58</v>
      </c>
      <c r="AK129" s="33" t="s">
        <v>56</v>
      </c>
      <c r="AL129" s="27"/>
      <c r="AM129" s="34" t="s">
        <v>57</v>
      </c>
      <c r="AN129" s="35" t="str">
        <f t="shared" si="8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334</v>
      </c>
      <c r="C130" s="41" t="s">
        <v>335</v>
      </c>
      <c r="D130" s="39" t="s">
        <v>210</v>
      </c>
      <c r="E130" s="42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46193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 t="s">
        <v>61</v>
      </c>
      <c r="AG130" s="33" t="s">
        <v>55</v>
      </c>
      <c r="AH130" s="33" t="s">
        <v>56</v>
      </c>
      <c r="AI130" s="33" t="s">
        <v>57</v>
      </c>
      <c r="AJ130" s="33" t="s">
        <v>58</v>
      </c>
      <c r="AK130" s="33" t="s">
        <v>56</v>
      </c>
      <c r="AL130" s="27"/>
      <c r="AM130" s="34" t="s">
        <v>57</v>
      </c>
      <c r="AN130" s="35" t="str">
        <f t="shared" si="8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336</v>
      </c>
      <c r="C131" s="25" t="s">
        <v>337</v>
      </c>
      <c r="D131" s="23" t="s">
        <v>210</v>
      </c>
      <c r="E131" s="42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46193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 t="s">
        <v>61</v>
      </c>
      <c r="AG131" s="33" t="s">
        <v>55</v>
      </c>
      <c r="AH131" s="33" t="s">
        <v>56</v>
      </c>
      <c r="AI131" s="33" t="s">
        <v>57</v>
      </c>
      <c r="AJ131" s="33" t="s">
        <v>58</v>
      </c>
      <c r="AK131" s="33" t="s">
        <v>56</v>
      </c>
      <c r="AL131" s="27"/>
      <c r="AM131" s="34" t="s">
        <v>57</v>
      </c>
      <c r="AN131" s="35" t="str">
        <f t="shared" si="8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338</v>
      </c>
      <c r="C132" s="41" t="s">
        <v>339</v>
      </c>
      <c r="D132" s="39" t="s">
        <v>210</v>
      </c>
      <c r="E132" s="42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46193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 t="s">
        <v>61</v>
      </c>
      <c r="AG132" s="33" t="s">
        <v>55</v>
      </c>
      <c r="AH132" s="33" t="s">
        <v>56</v>
      </c>
      <c r="AI132" s="33" t="s">
        <v>57</v>
      </c>
      <c r="AJ132" s="33" t="s">
        <v>58</v>
      </c>
      <c r="AK132" s="33" t="s">
        <v>56</v>
      </c>
      <c r="AL132" s="27"/>
      <c r="AM132" s="34" t="s">
        <v>57</v>
      </c>
      <c r="AN132" s="35" t="str">
        <f t="shared" si="8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340</v>
      </c>
      <c r="C133" s="25" t="s">
        <v>341</v>
      </c>
      <c r="D133" s="23" t="s">
        <v>210</v>
      </c>
      <c r="E133" s="42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261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42">
        <v>46193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 t="s">
        <v>61</v>
      </c>
      <c r="AG133" s="33" t="s">
        <v>55</v>
      </c>
      <c r="AH133" s="33" t="s">
        <v>56</v>
      </c>
      <c r="AI133" s="33" t="s">
        <v>57</v>
      </c>
      <c r="AJ133" s="33" t="s">
        <v>58</v>
      </c>
      <c r="AK133" s="33" t="s">
        <v>56</v>
      </c>
      <c r="AL133" s="27"/>
      <c r="AM133" s="34" t="s">
        <v>57</v>
      </c>
      <c r="AN133" s="35" t="str">
        <f t="shared" ref="AN133:AN196" si="13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342</v>
      </c>
      <c r="C134" s="41" t="s">
        <v>343</v>
      </c>
      <c r="D134" s="39" t="s">
        <v>210</v>
      </c>
      <c r="E134" s="42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344</v>
      </c>
      <c r="L134" s="28" t="s">
        <v>56</v>
      </c>
      <c r="M134" s="29" t="str">
        <f t="shared" si="10"/>
        <v>⚠ Check</v>
      </c>
      <c r="N134" s="42">
        <v>46193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 t="s">
        <v>61</v>
      </c>
      <c r="AG134" s="33" t="s">
        <v>55</v>
      </c>
      <c r="AH134" s="33" t="s">
        <v>56</v>
      </c>
      <c r="AI134" s="33" t="s">
        <v>57</v>
      </c>
      <c r="AJ134" s="33" t="s">
        <v>58</v>
      </c>
      <c r="AK134" s="33" t="s">
        <v>56</v>
      </c>
      <c r="AL134" s="27"/>
      <c r="AM134" s="34" t="s">
        <v>57</v>
      </c>
      <c r="AN134" s="35" t="str">
        <f t="shared" si="13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345</v>
      </c>
      <c r="C135" s="25" t="s">
        <v>346</v>
      </c>
      <c r="D135" s="23" t="s">
        <v>210</v>
      </c>
      <c r="E135" s="42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46193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 t="s">
        <v>61</v>
      </c>
      <c r="AG135" s="33" t="s">
        <v>55</v>
      </c>
      <c r="AH135" s="33" t="s">
        <v>56</v>
      </c>
      <c r="AI135" s="33" t="s">
        <v>57</v>
      </c>
      <c r="AJ135" s="33" t="s">
        <v>58</v>
      </c>
      <c r="AK135" s="33" t="s">
        <v>56</v>
      </c>
      <c r="AL135" s="27"/>
      <c r="AM135" s="34" t="s">
        <v>57</v>
      </c>
      <c r="AN135" s="35" t="str">
        <f t="shared" si="13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347</v>
      </c>
      <c r="C136" s="41" t="s">
        <v>348</v>
      </c>
      <c r="D136" s="39" t="s">
        <v>210</v>
      </c>
      <c r="E136" s="42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3" t="s">
        <v>261</v>
      </c>
      <c r="L136" s="28" t="s">
        <v>56</v>
      </c>
      <c r="M136" s="29" t="str">
        <f t="shared" si="10"/>
        <v>⚠ Check</v>
      </c>
      <c r="N136" s="42">
        <v>46193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 t="s">
        <v>61</v>
      </c>
      <c r="AG136" s="33" t="s">
        <v>55</v>
      </c>
      <c r="AH136" s="33" t="s">
        <v>56</v>
      </c>
      <c r="AI136" s="33" t="s">
        <v>57</v>
      </c>
      <c r="AJ136" s="33" t="s">
        <v>58</v>
      </c>
      <c r="AK136" s="33" t="s">
        <v>56</v>
      </c>
      <c r="AL136" s="27"/>
      <c r="AM136" s="34" t="s">
        <v>57</v>
      </c>
      <c r="AN136" s="35" t="str">
        <f t="shared" si="13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349</v>
      </c>
      <c r="C137" s="25" t="s">
        <v>350</v>
      </c>
      <c r="D137" s="23" t="s">
        <v>210</v>
      </c>
      <c r="E137" s="42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3" t="s">
        <v>351</v>
      </c>
      <c r="L137" s="28" t="s">
        <v>56</v>
      </c>
      <c r="M137" s="29" t="str">
        <f t="shared" si="10"/>
        <v>⚠ Check</v>
      </c>
      <c r="N137" s="42">
        <v>46193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57</v>
      </c>
      <c r="T137" s="43" t="s">
        <v>351</v>
      </c>
      <c r="U137" s="28" t="s">
        <v>56</v>
      </c>
      <c r="V137" s="29" t="str">
        <f t="shared" si="11"/>
        <v>⚠ Check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57</v>
      </c>
      <c r="AC137" s="27" t="s">
        <v>351</v>
      </c>
      <c r="AD137" s="31" t="s">
        <v>56</v>
      </c>
      <c r="AE137" s="32" t="str">
        <f t="shared" si="12"/>
        <v>⚠ Check</v>
      </c>
      <c r="AF137" s="33" t="s">
        <v>61</v>
      </c>
      <c r="AG137" s="33" t="s">
        <v>55</v>
      </c>
      <c r="AH137" s="33" t="s">
        <v>56</v>
      </c>
      <c r="AI137" s="33" t="s">
        <v>57</v>
      </c>
      <c r="AJ137" s="33" t="s">
        <v>58</v>
      </c>
      <c r="AK137" s="33" t="s">
        <v>56</v>
      </c>
      <c r="AL137" s="27"/>
      <c r="AM137" s="34" t="s">
        <v>57</v>
      </c>
      <c r="AN137" s="35" t="str">
        <f t="shared" si="13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352</v>
      </c>
      <c r="C138" s="41" t="s">
        <v>353</v>
      </c>
      <c r="D138" s="39" t="s">
        <v>210</v>
      </c>
      <c r="E138" s="42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3" t="s">
        <v>261</v>
      </c>
      <c r="L138" s="28" t="s">
        <v>56</v>
      </c>
      <c r="M138" s="29" t="str">
        <f t="shared" si="10"/>
        <v>⚠ Check</v>
      </c>
      <c r="N138" s="42">
        <v>46193</v>
      </c>
      <c r="O138" s="26" t="s">
        <v>55</v>
      </c>
      <c r="P138" s="26" t="s">
        <v>57</v>
      </c>
      <c r="Q138" s="26" t="s">
        <v>56</v>
      </c>
      <c r="R138" s="26" t="s">
        <v>60</v>
      </c>
      <c r="S138" s="26" t="s">
        <v>57</v>
      </c>
      <c r="T138" s="43"/>
      <c r="U138" s="28" t="s">
        <v>57</v>
      </c>
      <c r="V138" s="29" t="str">
        <f t="shared" si="11"/>
        <v>❌ Disc</v>
      </c>
      <c r="W138" s="70">
        <v>46248</v>
      </c>
      <c r="X138" s="30" t="s">
        <v>55</v>
      </c>
      <c r="Y138" s="30" t="s">
        <v>57</v>
      </c>
      <c r="Z138" s="30" t="s">
        <v>56</v>
      </c>
      <c r="AA138" s="30" t="s">
        <v>60</v>
      </c>
      <c r="AB138" s="30" t="s">
        <v>57</v>
      </c>
      <c r="AC138" s="27"/>
      <c r="AD138" s="31" t="s">
        <v>57</v>
      </c>
      <c r="AE138" s="32" t="str">
        <f t="shared" si="12"/>
        <v>❌ Disc</v>
      </c>
      <c r="AF138" s="33" t="s">
        <v>61</v>
      </c>
      <c r="AG138" s="33" t="s">
        <v>62</v>
      </c>
      <c r="AH138" s="33" t="s">
        <v>56</v>
      </c>
      <c r="AI138" s="33" t="s">
        <v>56</v>
      </c>
      <c r="AJ138" s="33" t="s">
        <v>58</v>
      </c>
      <c r="AK138" s="33" t="s">
        <v>56</v>
      </c>
      <c r="AL138" s="27"/>
      <c r="AM138" s="34" t="s">
        <v>57</v>
      </c>
      <c r="AN138" s="35" t="str">
        <f t="shared" si="13"/>
        <v>❌ Disc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354</v>
      </c>
      <c r="C139" s="25" t="s">
        <v>355</v>
      </c>
      <c r="D139" s="23" t="s">
        <v>210</v>
      </c>
      <c r="E139" s="42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3" t="s">
        <v>261</v>
      </c>
      <c r="L139" s="28" t="s">
        <v>56</v>
      </c>
      <c r="M139" s="29" t="str">
        <f t="shared" si="10"/>
        <v>⚠ Check</v>
      </c>
      <c r="N139" s="42">
        <v>46193</v>
      </c>
      <c r="O139" s="26" t="s">
        <v>55</v>
      </c>
      <c r="P139" s="26" t="s">
        <v>57</v>
      </c>
      <c r="Q139" s="26" t="s">
        <v>56</v>
      </c>
      <c r="R139" s="26" t="s">
        <v>60</v>
      </c>
      <c r="S139" s="26" t="s">
        <v>57</v>
      </c>
      <c r="T139" s="43"/>
      <c r="U139" s="28" t="s">
        <v>57</v>
      </c>
      <c r="V139" s="29" t="str">
        <f t="shared" si="11"/>
        <v>❌ Disc</v>
      </c>
      <c r="W139" s="70">
        <v>46248</v>
      </c>
      <c r="X139" s="30" t="s">
        <v>55</v>
      </c>
      <c r="Y139" s="30" t="s">
        <v>57</v>
      </c>
      <c r="Z139" s="30" t="s">
        <v>56</v>
      </c>
      <c r="AA139" s="30" t="s">
        <v>60</v>
      </c>
      <c r="AB139" s="30" t="s">
        <v>57</v>
      </c>
      <c r="AC139" s="27"/>
      <c r="AD139" s="31" t="s">
        <v>57</v>
      </c>
      <c r="AE139" s="32" t="str">
        <f t="shared" si="12"/>
        <v>❌ Disc</v>
      </c>
      <c r="AF139" s="33" t="s">
        <v>61</v>
      </c>
      <c r="AG139" s="33" t="s">
        <v>62</v>
      </c>
      <c r="AH139" s="33" t="s">
        <v>56</v>
      </c>
      <c r="AI139" s="33" t="s">
        <v>56</v>
      </c>
      <c r="AJ139" s="33" t="s">
        <v>58</v>
      </c>
      <c r="AK139" s="33" t="s">
        <v>56</v>
      </c>
      <c r="AL139" s="27"/>
      <c r="AM139" s="34" t="s">
        <v>57</v>
      </c>
      <c r="AN139" s="35" t="str">
        <f t="shared" si="13"/>
        <v>❌ Disc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356</v>
      </c>
      <c r="C140" s="41" t="s">
        <v>357</v>
      </c>
      <c r="D140" s="39" t="s">
        <v>210</v>
      </c>
      <c r="E140" s="42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3" t="s">
        <v>261</v>
      </c>
      <c r="L140" s="28" t="s">
        <v>56</v>
      </c>
      <c r="M140" s="29" t="str">
        <f t="shared" si="10"/>
        <v>⚠ Check</v>
      </c>
      <c r="N140" s="42">
        <v>46193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43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 t="s">
        <v>61</v>
      </c>
      <c r="AG140" s="33" t="s">
        <v>55</v>
      </c>
      <c r="AH140" s="33" t="s">
        <v>56</v>
      </c>
      <c r="AI140" s="33" t="s">
        <v>57</v>
      </c>
      <c r="AJ140" s="33" t="s">
        <v>58</v>
      </c>
      <c r="AK140" s="33" t="s">
        <v>56</v>
      </c>
      <c r="AL140" s="27"/>
      <c r="AM140" s="34" t="s">
        <v>57</v>
      </c>
      <c r="AN140" s="35" t="str">
        <f t="shared" si="13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358</v>
      </c>
      <c r="C141" s="25" t="s">
        <v>359</v>
      </c>
      <c r="D141" s="23" t="s">
        <v>210</v>
      </c>
      <c r="E141" s="42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360</v>
      </c>
      <c r="L141" s="28" t="s">
        <v>56</v>
      </c>
      <c r="M141" s="29" t="str">
        <f t="shared" si="10"/>
        <v>⚠ Check</v>
      </c>
      <c r="N141" s="42">
        <v>46193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57</v>
      </c>
      <c r="T141" s="27" t="s">
        <v>77</v>
      </c>
      <c r="U141" s="28" t="s">
        <v>56</v>
      </c>
      <c r="V141" s="29" t="str">
        <f t="shared" si="11"/>
        <v>⚠ Check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56</v>
      </c>
      <c r="AE141" s="32" t="str">
        <f t="shared" si="12"/>
        <v>✓ OK</v>
      </c>
      <c r="AF141" s="33" t="s">
        <v>61</v>
      </c>
      <c r="AG141" s="33" t="s">
        <v>55</v>
      </c>
      <c r="AH141" s="33" t="s">
        <v>56</v>
      </c>
      <c r="AI141" s="33" t="s">
        <v>57</v>
      </c>
      <c r="AJ141" s="33" t="s">
        <v>58</v>
      </c>
      <c r="AK141" s="33" t="s">
        <v>56</v>
      </c>
      <c r="AL141" s="27"/>
      <c r="AM141" s="34" t="s">
        <v>57</v>
      </c>
      <c r="AN141" s="35" t="str">
        <f t="shared" si="13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361</v>
      </c>
      <c r="C142" s="41" t="s">
        <v>362</v>
      </c>
      <c r="D142" s="39" t="s">
        <v>210</v>
      </c>
      <c r="E142" s="42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363</v>
      </c>
      <c r="L142" s="28" t="s">
        <v>56</v>
      </c>
      <c r="M142" s="29" t="str">
        <f t="shared" si="10"/>
        <v>⚠ Check</v>
      </c>
      <c r="N142" s="42">
        <v>46193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57</v>
      </c>
      <c r="T142" s="27" t="s">
        <v>364</v>
      </c>
      <c r="U142" s="28" t="s">
        <v>56</v>
      </c>
      <c r="V142" s="29" t="str">
        <f t="shared" si="11"/>
        <v>⚠ Check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57</v>
      </c>
      <c r="AC142" s="27" t="s">
        <v>364</v>
      </c>
      <c r="AD142" s="31" t="s">
        <v>56</v>
      </c>
      <c r="AE142" s="32" t="str">
        <f t="shared" si="12"/>
        <v>⚠ Check</v>
      </c>
      <c r="AF142" s="33" t="s">
        <v>61</v>
      </c>
      <c r="AG142" s="33" t="s">
        <v>55</v>
      </c>
      <c r="AH142" s="33" t="s">
        <v>56</v>
      </c>
      <c r="AI142" s="33" t="s">
        <v>57</v>
      </c>
      <c r="AJ142" s="33" t="s">
        <v>58</v>
      </c>
      <c r="AK142" s="33" t="s">
        <v>56</v>
      </c>
      <c r="AL142" s="27" t="s">
        <v>364</v>
      </c>
      <c r="AM142" s="34" t="s">
        <v>57</v>
      </c>
      <c r="AN142" s="35" t="str">
        <f t="shared" si="13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365</v>
      </c>
      <c r="C143" s="25" t="s">
        <v>366</v>
      </c>
      <c r="D143" s="23" t="s">
        <v>210</v>
      </c>
      <c r="E143" s="42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261</v>
      </c>
      <c r="L143" s="28" t="s">
        <v>56</v>
      </c>
      <c r="M143" s="29" t="str">
        <f t="shared" si="10"/>
        <v>⚠ Check</v>
      </c>
      <c r="N143" s="42">
        <v>46193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43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 t="s">
        <v>61</v>
      </c>
      <c r="AG143" s="33" t="s">
        <v>55</v>
      </c>
      <c r="AH143" s="33" t="s">
        <v>56</v>
      </c>
      <c r="AI143" s="33" t="s">
        <v>57</v>
      </c>
      <c r="AJ143" s="33" t="s">
        <v>58</v>
      </c>
      <c r="AK143" s="33" t="s">
        <v>56</v>
      </c>
      <c r="AL143" s="27"/>
      <c r="AM143" s="34" t="s">
        <v>57</v>
      </c>
      <c r="AN143" s="35" t="str">
        <f t="shared" si="13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367</v>
      </c>
      <c r="C144" s="41" t="s">
        <v>368</v>
      </c>
      <c r="D144" s="39" t="s">
        <v>210</v>
      </c>
      <c r="E144" s="42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3" t="s">
        <v>261</v>
      </c>
      <c r="L144" s="28" t="s">
        <v>56</v>
      </c>
      <c r="M144" s="29" t="str">
        <f t="shared" si="10"/>
        <v>⚠ Check</v>
      </c>
      <c r="N144" s="42">
        <v>46193</v>
      </c>
      <c r="O144" s="26" t="s">
        <v>55</v>
      </c>
      <c r="P144" s="26" t="s">
        <v>57</v>
      </c>
      <c r="Q144" s="26" t="s">
        <v>56</v>
      </c>
      <c r="R144" s="26" t="s">
        <v>60</v>
      </c>
      <c r="S144" s="26" t="s">
        <v>57</v>
      </c>
      <c r="T144" s="43"/>
      <c r="U144" s="28" t="s">
        <v>57</v>
      </c>
      <c r="V144" s="29" t="str">
        <f t="shared" si="11"/>
        <v>❌ Disc</v>
      </c>
      <c r="W144" s="70">
        <v>46248</v>
      </c>
      <c r="X144" s="30" t="s">
        <v>55</v>
      </c>
      <c r="Y144" s="30" t="s">
        <v>57</v>
      </c>
      <c r="Z144" s="30" t="s">
        <v>56</v>
      </c>
      <c r="AA144" s="30" t="s">
        <v>60</v>
      </c>
      <c r="AB144" s="30" t="s">
        <v>57</v>
      </c>
      <c r="AC144" s="27"/>
      <c r="AD144" s="31" t="s">
        <v>57</v>
      </c>
      <c r="AE144" s="32" t="str">
        <f t="shared" si="12"/>
        <v>❌ Disc</v>
      </c>
      <c r="AF144" s="33" t="s">
        <v>61</v>
      </c>
      <c r="AG144" s="33" t="s">
        <v>62</v>
      </c>
      <c r="AH144" s="33" t="s">
        <v>56</v>
      </c>
      <c r="AI144" s="33" t="s">
        <v>56</v>
      </c>
      <c r="AJ144" s="33" t="s">
        <v>58</v>
      </c>
      <c r="AK144" s="33" t="s">
        <v>56</v>
      </c>
      <c r="AL144" s="27"/>
      <c r="AM144" s="34" t="s">
        <v>57</v>
      </c>
      <c r="AN144" s="35" t="str">
        <f t="shared" si="13"/>
        <v>❌ Disc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369</v>
      </c>
      <c r="C145" s="25" t="s">
        <v>370</v>
      </c>
      <c r="D145" s="23" t="s">
        <v>210</v>
      </c>
      <c r="E145" s="42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371</v>
      </c>
      <c r="L145" s="28" t="s">
        <v>56</v>
      </c>
      <c r="M145" s="29" t="str">
        <f t="shared" si="10"/>
        <v>⚠ Check</v>
      </c>
      <c r="N145" s="42">
        <v>46193</v>
      </c>
      <c r="O145" s="26" t="s">
        <v>55</v>
      </c>
      <c r="P145" s="26" t="s">
        <v>57</v>
      </c>
      <c r="Q145" s="26" t="s">
        <v>56</v>
      </c>
      <c r="R145" s="26" t="s">
        <v>60</v>
      </c>
      <c r="S145" s="26" t="s">
        <v>57</v>
      </c>
      <c r="T145" s="27"/>
      <c r="U145" s="28" t="s">
        <v>57</v>
      </c>
      <c r="V145" s="29" t="str">
        <f t="shared" si="11"/>
        <v>❌ Disc</v>
      </c>
      <c r="W145" s="70">
        <v>46248</v>
      </c>
      <c r="X145" s="30" t="s">
        <v>55</v>
      </c>
      <c r="Y145" s="30" t="s">
        <v>57</v>
      </c>
      <c r="Z145" s="30" t="s">
        <v>56</v>
      </c>
      <c r="AA145" s="30" t="s">
        <v>60</v>
      </c>
      <c r="AB145" s="30" t="s">
        <v>57</v>
      </c>
      <c r="AC145" s="27"/>
      <c r="AD145" s="31" t="s">
        <v>57</v>
      </c>
      <c r="AE145" s="32" t="str">
        <f t="shared" si="12"/>
        <v>❌ Disc</v>
      </c>
      <c r="AF145" s="33" t="s">
        <v>61</v>
      </c>
      <c r="AG145" s="33" t="s">
        <v>62</v>
      </c>
      <c r="AH145" s="33" t="s">
        <v>56</v>
      </c>
      <c r="AI145" s="33" t="s">
        <v>56</v>
      </c>
      <c r="AJ145" s="33" t="s">
        <v>58</v>
      </c>
      <c r="AK145" s="33" t="s">
        <v>56</v>
      </c>
      <c r="AL145" s="27"/>
      <c r="AM145" s="34" t="s">
        <v>57</v>
      </c>
      <c r="AN145" s="35" t="str">
        <f t="shared" si="13"/>
        <v>❌ Disc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372</v>
      </c>
      <c r="C146" s="41" t="s">
        <v>373</v>
      </c>
      <c r="D146" s="39" t="s">
        <v>210</v>
      </c>
      <c r="E146" s="42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261</v>
      </c>
      <c r="L146" s="28" t="s">
        <v>56</v>
      </c>
      <c r="M146" s="29" t="str">
        <f t="shared" si="10"/>
        <v>⚠ Check</v>
      </c>
      <c r="N146" s="42">
        <v>46193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57</v>
      </c>
      <c r="Z146" s="30" t="s">
        <v>56</v>
      </c>
      <c r="AA146" s="30" t="s">
        <v>60</v>
      </c>
      <c r="AB146" s="30" t="s">
        <v>57</v>
      </c>
      <c r="AC146" s="27"/>
      <c r="AD146" s="31" t="s">
        <v>57</v>
      </c>
      <c r="AE146" s="32" t="str">
        <f t="shared" si="12"/>
        <v>❌ Disc</v>
      </c>
      <c r="AF146" s="33" t="s">
        <v>61</v>
      </c>
      <c r="AG146" s="33" t="s">
        <v>62</v>
      </c>
      <c r="AH146" s="33" t="s">
        <v>56</v>
      </c>
      <c r="AI146" s="33" t="s">
        <v>56</v>
      </c>
      <c r="AJ146" s="33" t="s">
        <v>58</v>
      </c>
      <c r="AK146" s="33" t="s">
        <v>56</v>
      </c>
      <c r="AL146" s="27"/>
      <c r="AM146" s="34" t="s">
        <v>57</v>
      </c>
      <c r="AN146" s="35" t="str">
        <f t="shared" si="13"/>
        <v>❌ Disc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374</v>
      </c>
      <c r="C147" s="25" t="s">
        <v>375</v>
      </c>
      <c r="D147" s="23" t="s">
        <v>210</v>
      </c>
      <c r="E147" s="42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261</v>
      </c>
      <c r="L147" s="28" t="s">
        <v>56</v>
      </c>
      <c r="M147" s="29" t="str">
        <f t="shared" si="10"/>
        <v>⚠ Check</v>
      </c>
      <c r="N147" s="42">
        <v>46193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 t="s">
        <v>61</v>
      </c>
      <c r="AG147" s="33" t="s">
        <v>55</v>
      </c>
      <c r="AH147" s="33" t="s">
        <v>56</v>
      </c>
      <c r="AI147" s="33" t="s">
        <v>57</v>
      </c>
      <c r="AJ147" s="33" t="s">
        <v>58</v>
      </c>
      <c r="AK147" s="33" t="s">
        <v>56</v>
      </c>
      <c r="AL147" s="27"/>
      <c r="AM147" s="34" t="s">
        <v>57</v>
      </c>
      <c r="AN147" s="35" t="str">
        <f t="shared" si="13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376</v>
      </c>
      <c r="C148" s="41" t="s">
        <v>377</v>
      </c>
      <c r="D148" s="39" t="s">
        <v>210</v>
      </c>
      <c r="E148" s="42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261</v>
      </c>
      <c r="L148" s="28" t="s">
        <v>56</v>
      </c>
      <c r="M148" s="29" t="str">
        <f t="shared" si="10"/>
        <v>⚠ Check</v>
      </c>
      <c r="N148" s="42">
        <v>46193</v>
      </c>
      <c r="O148" s="26" t="s">
        <v>55</v>
      </c>
      <c r="P148" s="26" t="s">
        <v>57</v>
      </c>
      <c r="Q148" s="26" t="s">
        <v>56</v>
      </c>
      <c r="R148" s="26" t="s">
        <v>60</v>
      </c>
      <c r="S148" s="26" t="s">
        <v>57</v>
      </c>
      <c r="T148" s="27"/>
      <c r="U148" s="28" t="s">
        <v>57</v>
      </c>
      <c r="V148" s="29" t="str">
        <f t="shared" si="11"/>
        <v>❌ Disc</v>
      </c>
      <c r="W148" s="70">
        <v>46248</v>
      </c>
      <c r="X148" s="30" t="s">
        <v>55</v>
      </c>
      <c r="Y148" s="30" t="s">
        <v>57</v>
      </c>
      <c r="Z148" s="30" t="s">
        <v>56</v>
      </c>
      <c r="AA148" s="30" t="s">
        <v>60</v>
      </c>
      <c r="AB148" s="30" t="s">
        <v>57</v>
      </c>
      <c r="AC148" s="27"/>
      <c r="AD148" s="31" t="s">
        <v>57</v>
      </c>
      <c r="AE148" s="32" t="str">
        <f t="shared" si="12"/>
        <v>❌ Disc</v>
      </c>
      <c r="AF148" s="33" t="s">
        <v>61</v>
      </c>
      <c r="AG148" s="33" t="s">
        <v>62</v>
      </c>
      <c r="AH148" s="33" t="s">
        <v>56</v>
      </c>
      <c r="AI148" s="33" t="s">
        <v>56</v>
      </c>
      <c r="AJ148" s="33" t="s">
        <v>58</v>
      </c>
      <c r="AK148" s="33" t="s">
        <v>56</v>
      </c>
      <c r="AL148" s="27"/>
      <c r="AM148" s="34" t="s">
        <v>57</v>
      </c>
      <c r="AN148" s="35" t="str">
        <f t="shared" si="13"/>
        <v>❌ Disc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378</v>
      </c>
      <c r="C149" s="25" t="s">
        <v>379</v>
      </c>
      <c r="D149" s="23" t="s">
        <v>210</v>
      </c>
      <c r="E149" s="42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261</v>
      </c>
      <c r="L149" s="28" t="s">
        <v>56</v>
      </c>
      <c r="M149" s="29" t="str">
        <f t="shared" si="10"/>
        <v>⚠ Check</v>
      </c>
      <c r="N149" s="42">
        <v>46193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57</v>
      </c>
      <c r="T149" s="27" t="s">
        <v>261</v>
      </c>
      <c r="U149" s="28" t="s">
        <v>56</v>
      </c>
      <c r="V149" s="29" t="str">
        <f t="shared" si="11"/>
        <v>⚠ Check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56</v>
      </c>
      <c r="AE149" s="32" t="str">
        <f t="shared" si="12"/>
        <v>✓ OK</v>
      </c>
      <c r="AF149" s="33" t="s">
        <v>61</v>
      </c>
      <c r="AG149" s="33" t="s">
        <v>55</v>
      </c>
      <c r="AH149" s="33" t="s">
        <v>56</v>
      </c>
      <c r="AI149" s="33" t="s">
        <v>57</v>
      </c>
      <c r="AJ149" s="33" t="s">
        <v>58</v>
      </c>
      <c r="AK149" s="33" t="s">
        <v>56</v>
      </c>
      <c r="AL149" s="27"/>
      <c r="AM149" s="34" t="s">
        <v>57</v>
      </c>
      <c r="AN149" s="35" t="str">
        <f t="shared" si="13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380</v>
      </c>
      <c r="C150" s="41" t="s">
        <v>381</v>
      </c>
      <c r="D150" s="39" t="s">
        <v>210</v>
      </c>
      <c r="E150" s="42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3" t="s">
        <v>261</v>
      </c>
      <c r="L150" s="28" t="s">
        <v>56</v>
      </c>
      <c r="M150" s="29" t="str">
        <f t="shared" si="10"/>
        <v>⚠ Check</v>
      </c>
      <c r="N150" s="42">
        <v>46193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 t="s">
        <v>61</v>
      </c>
      <c r="AG150" s="33" t="s">
        <v>55</v>
      </c>
      <c r="AH150" s="33" t="s">
        <v>56</v>
      </c>
      <c r="AI150" s="33" t="s">
        <v>57</v>
      </c>
      <c r="AJ150" s="33" t="s">
        <v>58</v>
      </c>
      <c r="AK150" s="33" t="s">
        <v>56</v>
      </c>
      <c r="AL150" s="27"/>
      <c r="AM150" s="34" t="s">
        <v>57</v>
      </c>
      <c r="AN150" s="35" t="str">
        <f t="shared" si="13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382</v>
      </c>
      <c r="C151" s="25" t="s">
        <v>383</v>
      </c>
      <c r="D151" s="23" t="s">
        <v>210</v>
      </c>
      <c r="E151" s="42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3" t="s">
        <v>261</v>
      </c>
      <c r="L151" s="28" t="s">
        <v>56</v>
      </c>
      <c r="M151" s="29" t="str">
        <f t="shared" si="10"/>
        <v>⚠ Check</v>
      </c>
      <c r="N151" s="42">
        <v>46193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 t="s">
        <v>61</v>
      </c>
      <c r="AG151" s="33" t="s">
        <v>55</v>
      </c>
      <c r="AH151" s="33" t="s">
        <v>56</v>
      </c>
      <c r="AI151" s="33" t="s">
        <v>57</v>
      </c>
      <c r="AJ151" s="33" t="s">
        <v>58</v>
      </c>
      <c r="AK151" s="33" t="s">
        <v>56</v>
      </c>
      <c r="AL151" s="27"/>
      <c r="AM151" s="34" t="s">
        <v>57</v>
      </c>
      <c r="AN151" s="35" t="str">
        <f t="shared" si="13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384</v>
      </c>
      <c r="C152" s="41" t="s">
        <v>385</v>
      </c>
      <c r="D152" s="39" t="s">
        <v>210</v>
      </c>
      <c r="E152" s="42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3" t="s">
        <v>261</v>
      </c>
      <c r="L152" s="28" t="s">
        <v>56</v>
      </c>
      <c r="M152" s="29" t="str">
        <f t="shared" si="10"/>
        <v>⚠ Check</v>
      </c>
      <c r="N152" s="42">
        <v>46193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 t="s">
        <v>61</v>
      </c>
      <c r="AG152" s="33" t="s">
        <v>55</v>
      </c>
      <c r="AH152" s="33" t="s">
        <v>56</v>
      </c>
      <c r="AI152" s="33" t="s">
        <v>57</v>
      </c>
      <c r="AJ152" s="33" t="s">
        <v>58</v>
      </c>
      <c r="AK152" s="33" t="s">
        <v>56</v>
      </c>
      <c r="AL152" s="27"/>
      <c r="AM152" s="34" t="s">
        <v>57</v>
      </c>
      <c r="AN152" s="35" t="str">
        <f t="shared" si="13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386</v>
      </c>
      <c r="C153" s="25" t="s">
        <v>387</v>
      </c>
      <c r="D153" s="23" t="s">
        <v>210</v>
      </c>
      <c r="E153" s="42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46193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 t="s">
        <v>61</v>
      </c>
      <c r="AG153" s="33" t="s">
        <v>55</v>
      </c>
      <c r="AH153" s="33" t="s">
        <v>56</v>
      </c>
      <c r="AI153" s="33" t="s">
        <v>57</v>
      </c>
      <c r="AJ153" s="33" t="s">
        <v>58</v>
      </c>
      <c r="AK153" s="33" t="s">
        <v>56</v>
      </c>
      <c r="AL153" s="27"/>
      <c r="AM153" s="34" t="s">
        <v>57</v>
      </c>
      <c r="AN153" s="35" t="str">
        <f t="shared" si="13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388</v>
      </c>
      <c r="C154" s="41" t="s">
        <v>389</v>
      </c>
      <c r="D154" s="39" t="s">
        <v>210</v>
      </c>
      <c r="E154" s="42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42">
        <v>46193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 t="s">
        <v>61</v>
      </c>
      <c r="AG154" s="33" t="s">
        <v>55</v>
      </c>
      <c r="AH154" s="33" t="s">
        <v>56</v>
      </c>
      <c r="AI154" s="33" t="s">
        <v>57</v>
      </c>
      <c r="AJ154" s="33" t="s">
        <v>58</v>
      </c>
      <c r="AK154" s="33" t="s">
        <v>56</v>
      </c>
      <c r="AL154" s="27"/>
      <c r="AM154" s="34" t="s">
        <v>57</v>
      </c>
      <c r="AN154" s="35" t="str">
        <f t="shared" si="13"/>
        <v>✓ OK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390</v>
      </c>
      <c r="C155" s="25" t="s">
        <v>391</v>
      </c>
      <c r="D155" s="23" t="s">
        <v>210</v>
      </c>
      <c r="E155" s="42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42">
        <v>46193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 t="s">
        <v>61</v>
      </c>
      <c r="AG155" s="33" t="s">
        <v>55</v>
      </c>
      <c r="AH155" s="33" t="s">
        <v>56</v>
      </c>
      <c r="AI155" s="33" t="s">
        <v>57</v>
      </c>
      <c r="AJ155" s="33" t="s">
        <v>58</v>
      </c>
      <c r="AK155" s="33" t="s">
        <v>56</v>
      </c>
      <c r="AL155" s="27"/>
      <c r="AM155" s="34" t="s">
        <v>57</v>
      </c>
      <c r="AN155" s="35" t="str">
        <f t="shared" si="13"/>
        <v>✓ OK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392</v>
      </c>
      <c r="C156" s="41" t="s">
        <v>393</v>
      </c>
      <c r="D156" s="39" t="s">
        <v>210</v>
      </c>
      <c r="E156" s="42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42">
        <v>46193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 t="s">
        <v>61</v>
      </c>
      <c r="AG156" s="33" t="s">
        <v>55</v>
      </c>
      <c r="AH156" s="33" t="s">
        <v>56</v>
      </c>
      <c r="AI156" s="33" t="s">
        <v>57</v>
      </c>
      <c r="AJ156" s="33" t="s">
        <v>58</v>
      </c>
      <c r="AK156" s="33" t="s">
        <v>56</v>
      </c>
      <c r="AL156" s="27"/>
      <c r="AM156" s="34" t="s">
        <v>57</v>
      </c>
      <c r="AN156" s="35" t="str">
        <f t="shared" si="13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394</v>
      </c>
      <c r="C157" s="25" t="s">
        <v>395</v>
      </c>
      <c r="D157" s="23" t="s">
        <v>210</v>
      </c>
      <c r="E157" s="42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42">
        <v>46193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 t="s">
        <v>61</v>
      </c>
      <c r="AG157" s="33" t="s">
        <v>55</v>
      </c>
      <c r="AH157" s="33" t="s">
        <v>56</v>
      </c>
      <c r="AI157" s="33" t="s">
        <v>57</v>
      </c>
      <c r="AJ157" s="33" t="s">
        <v>58</v>
      </c>
      <c r="AK157" s="33" t="s">
        <v>56</v>
      </c>
      <c r="AL157" s="27"/>
      <c r="AM157" s="34" t="s">
        <v>57</v>
      </c>
      <c r="AN157" s="35" t="str">
        <f t="shared" si="13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396</v>
      </c>
      <c r="C158" s="41" t="s">
        <v>397</v>
      </c>
      <c r="D158" s="39" t="s">
        <v>210</v>
      </c>
      <c r="E158" s="42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42">
        <v>46193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57</v>
      </c>
      <c r="T158" s="27" t="s">
        <v>59</v>
      </c>
      <c r="U158" s="28" t="s">
        <v>56</v>
      </c>
      <c r="V158" s="29" t="str">
        <f t="shared" si="11"/>
        <v>⚠ Check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56</v>
      </c>
      <c r="AE158" s="32" t="str">
        <f t="shared" si="12"/>
        <v>✓ OK</v>
      </c>
      <c r="AF158" s="33" t="s">
        <v>61</v>
      </c>
      <c r="AG158" s="33" t="s">
        <v>55</v>
      </c>
      <c r="AH158" s="33" t="s">
        <v>56</v>
      </c>
      <c r="AI158" s="33" t="s">
        <v>57</v>
      </c>
      <c r="AJ158" s="33" t="s">
        <v>58</v>
      </c>
      <c r="AK158" s="33" t="s">
        <v>56</v>
      </c>
      <c r="AL158" s="27"/>
      <c r="AM158" s="34" t="s">
        <v>57</v>
      </c>
      <c r="AN158" s="35" t="str">
        <f t="shared" si="13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398</v>
      </c>
      <c r="C159" s="25" t="s">
        <v>399</v>
      </c>
      <c r="D159" s="23" t="s">
        <v>210</v>
      </c>
      <c r="E159" s="42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400</v>
      </c>
      <c r="L159" s="28" t="s">
        <v>56</v>
      </c>
      <c r="M159" s="29" t="str">
        <f t="shared" si="10"/>
        <v>⚠ Check</v>
      </c>
      <c r="N159" s="42">
        <v>46193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57</v>
      </c>
      <c r="T159" s="27" t="s">
        <v>400</v>
      </c>
      <c r="U159" s="28" t="s">
        <v>56</v>
      </c>
      <c r="V159" s="29" t="str">
        <f t="shared" si="11"/>
        <v>⚠ Check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56</v>
      </c>
      <c r="AE159" s="32" t="str">
        <f t="shared" si="12"/>
        <v>✓ OK</v>
      </c>
      <c r="AF159" s="33" t="s">
        <v>61</v>
      </c>
      <c r="AG159" s="33" t="s">
        <v>55</v>
      </c>
      <c r="AH159" s="33" t="s">
        <v>56</v>
      </c>
      <c r="AI159" s="33" t="s">
        <v>57</v>
      </c>
      <c r="AJ159" s="33" t="s">
        <v>58</v>
      </c>
      <c r="AK159" s="33" t="s">
        <v>56</v>
      </c>
      <c r="AL159" s="27"/>
      <c r="AM159" s="34" t="s">
        <v>57</v>
      </c>
      <c r="AN159" s="35" t="str">
        <f t="shared" si="13"/>
        <v>✓ OK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401</v>
      </c>
      <c r="C160" s="41" t="s">
        <v>402</v>
      </c>
      <c r="D160" s="39" t="s">
        <v>210</v>
      </c>
      <c r="E160" s="42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46193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 t="s">
        <v>61</v>
      </c>
      <c r="AG160" s="33" t="s">
        <v>55</v>
      </c>
      <c r="AH160" s="33" t="s">
        <v>56</v>
      </c>
      <c r="AI160" s="33" t="s">
        <v>57</v>
      </c>
      <c r="AJ160" s="33" t="s">
        <v>58</v>
      </c>
      <c r="AK160" s="33" t="s">
        <v>56</v>
      </c>
      <c r="AL160" s="27"/>
      <c r="AM160" s="34" t="s">
        <v>57</v>
      </c>
      <c r="AN160" s="35" t="str">
        <f t="shared" si="13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403</v>
      </c>
      <c r="C161" s="25" t="s">
        <v>404</v>
      </c>
      <c r="D161" s="23" t="s">
        <v>210</v>
      </c>
      <c r="E161" s="42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46193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57</v>
      </c>
      <c r="T161" s="27" t="s">
        <v>77</v>
      </c>
      <c r="U161" s="28" t="s">
        <v>56</v>
      </c>
      <c r="V161" s="29" t="str">
        <f t="shared" si="11"/>
        <v>⚠ Check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56</v>
      </c>
      <c r="AE161" s="32" t="str">
        <f t="shared" si="12"/>
        <v>✓ OK</v>
      </c>
      <c r="AF161" s="33" t="s">
        <v>61</v>
      </c>
      <c r="AG161" s="33" t="s">
        <v>55</v>
      </c>
      <c r="AH161" s="33" t="s">
        <v>56</v>
      </c>
      <c r="AI161" s="33" t="s">
        <v>57</v>
      </c>
      <c r="AJ161" s="33" t="s">
        <v>58</v>
      </c>
      <c r="AK161" s="33" t="s">
        <v>56</v>
      </c>
      <c r="AL161" s="27"/>
      <c r="AM161" s="34" t="s">
        <v>57</v>
      </c>
      <c r="AN161" s="35" t="str">
        <f t="shared" si="13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405</v>
      </c>
      <c r="C162" s="41" t="s">
        <v>406</v>
      </c>
      <c r="D162" s="39" t="s">
        <v>210</v>
      </c>
      <c r="E162" s="42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46193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 t="s">
        <v>61</v>
      </c>
      <c r="AG162" s="33" t="s">
        <v>55</v>
      </c>
      <c r="AH162" s="33" t="s">
        <v>56</v>
      </c>
      <c r="AI162" s="33" t="s">
        <v>57</v>
      </c>
      <c r="AJ162" s="33" t="s">
        <v>58</v>
      </c>
      <c r="AK162" s="33" t="s">
        <v>56</v>
      </c>
      <c r="AL162" s="27"/>
      <c r="AM162" s="34" t="s">
        <v>57</v>
      </c>
      <c r="AN162" s="35" t="str">
        <f t="shared" si="13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407</v>
      </c>
      <c r="C163" s="25" t="s">
        <v>408</v>
      </c>
      <c r="D163" s="23" t="s">
        <v>210</v>
      </c>
      <c r="E163" s="42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175</v>
      </c>
      <c r="L163" s="28" t="s">
        <v>56</v>
      </c>
      <c r="M163" s="29" t="str">
        <f t="shared" si="10"/>
        <v>⚠ Check</v>
      </c>
      <c r="N163" s="42">
        <v>46193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46252</v>
      </c>
      <c r="X163" s="30" t="s">
        <v>55</v>
      </c>
      <c r="Y163" s="30" t="s">
        <v>57</v>
      </c>
      <c r="Z163" s="30" t="s">
        <v>56</v>
      </c>
      <c r="AA163" s="30" t="s">
        <v>60</v>
      </c>
      <c r="AB163" s="30" t="s">
        <v>57</v>
      </c>
      <c r="AC163" s="27"/>
      <c r="AD163" s="31" t="s">
        <v>57</v>
      </c>
      <c r="AE163" s="32" t="str">
        <f t="shared" si="12"/>
        <v>❌ Disc</v>
      </c>
      <c r="AF163" s="33" t="s">
        <v>61</v>
      </c>
      <c r="AG163" s="33" t="s">
        <v>62</v>
      </c>
      <c r="AH163" s="33" t="s">
        <v>56</v>
      </c>
      <c r="AI163" s="33" t="s">
        <v>56</v>
      </c>
      <c r="AJ163" s="33" t="s">
        <v>58</v>
      </c>
      <c r="AK163" s="33" t="s">
        <v>56</v>
      </c>
      <c r="AL163" s="27"/>
      <c r="AM163" s="34" t="s">
        <v>57</v>
      </c>
      <c r="AN163" s="35" t="str">
        <f t="shared" si="13"/>
        <v>❌ Disc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409</v>
      </c>
      <c r="C164" s="41" t="s">
        <v>410</v>
      </c>
      <c r="D164" s="39" t="s">
        <v>210</v>
      </c>
      <c r="E164" s="42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46193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 t="s">
        <v>61</v>
      </c>
      <c r="AG164" s="33" t="s">
        <v>55</v>
      </c>
      <c r="AH164" s="33" t="s">
        <v>56</v>
      </c>
      <c r="AI164" s="33" t="s">
        <v>57</v>
      </c>
      <c r="AJ164" s="33" t="s">
        <v>58</v>
      </c>
      <c r="AK164" s="33" t="s">
        <v>56</v>
      </c>
      <c r="AL164" s="27"/>
      <c r="AM164" s="34" t="s">
        <v>57</v>
      </c>
      <c r="AN164" s="35" t="str">
        <f t="shared" si="13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411</v>
      </c>
      <c r="C165" s="25" t="s">
        <v>412</v>
      </c>
      <c r="D165" s="23" t="s">
        <v>210</v>
      </c>
      <c r="E165" s="42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46193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 t="s">
        <v>61</v>
      </c>
      <c r="AG165" s="33" t="s">
        <v>55</v>
      </c>
      <c r="AH165" s="33" t="s">
        <v>56</v>
      </c>
      <c r="AI165" s="33" t="s">
        <v>57</v>
      </c>
      <c r="AJ165" s="33" t="s">
        <v>58</v>
      </c>
      <c r="AK165" s="33" t="s">
        <v>56</v>
      </c>
      <c r="AL165" s="27"/>
      <c r="AM165" s="34" t="s">
        <v>57</v>
      </c>
      <c r="AN165" s="35" t="str">
        <f t="shared" si="13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413</v>
      </c>
      <c r="C166" s="41" t="s">
        <v>414</v>
      </c>
      <c r="D166" s="39" t="s">
        <v>210</v>
      </c>
      <c r="E166" s="42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77</v>
      </c>
      <c r="L166" s="28" t="s">
        <v>56</v>
      </c>
      <c r="M166" s="29" t="str">
        <f t="shared" si="10"/>
        <v>⚠ Check</v>
      </c>
      <c r="N166" s="42">
        <v>46193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57</v>
      </c>
      <c r="T166" s="27" t="s">
        <v>77</v>
      </c>
      <c r="U166" s="28" t="s">
        <v>56</v>
      </c>
      <c r="V166" s="29" t="str">
        <f t="shared" si="11"/>
        <v>⚠ Check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56</v>
      </c>
      <c r="AE166" s="32" t="str">
        <f t="shared" si="12"/>
        <v>✓ OK</v>
      </c>
      <c r="AF166" s="33" t="s">
        <v>61</v>
      </c>
      <c r="AG166" s="33" t="s">
        <v>55</v>
      </c>
      <c r="AH166" s="33" t="s">
        <v>56</v>
      </c>
      <c r="AI166" s="33" t="s">
        <v>57</v>
      </c>
      <c r="AJ166" s="33" t="s">
        <v>58</v>
      </c>
      <c r="AK166" s="33" t="s">
        <v>56</v>
      </c>
      <c r="AL166" s="27"/>
      <c r="AM166" s="34" t="s">
        <v>57</v>
      </c>
      <c r="AN166" s="35" t="str">
        <f t="shared" si="13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415</v>
      </c>
      <c r="C167" s="25" t="s">
        <v>416</v>
      </c>
      <c r="D167" s="23" t="s">
        <v>210</v>
      </c>
      <c r="E167" s="42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46193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 t="s">
        <v>61</v>
      </c>
      <c r="AG167" s="33" t="s">
        <v>55</v>
      </c>
      <c r="AH167" s="33" t="s">
        <v>56</v>
      </c>
      <c r="AI167" s="33" t="s">
        <v>57</v>
      </c>
      <c r="AJ167" s="33" t="s">
        <v>58</v>
      </c>
      <c r="AK167" s="33" t="s">
        <v>56</v>
      </c>
      <c r="AL167" s="27"/>
      <c r="AM167" s="34" t="s">
        <v>57</v>
      </c>
      <c r="AN167" s="35" t="str">
        <f t="shared" si="13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417</v>
      </c>
      <c r="C168" s="41" t="s">
        <v>418</v>
      </c>
      <c r="D168" s="39" t="s">
        <v>210</v>
      </c>
      <c r="E168" s="42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46193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 t="s">
        <v>61</v>
      </c>
      <c r="AG168" s="33" t="s">
        <v>55</v>
      </c>
      <c r="AH168" s="33" t="s">
        <v>56</v>
      </c>
      <c r="AI168" s="33" t="s">
        <v>57</v>
      </c>
      <c r="AJ168" s="33" t="s">
        <v>58</v>
      </c>
      <c r="AK168" s="33" t="s">
        <v>56</v>
      </c>
      <c r="AL168" s="27"/>
      <c r="AM168" s="34" t="s">
        <v>57</v>
      </c>
      <c r="AN168" s="35" t="str">
        <f t="shared" si="13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419</v>
      </c>
      <c r="C169" s="25" t="s">
        <v>420</v>
      </c>
      <c r="D169" s="23" t="s">
        <v>210</v>
      </c>
      <c r="E169" s="42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46193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 t="s">
        <v>61</v>
      </c>
      <c r="AG169" s="33" t="s">
        <v>55</v>
      </c>
      <c r="AH169" s="33" t="s">
        <v>56</v>
      </c>
      <c r="AI169" s="33" t="s">
        <v>57</v>
      </c>
      <c r="AJ169" s="33" t="s">
        <v>58</v>
      </c>
      <c r="AK169" s="33" t="s">
        <v>56</v>
      </c>
      <c r="AL169" s="27"/>
      <c r="AM169" s="34" t="s">
        <v>57</v>
      </c>
      <c r="AN169" s="35" t="str">
        <f t="shared" si="13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421</v>
      </c>
      <c r="C170" s="41" t="s">
        <v>422</v>
      </c>
      <c r="D170" s="39" t="s">
        <v>210</v>
      </c>
      <c r="E170" s="42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46193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 t="s">
        <v>61</v>
      </c>
      <c r="AG170" s="33" t="s">
        <v>55</v>
      </c>
      <c r="AH170" s="33" t="s">
        <v>56</v>
      </c>
      <c r="AI170" s="33" t="s">
        <v>57</v>
      </c>
      <c r="AJ170" s="33" t="s">
        <v>58</v>
      </c>
      <c r="AK170" s="33" t="s">
        <v>56</v>
      </c>
      <c r="AL170" s="27"/>
      <c r="AM170" s="34" t="s">
        <v>57</v>
      </c>
      <c r="AN170" s="35" t="str">
        <f t="shared" si="13"/>
        <v>✓ OK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423</v>
      </c>
      <c r="C171" s="25" t="s">
        <v>424</v>
      </c>
      <c r="D171" s="23" t="s">
        <v>210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46193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 t="s">
        <v>61</v>
      </c>
      <c r="AG171" s="33" t="s">
        <v>55</v>
      </c>
      <c r="AH171" s="33" t="s">
        <v>56</v>
      </c>
      <c r="AI171" s="33" t="s">
        <v>57</v>
      </c>
      <c r="AJ171" s="33" t="s">
        <v>58</v>
      </c>
      <c r="AK171" s="33" t="s">
        <v>56</v>
      </c>
      <c r="AL171" s="27"/>
      <c r="AM171" s="34" t="s">
        <v>57</v>
      </c>
      <c r="AN171" s="35" t="str">
        <f t="shared" si="13"/>
        <v>✓ OK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425</v>
      </c>
      <c r="C172" s="41" t="s">
        <v>426</v>
      </c>
      <c r="D172" s="39" t="s">
        <v>210</v>
      </c>
      <c r="E172" s="42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46193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 t="s">
        <v>61</v>
      </c>
      <c r="AG172" s="33" t="s">
        <v>55</v>
      </c>
      <c r="AH172" s="33" t="s">
        <v>56</v>
      </c>
      <c r="AI172" s="33" t="s">
        <v>57</v>
      </c>
      <c r="AJ172" s="33" t="s">
        <v>58</v>
      </c>
      <c r="AK172" s="33" t="s">
        <v>56</v>
      </c>
      <c r="AL172" s="27"/>
      <c r="AM172" s="34" t="s">
        <v>57</v>
      </c>
      <c r="AN172" s="35" t="str">
        <f t="shared" si="13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427</v>
      </c>
      <c r="C173" s="25" t="s">
        <v>428</v>
      </c>
      <c r="D173" s="23" t="s">
        <v>210</v>
      </c>
      <c r="E173" s="42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77</v>
      </c>
      <c r="L173" s="28" t="s">
        <v>56</v>
      </c>
      <c r="M173" s="29" t="str">
        <f t="shared" si="10"/>
        <v>⚠ Check</v>
      </c>
      <c r="N173" s="42">
        <v>46193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57</v>
      </c>
      <c r="T173" s="27" t="s">
        <v>77</v>
      </c>
      <c r="U173" s="28" t="s">
        <v>56</v>
      </c>
      <c r="V173" s="29" t="str">
        <f t="shared" si="11"/>
        <v>⚠ Check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56</v>
      </c>
      <c r="AE173" s="32" t="str">
        <f t="shared" si="12"/>
        <v>✓ OK</v>
      </c>
      <c r="AF173" s="33" t="s">
        <v>61</v>
      </c>
      <c r="AG173" s="33" t="s">
        <v>55</v>
      </c>
      <c r="AH173" s="33" t="s">
        <v>56</v>
      </c>
      <c r="AI173" s="33" t="s">
        <v>57</v>
      </c>
      <c r="AJ173" s="33" t="s">
        <v>58</v>
      </c>
      <c r="AK173" s="33" t="s">
        <v>56</v>
      </c>
      <c r="AL173" s="27"/>
      <c r="AM173" s="34" t="s">
        <v>57</v>
      </c>
      <c r="AN173" s="35" t="str">
        <f t="shared" si="13"/>
        <v>✓ OK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429</v>
      </c>
      <c r="C174" s="41" t="s">
        <v>430</v>
      </c>
      <c r="D174" s="39" t="s">
        <v>210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46193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 t="s">
        <v>61</v>
      </c>
      <c r="AG174" s="33" t="s">
        <v>55</v>
      </c>
      <c r="AH174" s="33" t="s">
        <v>56</v>
      </c>
      <c r="AI174" s="33" t="s">
        <v>57</v>
      </c>
      <c r="AJ174" s="33" t="s">
        <v>58</v>
      </c>
      <c r="AK174" s="33" t="s">
        <v>56</v>
      </c>
      <c r="AL174" s="27"/>
      <c r="AM174" s="34" t="s">
        <v>57</v>
      </c>
      <c r="AN174" s="35" t="str">
        <f t="shared" si="13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431</v>
      </c>
      <c r="C175" s="25" t="s">
        <v>432</v>
      </c>
      <c r="D175" s="23" t="s">
        <v>210</v>
      </c>
      <c r="E175" s="42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46193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 t="s">
        <v>61</v>
      </c>
      <c r="AG175" s="33" t="s">
        <v>55</v>
      </c>
      <c r="AH175" s="33" t="s">
        <v>56</v>
      </c>
      <c r="AI175" s="33" t="s">
        <v>57</v>
      </c>
      <c r="AJ175" s="33" t="s">
        <v>58</v>
      </c>
      <c r="AK175" s="33" t="s">
        <v>56</v>
      </c>
      <c r="AL175" s="27"/>
      <c r="AM175" s="34" t="s">
        <v>57</v>
      </c>
      <c r="AN175" s="35" t="str">
        <f t="shared" si="13"/>
        <v>✓ OK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433</v>
      </c>
      <c r="C176" s="41" t="s">
        <v>434</v>
      </c>
      <c r="D176" s="39" t="s">
        <v>210</v>
      </c>
      <c r="E176" s="42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46193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 t="s">
        <v>61</v>
      </c>
      <c r="AG176" s="33" t="s">
        <v>55</v>
      </c>
      <c r="AH176" s="33" t="s">
        <v>56</v>
      </c>
      <c r="AI176" s="33" t="s">
        <v>57</v>
      </c>
      <c r="AJ176" s="33" t="s">
        <v>58</v>
      </c>
      <c r="AK176" s="33" t="s">
        <v>56</v>
      </c>
      <c r="AL176" s="27"/>
      <c r="AM176" s="34" t="s">
        <v>57</v>
      </c>
      <c r="AN176" s="35" t="str">
        <f t="shared" si="13"/>
        <v>✓ OK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435</v>
      </c>
      <c r="C177" s="25" t="s">
        <v>436</v>
      </c>
      <c r="D177" s="23" t="s">
        <v>210</v>
      </c>
      <c r="E177" s="42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46193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 t="s">
        <v>61</v>
      </c>
      <c r="AG177" s="33" t="s">
        <v>55</v>
      </c>
      <c r="AH177" s="33" t="s">
        <v>56</v>
      </c>
      <c r="AI177" s="33" t="s">
        <v>57</v>
      </c>
      <c r="AJ177" s="33" t="s">
        <v>58</v>
      </c>
      <c r="AK177" s="33" t="s">
        <v>56</v>
      </c>
      <c r="AL177" s="27"/>
      <c r="AM177" s="34" t="s">
        <v>57</v>
      </c>
      <c r="AN177" s="35" t="str">
        <f t="shared" si="13"/>
        <v>✓ OK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437</v>
      </c>
      <c r="C178" s="41" t="s">
        <v>438</v>
      </c>
      <c r="D178" s="39" t="s">
        <v>210</v>
      </c>
      <c r="E178" s="42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261</v>
      </c>
      <c r="L178" s="28" t="s">
        <v>56</v>
      </c>
      <c r="M178" s="29" t="str">
        <f t="shared" si="10"/>
        <v>⚠ Check</v>
      </c>
      <c r="N178" s="42">
        <v>46193</v>
      </c>
      <c r="O178" s="26" t="s">
        <v>55</v>
      </c>
      <c r="P178" s="26" t="s">
        <v>57</v>
      </c>
      <c r="Q178" s="26" t="s">
        <v>56</v>
      </c>
      <c r="R178" s="26" t="s">
        <v>60</v>
      </c>
      <c r="S178" s="26" t="s">
        <v>57</v>
      </c>
      <c r="T178" s="27"/>
      <c r="U178" s="28" t="s">
        <v>57</v>
      </c>
      <c r="V178" s="29" t="str">
        <f t="shared" si="11"/>
        <v>❌ Disc</v>
      </c>
      <c r="W178" s="70">
        <v>46248</v>
      </c>
      <c r="X178" s="30" t="s">
        <v>55</v>
      </c>
      <c r="Y178" s="30" t="s">
        <v>57</v>
      </c>
      <c r="Z178" s="30" t="s">
        <v>56</v>
      </c>
      <c r="AA178" s="30" t="s">
        <v>60</v>
      </c>
      <c r="AB178" s="30" t="s">
        <v>57</v>
      </c>
      <c r="AC178" s="27"/>
      <c r="AD178" s="31" t="s">
        <v>57</v>
      </c>
      <c r="AE178" s="32" t="str">
        <f t="shared" si="12"/>
        <v>❌ Disc</v>
      </c>
      <c r="AF178" s="33" t="s">
        <v>61</v>
      </c>
      <c r="AG178" s="33" t="s">
        <v>62</v>
      </c>
      <c r="AH178" s="33" t="s">
        <v>56</v>
      </c>
      <c r="AI178" s="33" t="s">
        <v>56</v>
      </c>
      <c r="AJ178" s="33" t="s">
        <v>58</v>
      </c>
      <c r="AK178" s="33" t="s">
        <v>56</v>
      </c>
      <c r="AL178" s="27"/>
      <c r="AM178" s="34" t="s">
        <v>57</v>
      </c>
      <c r="AN178" s="35" t="str">
        <f t="shared" si="13"/>
        <v>❌ Disc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439</v>
      </c>
      <c r="C179" s="25" t="s">
        <v>440</v>
      </c>
      <c r="D179" s="23" t="s">
        <v>210</v>
      </c>
      <c r="E179" s="42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3" t="s">
        <v>261</v>
      </c>
      <c r="L179" s="28" t="s">
        <v>56</v>
      </c>
      <c r="M179" s="29" t="str">
        <f t="shared" si="10"/>
        <v>⚠ Check</v>
      </c>
      <c r="N179" s="42">
        <v>46193</v>
      </c>
      <c r="O179" s="26" t="s">
        <v>55</v>
      </c>
      <c r="P179" s="26" t="s">
        <v>57</v>
      </c>
      <c r="Q179" s="26" t="s">
        <v>56</v>
      </c>
      <c r="R179" s="26" t="s">
        <v>60</v>
      </c>
      <c r="S179" s="26" t="s">
        <v>57</v>
      </c>
      <c r="T179" s="43"/>
      <c r="U179" s="28" t="s">
        <v>57</v>
      </c>
      <c r="V179" s="29" t="str">
        <f t="shared" si="11"/>
        <v>❌ Disc</v>
      </c>
      <c r="W179" s="70">
        <v>46248</v>
      </c>
      <c r="X179" s="30" t="s">
        <v>55</v>
      </c>
      <c r="Y179" s="30" t="s">
        <v>57</v>
      </c>
      <c r="Z179" s="30" t="s">
        <v>56</v>
      </c>
      <c r="AA179" s="30" t="s">
        <v>60</v>
      </c>
      <c r="AB179" s="30" t="s">
        <v>57</v>
      </c>
      <c r="AC179" s="27"/>
      <c r="AD179" s="31" t="s">
        <v>57</v>
      </c>
      <c r="AE179" s="32" t="str">
        <f t="shared" si="12"/>
        <v>❌ Disc</v>
      </c>
      <c r="AF179" s="33" t="s">
        <v>61</v>
      </c>
      <c r="AG179" s="33" t="s">
        <v>62</v>
      </c>
      <c r="AH179" s="33" t="s">
        <v>56</v>
      </c>
      <c r="AI179" s="33" t="s">
        <v>56</v>
      </c>
      <c r="AJ179" s="33" t="s">
        <v>58</v>
      </c>
      <c r="AK179" s="33" t="s">
        <v>56</v>
      </c>
      <c r="AL179" s="27"/>
      <c r="AM179" s="34" t="s">
        <v>57</v>
      </c>
      <c r="AN179" s="35" t="str">
        <f t="shared" si="13"/>
        <v>❌ Disc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441</v>
      </c>
      <c r="C180" s="41" t="s">
        <v>442</v>
      </c>
      <c r="D180" s="39" t="s">
        <v>210</v>
      </c>
      <c r="E180" s="42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351</v>
      </c>
      <c r="L180" s="28" t="s">
        <v>56</v>
      </c>
      <c r="M180" s="29" t="str">
        <f t="shared" si="10"/>
        <v>⚠ Check</v>
      </c>
      <c r="N180" s="42">
        <v>46193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 t="s">
        <v>61</v>
      </c>
      <c r="AG180" s="33" t="s">
        <v>55</v>
      </c>
      <c r="AH180" s="33" t="s">
        <v>56</v>
      </c>
      <c r="AI180" s="33" t="s">
        <v>57</v>
      </c>
      <c r="AJ180" s="33" t="s">
        <v>58</v>
      </c>
      <c r="AK180" s="33" t="s">
        <v>56</v>
      </c>
      <c r="AL180" s="27"/>
      <c r="AM180" s="34" t="s">
        <v>57</v>
      </c>
      <c r="AN180" s="35" t="str">
        <f t="shared" si="13"/>
        <v>✓ OK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443</v>
      </c>
      <c r="C181" s="25" t="s">
        <v>444</v>
      </c>
      <c r="D181" s="23" t="s">
        <v>210</v>
      </c>
      <c r="E181" s="42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3" t="s">
        <v>261</v>
      </c>
      <c r="L181" s="28" t="s">
        <v>56</v>
      </c>
      <c r="M181" s="29" t="str">
        <f t="shared" si="10"/>
        <v>⚠ Check</v>
      </c>
      <c r="N181" s="42">
        <v>46193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57</v>
      </c>
      <c r="Z181" s="30" t="s">
        <v>56</v>
      </c>
      <c r="AA181" s="30" t="s">
        <v>60</v>
      </c>
      <c r="AB181" s="30" t="s">
        <v>57</v>
      </c>
      <c r="AC181" s="27"/>
      <c r="AD181" s="31" t="s">
        <v>57</v>
      </c>
      <c r="AE181" s="32" t="str">
        <f t="shared" si="12"/>
        <v>❌ Disc</v>
      </c>
      <c r="AF181" s="33" t="s">
        <v>61</v>
      </c>
      <c r="AG181" s="33" t="s">
        <v>62</v>
      </c>
      <c r="AH181" s="33" t="s">
        <v>56</v>
      </c>
      <c r="AI181" s="33" t="s">
        <v>56</v>
      </c>
      <c r="AJ181" s="33" t="s">
        <v>58</v>
      </c>
      <c r="AK181" s="33" t="s">
        <v>56</v>
      </c>
      <c r="AL181" s="27"/>
      <c r="AM181" s="34" t="s">
        <v>57</v>
      </c>
      <c r="AN181" s="35" t="str">
        <f t="shared" si="13"/>
        <v>❌ Disc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445</v>
      </c>
      <c r="C182" s="41" t="s">
        <v>446</v>
      </c>
      <c r="D182" s="39" t="s">
        <v>210</v>
      </c>
      <c r="E182" s="42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261</v>
      </c>
      <c r="L182" s="28" t="s">
        <v>56</v>
      </c>
      <c r="M182" s="29" t="str">
        <f t="shared" si="10"/>
        <v>⚠ Check</v>
      </c>
      <c r="N182" s="42">
        <v>46193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 t="s">
        <v>61</v>
      </c>
      <c r="AG182" s="33" t="s">
        <v>55</v>
      </c>
      <c r="AH182" s="33" t="s">
        <v>56</v>
      </c>
      <c r="AI182" s="33" t="s">
        <v>57</v>
      </c>
      <c r="AJ182" s="33" t="s">
        <v>58</v>
      </c>
      <c r="AK182" s="33" t="s">
        <v>56</v>
      </c>
      <c r="AL182" s="27"/>
      <c r="AM182" s="34" t="s">
        <v>57</v>
      </c>
      <c r="AN182" s="35" t="str">
        <f t="shared" si="13"/>
        <v>✓ OK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447</v>
      </c>
      <c r="C183" s="25" t="s">
        <v>448</v>
      </c>
      <c r="D183" s="23" t="s">
        <v>210</v>
      </c>
      <c r="E183" s="42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3" t="s">
        <v>261</v>
      </c>
      <c r="L183" s="28" t="s">
        <v>56</v>
      </c>
      <c r="M183" s="29" t="str">
        <f t="shared" si="10"/>
        <v>⚠ Check</v>
      </c>
      <c r="N183" s="42">
        <v>46193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57</v>
      </c>
      <c r="Z183" s="30" t="s">
        <v>56</v>
      </c>
      <c r="AA183" s="30" t="s">
        <v>60</v>
      </c>
      <c r="AB183" s="30" t="s">
        <v>57</v>
      </c>
      <c r="AC183" s="27"/>
      <c r="AD183" s="31" t="s">
        <v>57</v>
      </c>
      <c r="AE183" s="32" t="str">
        <f t="shared" si="12"/>
        <v>❌ Disc</v>
      </c>
      <c r="AF183" s="33" t="s">
        <v>61</v>
      </c>
      <c r="AG183" s="33" t="s">
        <v>62</v>
      </c>
      <c r="AH183" s="33" t="s">
        <v>56</v>
      </c>
      <c r="AI183" s="33" t="s">
        <v>56</v>
      </c>
      <c r="AJ183" s="33" t="s">
        <v>58</v>
      </c>
      <c r="AK183" s="33" t="s">
        <v>56</v>
      </c>
      <c r="AL183" s="27"/>
      <c r="AM183" s="34" t="s">
        <v>57</v>
      </c>
      <c r="AN183" s="35" t="str">
        <f t="shared" si="13"/>
        <v>❌ Disc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449</v>
      </c>
      <c r="C184" s="41" t="s">
        <v>450</v>
      </c>
      <c r="D184" s="39" t="s">
        <v>210</v>
      </c>
      <c r="E184" s="42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451</v>
      </c>
      <c r="L184" s="28" t="s">
        <v>56</v>
      </c>
      <c r="M184" s="29" t="str">
        <f t="shared" si="10"/>
        <v>⚠ Check</v>
      </c>
      <c r="N184" s="42">
        <v>46193</v>
      </c>
      <c r="O184" s="26" t="s">
        <v>55</v>
      </c>
      <c r="P184" s="26" t="s">
        <v>57</v>
      </c>
      <c r="Q184" s="26" t="s">
        <v>56</v>
      </c>
      <c r="R184" s="26" t="s">
        <v>60</v>
      </c>
      <c r="S184" s="26" t="s">
        <v>57</v>
      </c>
      <c r="T184" s="27"/>
      <c r="U184" s="28" t="s">
        <v>57</v>
      </c>
      <c r="V184" s="29" t="str">
        <f t="shared" si="11"/>
        <v>❌ Disc</v>
      </c>
      <c r="W184" s="70">
        <v>46248</v>
      </c>
      <c r="X184" s="30" t="s">
        <v>55</v>
      </c>
      <c r="Y184" s="30" t="s">
        <v>57</v>
      </c>
      <c r="Z184" s="30" t="s">
        <v>56</v>
      </c>
      <c r="AA184" s="30" t="s">
        <v>60</v>
      </c>
      <c r="AB184" s="30" t="s">
        <v>57</v>
      </c>
      <c r="AC184" s="27"/>
      <c r="AD184" s="31" t="s">
        <v>57</v>
      </c>
      <c r="AE184" s="32" t="str">
        <f t="shared" si="12"/>
        <v>❌ Disc</v>
      </c>
      <c r="AF184" s="33" t="s">
        <v>61</v>
      </c>
      <c r="AG184" s="33" t="s">
        <v>62</v>
      </c>
      <c r="AH184" s="33" t="s">
        <v>56</v>
      </c>
      <c r="AI184" s="33" t="s">
        <v>56</v>
      </c>
      <c r="AJ184" s="33" t="s">
        <v>58</v>
      </c>
      <c r="AK184" s="33" t="s">
        <v>56</v>
      </c>
      <c r="AL184" s="27"/>
      <c r="AM184" s="34" t="s">
        <v>57</v>
      </c>
      <c r="AN184" s="35" t="str">
        <f t="shared" si="13"/>
        <v>❌ Disc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452</v>
      </c>
      <c r="C185" s="25" t="s">
        <v>453</v>
      </c>
      <c r="D185" s="23" t="s">
        <v>210</v>
      </c>
      <c r="E185" s="42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454</v>
      </c>
      <c r="L185" s="28" t="s">
        <v>56</v>
      </c>
      <c r="M185" s="29" t="str">
        <f t="shared" si="10"/>
        <v>⚠ Check</v>
      </c>
      <c r="N185" s="42">
        <v>46193</v>
      </c>
      <c r="O185" s="26" t="s">
        <v>55</v>
      </c>
      <c r="P185" s="26" t="s">
        <v>57</v>
      </c>
      <c r="Q185" s="26" t="s">
        <v>56</v>
      </c>
      <c r="R185" s="26" t="s">
        <v>60</v>
      </c>
      <c r="S185" s="26" t="s">
        <v>57</v>
      </c>
      <c r="T185" s="27"/>
      <c r="U185" s="28" t="s">
        <v>57</v>
      </c>
      <c r="V185" s="29" t="str">
        <f t="shared" si="11"/>
        <v>❌ Disc</v>
      </c>
      <c r="W185" s="70">
        <v>46248</v>
      </c>
      <c r="X185" s="30" t="s">
        <v>55</v>
      </c>
      <c r="Y185" s="30" t="s">
        <v>57</v>
      </c>
      <c r="Z185" s="30" t="s">
        <v>56</v>
      </c>
      <c r="AA185" s="30" t="s">
        <v>60</v>
      </c>
      <c r="AB185" s="30" t="s">
        <v>57</v>
      </c>
      <c r="AC185" s="27"/>
      <c r="AD185" s="31" t="s">
        <v>57</v>
      </c>
      <c r="AE185" s="32" t="str">
        <f t="shared" si="12"/>
        <v>❌ Disc</v>
      </c>
      <c r="AF185" s="33" t="s">
        <v>61</v>
      </c>
      <c r="AG185" s="33" t="s">
        <v>62</v>
      </c>
      <c r="AH185" s="33" t="s">
        <v>56</v>
      </c>
      <c r="AI185" s="33" t="s">
        <v>56</v>
      </c>
      <c r="AJ185" s="33" t="s">
        <v>58</v>
      </c>
      <c r="AK185" s="33" t="s">
        <v>56</v>
      </c>
      <c r="AL185" s="27"/>
      <c r="AM185" s="34" t="s">
        <v>57</v>
      </c>
      <c r="AN185" s="35" t="str">
        <f t="shared" si="13"/>
        <v>❌ Disc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455</v>
      </c>
      <c r="C186" s="41" t="s">
        <v>456</v>
      </c>
      <c r="D186" s="39" t="s">
        <v>210</v>
      </c>
      <c r="E186" s="42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46193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 t="s">
        <v>61</v>
      </c>
      <c r="AG186" s="33" t="s">
        <v>55</v>
      </c>
      <c r="AH186" s="33" t="s">
        <v>56</v>
      </c>
      <c r="AI186" s="33" t="s">
        <v>57</v>
      </c>
      <c r="AJ186" s="33" t="s">
        <v>58</v>
      </c>
      <c r="AK186" s="33" t="s">
        <v>56</v>
      </c>
      <c r="AL186" s="27"/>
      <c r="AM186" s="34" t="s">
        <v>57</v>
      </c>
      <c r="AN186" s="35" t="str">
        <f t="shared" si="13"/>
        <v>✓ OK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457</v>
      </c>
      <c r="C187" s="25" t="s">
        <v>458</v>
      </c>
      <c r="D187" s="23" t="s">
        <v>210</v>
      </c>
      <c r="E187" s="42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46193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 t="s">
        <v>61</v>
      </c>
      <c r="AG187" s="33" t="s">
        <v>55</v>
      </c>
      <c r="AH187" s="33" t="s">
        <v>56</v>
      </c>
      <c r="AI187" s="33" t="s">
        <v>57</v>
      </c>
      <c r="AJ187" s="33" t="s">
        <v>58</v>
      </c>
      <c r="AK187" s="33" t="s">
        <v>56</v>
      </c>
      <c r="AL187" s="27"/>
      <c r="AM187" s="34" t="s">
        <v>57</v>
      </c>
      <c r="AN187" s="35" t="str">
        <f t="shared" si="13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459</v>
      </c>
      <c r="C188" s="41" t="s">
        <v>460</v>
      </c>
      <c r="D188" s="39" t="s">
        <v>210</v>
      </c>
      <c r="E188" s="42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46193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 t="s">
        <v>61</v>
      </c>
      <c r="AG188" s="33" t="s">
        <v>55</v>
      </c>
      <c r="AH188" s="33" t="s">
        <v>56</v>
      </c>
      <c r="AI188" s="33" t="s">
        <v>57</v>
      </c>
      <c r="AJ188" s="33" t="s">
        <v>58</v>
      </c>
      <c r="AK188" s="33" t="s">
        <v>56</v>
      </c>
      <c r="AL188" s="27"/>
      <c r="AM188" s="34" t="s">
        <v>57</v>
      </c>
      <c r="AN188" s="35" t="str">
        <f t="shared" si="13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461</v>
      </c>
      <c r="C189" s="25" t="s">
        <v>462</v>
      </c>
      <c r="D189" s="23" t="s">
        <v>210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46193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 t="s">
        <v>61</v>
      </c>
      <c r="AG189" s="33" t="s">
        <v>55</v>
      </c>
      <c r="AH189" s="33" t="s">
        <v>56</v>
      </c>
      <c r="AI189" s="33" t="s">
        <v>57</v>
      </c>
      <c r="AJ189" s="33" t="s">
        <v>58</v>
      </c>
      <c r="AK189" s="33" t="s">
        <v>56</v>
      </c>
      <c r="AL189" s="27"/>
      <c r="AM189" s="34" t="s">
        <v>57</v>
      </c>
      <c r="AN189" s="35" t="str">
        <f t="shared" si="13"/>
        <v>✓ OK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463</v>
      </c>
      <c r="C190" s="41" t="s">
        <v>464</v>
      </c>
      <c r="D190" s="39" t="s">
        <v>210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46193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 t="s">
        <v>61</v>
      </c>
      <c r="AG190" s="33" t="s">
        <v>55</v>
      </c>
      <c r="AH190" s="33" t="s">
        <v>56</v>
      </c>
      <c r="AI190" s="33" t="s">
        <v>57</v>
      </c>
      <c r="AJ190" s="33" t="s">
        <v>58</v>
      </c>
      <c r="AK190" s="33" t="s">
        <v>56</v>
      </c>
      <c r="AL190" s="27"/>
      <c r="AM190" s="34" t="s">
        <v>57</v>
      </c>
      <c r="AN190" s="35" t="str">
        <f t="shared" si="13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465</v>
      </c>
      <c r="C191" s="25" t="s">
        <v>466</v>
      </c>
      <c r="D191" s="23" t="s">
        <v>210</v>
      </c>
      <c r="E191" s="42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3" t="s">
        <v>261</v>
      </c>
      <c r="L191" s="28" t="s">
        <v>56</v>
      </c>
      <c r="M191" s="29" t="str">
        <f t="shared" si="10"/>
        <v>⚠ Check</v>
      </c>
      <c r="N191" s="42">
        <v>46193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 t="s">
        <v>61</v>
      </c>
      <c r="AG191" s="33" t="s">
        <v>55</v>
      </c>
      <c r="AH191" s="33" t="s">
        <v>56</v>
      </c>
      <c r="AI191" s="33" t="s">
        <v>57</v>
      </c>
      <c r="AJ191" s="33" t="s">
        <v>58</v>
      </c>
      <c r="AK191" s="33" t="s">
        <v>56</v>
      </c>
      <c r="AL191" s="27"/>
      <c r="AM191" s="34" t="s">
        <v>57</v>
      </c>
      <c r="AN191" s="35" t="str">
        <f t="shared" si="13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467</v>
      </c>
      <c r="C192" s="41" t="s">
        <v>468</v>
      </c>
      <c r="D192" s="39" t="s">
        <v>210</v>
      </c>
      <c r="E192" s="42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46193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 t="s">
        <v>61</v>
      </c>
      <c r="AG192" s="33" t="s">
        <v>55</v>
      </c>
      <c r="AH192" s="33" t="s">
        <v>56</v>
      </c>
      <c r="AI192" s="33" t="s">
        <v>57</v>
      </c>
      <c r="AJ192" s="33" t="s">
        <v>58</v>
      </c>
      <c r="AK192" s="33" t="s">
        <v>56</v>
      </c>
      <c r="AL192" s="27"/>
      <c r="AM192" s="34" t="s">
        <v>57</v>
      </c>
      <c r="AN192" s="35" t="str">
        <f t="shared" si="13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469</v>
      </c>
      <c r="C193" s="25" t="s">
        <v>470</v>
      </c>
      <c r="D193" s="23" t="s">
        <v>210</v>
      </c>
      <c r="E193" s="42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3" t="s">
        <v>261</v>
      </c>
      <c r="L193" s="28" t="s">
        <v>56</v>
      </c>
      <c r="M193" s="29" t="str">
        <f t="shared" si="10"/>
        <v>⚠ Check</v>
      </c>
      <c r="N193" s="42">
        <v>46193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57</v>
      </c>
      <c r="Z193" s="30" t="s">
        <v>56</v>
      </c>
      <c r="AA193" s="30" t="s">
        <v>60</v>
      </c>
      <c r="AB193" s="30" t="s">
        <v>57</v>
      </c>
      <c r="AC193" s="27"/>
      <c r="AD193" s="31" t="s">
        <v>57</v>
      </c>
      <c r="AE193" s="32" t="str">
        <f t="shared" si="12"/>
        <v>❌ Disc</v>
      </c>
      <c r="AF193" s="33" t="s">
        <v>61</v>
      </c>
      <c r="AG193" s="33" t="s">
        <v>62</v>
      </c>
      <c r="AH193" s="33" t="s">
        <v>56</v>
      </c>
      <c r="AI193" s="33" t="s">
        <v>56</v>
      </c>
      <c r="AJ193" s="33" t="s">
        <v>58</v>
      </c>
      <c r="AK193" s="33" t="s">
        <v>56</v>
      </c>
      <c r="AL193" s="27"/>
      <c r="AM193" s="34" t="s">
        <v>57</v>
      </c>
      <c r="AN193" s="35" t="str">
        <f t="shared" si="13"/>
        <v>❌ Disc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471</v>
      </c>
      <c r="C194" s="41" t="s">
        <v>472</v>
      </c>
      <c r="D194" s="39" t="s">
        <v>210</v>
      </c>
      <c r="E194" s="42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3" t="s">
        <v>261</v>
      </c>
      <c r="L194" s="28" t="s">
        <v>56</v>
      </c>
      <c r="M194" s="29" t="str">
        <f t="shared" si="10"/>
        <v>⚠ Check</v>
      </c>
      <c r="N194" s="42">
        <v>46193</v>
      </c>
      <c r="O194" s="26" t="s">
        <v>55</v>
      </c>
      <c r="P194" s="26" t="s">
        <v>57</v>
      </c>
      <c r="Q194" s="26" t="s">
        <v>56</v>
      </c>
      <c r="R194" s="26" t="s">
        <v>60</v>
      </c>
      <c r="S194" s="26" t="s">
        <v>57</v>
      </c>
      <c r="T194" s="43"/>
      <c r="U194" s="28" t="s">
        <v>57</v>
      </c>
      <c r="V194" s="29" t="str">
        <f t="shared" si="11"/>
        <v>❌ Disc</v>
      </c>
      <c r="W194" s="70">
        <v>46248</v>
      </c>
      <c r="X194" s="30" t="s">
        <v>55</v>
      </c>
      <c r="Y194" s="30" t="s">
        <v>57</v>
      </c>
      <c r="Z194" s="30" t="s">
        <v>56</v>
      </c>
      <c r="AA194" s="30" t="s">
        <v>60</v>
      </c>
      <c r="AB194" s="30" t="s">
        <v>57</v>
      </c>
      <c r="AC194" s="27"/>
      <c r="AD194" s="31" t="s">
        <v>57</v>
      </c>
      <c r="AE194" s="32" t="str">
        <f t="shared" si="12"/>
        <v>❌ Disc</v>
      </c>
      <c r="AF194" s="33" t="s">
        <v>61</v>
      </c>
      <c r="AG194" s="33" t="s">
        <v>62</v>
      </c>
      <c r="AH194" s="33" t="s">
        <v>56</v>
      </c>
      <c r="AI194" s="33" t="s">
        <v>56</v>
      </c>
      <c r="AJ194" s="33" t="s">
        <v>58</v>
      </c>
      <c r="AK194" s="33" t="s">
        <v>56</v>
      </c>
      <c r="AL194" s="27"/>
      <c r="AM194" s="34" t="s">
        <v>57</v>
      </c>
      <c r="AN194" s="35" t="str">
        <f t="shared" si="13"/>
        <v>❌ Disc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473</v>
      </c>
      <c r="C195" s="25" t="s">
        <v>474</v>
      </c>
      <c r="D195" s="23" t="s">
        <v>210</v>
      </c>
      <c r="E195" s="42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46193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 t="s">
        <v>61</v>
      </c>
      <c r="AG195" s="33" t="s">
        <v>55</v>
      </c>
      <c r="AH195" s="33" t="s">
        <v>56</v>
      </c>
      <c r="AI195" s="33" t="s">
        <v>57</v>
      </c>
      <c r="AJ195" s="33" t="s">
        <v>58</v>
      </c>
      <c r="AK195" s="33" t="s">
        <v>56</v>
      </c>
      <c r="AL195" s="27"/>
      <c r="AM195" s="34" t="s">
        <v>57</v>
      </c>
      <c r="AN195" s="35" t="str">
        <f t="shared" si="13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475</v>
      </c>
      <c r="C196" s="41" t="s">
        <v>476</v>
      </c>
      <c r="D196" s="39" t="s">
        <v>210</v>
      </c>
      <c r="E196" s="42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477</v>
      </c>
      <c r="L196" s="28" t="s">
        <v>56</v>
      </c>
      <c r="M196" s="29" t="str">
        <f t="shared" si="10"/>
        <v>⚠ Check</v>
      </c>
      <c r="N196" s="42">
        <v>46193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57</v>
      </c>
      <c r="T196" s="27" t="s">
        <v>327</v>
      </c>
      <c r="U196" s="28" t="s">
        <v>56</v>
      </c>
      <c r="V196" s="29" t="str">
        <f t="shared" si="11"/>
        <v>⚠ Check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57</v>
      </c>
      <c r="AC196" s="27" t="s">
        <v>327</v>
      </c>
      <c r="AD196" s="31" t="s">
        <v>56</v>
      </c>
      <c r="AE196" s="32" t="str">
        <f t="shared" si="12"/>
        <v>⚠ Check</v>
      </c>
      <c r="AF196" s="33" t="s">
        <v>61</v>
      </c>
      <c r="AG196" s="33" t="s">
        <v>55</v>
      </c>
      <c r="AH196" s="33" t="s">
        <v>56</v>
      </c>
      <c r="AI196" s="33" t="s">
        <v>57</v>
      </c>
      <c r="AJ196" s="33" t="s">
        <v>58</v>
      </c>
      <c r="AK196" s="33" t="s">
        <v>56</v>
      </c>
      <c r="AL196" s="27" t="s">
        <v>327</v>
      </c>
      <c r="AM196" s="34" t="s">
        <v>57</v>
      </c>
      <c r="AN196" s="35" t="str">
        <f t="shared" si="13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478</v>
      </c>
      <c r="C197" s="25" t="s">
        <v>479</v>
      </c>
      <c r="D197" s="23" t="s">
        <v>210</v>
      </c>
      <c r="E197" s="42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480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42">
        <v>46193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57</v>
      </c>
      <c r="Z197" s="30" t="s">
        <v>56</v>
      </c>
      <c r="AA197" s="30" t="s">
        <v>60</v>
      </c>
      <c r="AB197" s="30" t="s">
        <v>57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❌ Disc</v>
      </c>
      <c r="AF197" s="33" t="s">
        <v>61</v>
      </c>
      <c r="AG197" s="33" t="s">
        <v>62</v>
      </c>
      <c r="AH197" s="33" t="s">
        <v>56</v>
      </c>
      <c r="AI197" s="33" t="s">
        <v>56</v>
      </c>
      <c r="AJ197" s="33" t="s">
        <v>58</v>
      </c>
      <c r="AK197" s="33" t="s">
        <v>56</v>
      </c>
      <c r="AL197" s="27"/>
      <c r="AM197" s="34" t="s">
        <v>57</v>
      </c>
      <c r="AN197" s="35" t="str">
        <f t="shared" ref="AN197:AN260" si="18">IF(AF197="","",IF(AI197="Yes","❌ Disc",IF(AH197="No","⚠ Missing",IF(AK197="Yes","✓ OK","⚠ Check"))))</f>
        <v>❌ Disc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481</v>
      </c>
      <c r="C198" s="41" t="s">
        <v>482</v>
      </c>
      <c r="D198" s="39" t="s">
        <v>210</v>
      </c>
      <c r="E198" s="42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46193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 t="s">
        <v>61</v>
      </c>
      <c r="AG198" s="33" t="s">
        <v>55</v>
      </c>
      <c r="AH198" s="33" t="s">
        <v>56</v>
      </c>
      <c r="AI198" s="33" t="s">
        <v>57</v>
      </c>
      <c r="AJ198" s="33" t="s">
        <v>58</v>
      </c>
      <c r="AK198" s="33" t="s">
        <v>56</v>
      </c>
      <c r="AL198" s="27"/>
      <c r="AM198" s="34" t="s">
        <v>57</v>
      </c>
      <c r="AN198" s="35" t="str">
        <f t="shared" si="18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483</v>
      </c>
      <c r="C199" s="25" t="s">
        <v>484</v>
      </c>
      <c r="D199" s="23" t="s">
        <v>210</v>
      </c>
      <c r="E199" s="42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46193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 t="s">
        <v>61</v>
      </c>
      <c r="AG199" s="33" t="s">
        <v>55</v>
      </c>
      <c r="AH199" s="33" t="s">
        <v>56</v>
      </c>
      <c r="AI199" s="33" t="s">
        <v>57</v>
      </c>
      <c r="AJ199" s="33" t="s">
        <v>58</v>
      </c>
      <c r="AK199" s="33" t="s">
        <v>56</v>
      </c>
      <c r="AL199" s="27"/>
      <c r="AM199" s="34" t="s">
        <v>57</v>
      </c>
      <c r="AN199" s="35" t="str">
        <f t="shared" si="18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485</v>
      </c>
      <c r="C200" s="41" t="s">
        <v>486</v>
      </c>
      <c r="D200" s="39" t="s">
        <v>210</v>
      </c>
      <c r="E200" s="42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46193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 t="s">
        <v>61</v>
      </c>
      <c r="AG200" s="33" t="s">
        <v>55</v>
      </c>
      <c r="AH200" s="33" t="s">
        <v>56</v>
      </c>
      <c r="AI200" s="33" t="s">
        <v>57</v>
      </c>
      <c r="AJ200" s="33" t="s">
        <v>58</v>
      </c>
      <c r="AK200" s="33" t="s">
        <v>56</v>
      </c>
      <c r="AL200" s="27"/>
      <c r="AM200" s="34" t="s">
        <v>57</v>
      </c>
      <c r="AN200" s="35" t="str">
        <f t="shared" si="18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487</v>
      </c>
      <c r="C201" s="25" t="s">
        <v>488</v>
      </c>
      <c r="D201" s="23" t="s">
        <v>210</v>
      </c>
      <c r="E201" s="42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46193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 t="s">
        <v>61</v>
      </c>
      <c r="AG201" s="33" t="s">
        <v>55</v>
      </c>
      <c r="AH201" s="33" t="s">
        <v>56</v>
      </c>
      <c r="AI201" s="33" t="s">
        <v>57</v>
      </c>
      <c r="AJ201" s="33" t="s">
        <v>58</v>
      </c>
      <c r="AK201" s="33" t="s">
        <v>56</v>
      </c>
      <c r="AL201" s="27"/>
      <c r="AM201" s="34" t="s">
        <v>57</v>
      </c>
      <c r="AN201" s="35" t="str">
        <f t="shared" si="18"/>
        <v>✓ OK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489</v>
      </c>
      <c r="C202" s="41" t="s">
        <v>490</v>
      </c>
      <c r="D202" s="39" t="s">
        <v>210</v>
      </c>
      <c r="E202" s="42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175</v>
      </c>
      <c r="L202" s="28" t="s">
        <v>56</v>
      </c>
      <c r="M202" s="29" t="str">
        <f t="shared" si="15"/>
        <v>⚠ Check</v>
      </c>
      <c r="N202" s="42">
        <v>46193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57</v>
      </c>
      <c r="T202" s="27" t="s">
        <v>175</v>
      </c>
      <c r="U202" s="28" t="s">
        <v>56</v>
      </c>
      <c r="V202" s="29" t="str">
        <f t="shared" si="16"/>
        <v>⚠ Check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57</v>
      </c>
      <c r="AC202" s="27" t="s">
        <v>175</v>
      </c>
      <c r="AD202" s="31" t="s">
        <v>56</v>
      </c>
      <c r="AE202" s="32" t="str">
        <f t="shared" si="17"/>
        <v>⚠ Check</v>
      </c>
      <c r="AF202" s="33" t="s">
        <v>61</v>
      </c>
      <c r="AG202" s="33" t="s">
        <v>55</v>
      </c>
      <c r="AH202" s="33" t="s">
        <v>56</v>
      </c>
      <c r="AI202" s="33" t="s">
        <v>57</v>
      </c>
      <c r="AJ202" s="33" t="s">
        <v>58</v>
      </c>
      <c r="AK202" s="33" t="s">
        <v>56</v>
      </c>
      <c r="AL202" s="27"/>
      <c r="AM202" s="34" t="s">
        <v>57</v>
      </c>
      <c r="AN202" s="35" t="str">
        <f t="shared" si="18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491</v>
      </c>
      <c r="C203" s="25" t="s">
        <v>492</v>
      </c>
      <c r="D203" s="23" t="s">
        <v>210</v>
      </c>
      <c r="E203" s="42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46193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 t="s">
        <v>61</v>
      </c>
      <c r="AG203" s="33" t="s">
        <v>55</v>
      </c>
      <c r="AH203" s="33" t="s">
        <v>56</v>
      </c>
      <c r="AI203" s="33" t="s">
        <v>57</v>
      </c>
      <c r="AJ203" s="33" t="s">
        <v>58</v>
      </c>
      <c r="AK203" s="33" t="s">
        <v>56</v>
      </c>
      <c r="AL203" s="27"/>
      <c r="AM203" s="34" t="s">
        <v>57</v>
      </c>
      <c r="AN203" s="35" t="str">
        <f t="shared" si="18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493</v>
      </c>
      <c r="C204" s="41" t="s">
        <v>494</v>
      </c>
      <c r="D204" s="39" t="s">
        <v>210</v>
      </c>
      <c r="E204" s="42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46193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 t="s">
        <v>61</v>
      </c>
      <c r="AG204" s="33" t="s">
        <v>55</v>
      </c>
      <c r="AH204" s="33" t="s">
        <v>56</v>
      </c>
      <c r="AI204" s="33" t="s">
        <v>57</v>
      </c>
      <c r="AJ204" s="33" t="s">
        <v>58</v>
      </c>
      <c r="AK204" s="33" t="s">
        <v>56</v>
      </c>
      <c r="AL204" s="27"/>
      <c r="AM204" s="34" t="s">
        <v>57</v>
      </c>
      <c r="AN204" s="35" t="str">
        <f t="shared" si="18"/>
        <v>✓ OK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495</v>
      </c>
      <c r="C205" s="25" t="s">
        <v>496</v>
      </c>
      <c r="D205" s="23" t="s">
        <v>210</v>
      </c>
      <c r="E205" s="42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46193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 t="s">
        <v>61</v>
      </c>
      <c r="AG205" s="33" t="s">
        <v>55</v>
      </c>
      <c r="AH205" s="33" t="s">
        <v>56</v>
      </c>
      <c r="AI205" s="33" t="s">
        <v>57</v>
      </c>
      <c r="AJ205" s="33" t="s">
        <v>58</v>
      </c>
      <c r="AK205" s="33" t="s">
        <v>56</v>
      </c>
      <c r="AL205" s="27"/>
      <c r="AM205" s="34" t="s">
        <v>57</v>
      </c>
      <c r="AN205" s="35" t="str">
        <f t="shared" si="18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497</v>
      </c>
      <c r="C206" s="41" t="s">
        <v>498</v>
      </c>
      <c r="D206" s="39" t="s">
        <v>210</v>
      </c>
      <c r="E206" s="42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46193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 t="s">
        <v>61</v>
      </c>
      <c r="AG206" s="33" t="s">
        <v>55</v>
      </c>
      <c r="AH206" s="33" t="s">
        <v>56</v>
      </c>
      <c r="AI206" s="33" t="s">
        <v>57</v>
      </c>
      <c r="AJ206" s="33" t="s">
        <v>58</v>
      </c>
      <c r="AK206" s="33" t="s">
        <v>56</v>
      </c>
      <c r="AL206" s="27"/>
      <c r="AM206" s="34" t="s">
        <v>57</v>
      </c>
      <c r="AN206" s="35" t="str">
        <f t="shared" si="18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499</v>
      </c>
      <c r="C207" s="25" t="s">
        <v>500</v>
      </c>
      <c r="D207" s="23" t="s">
        <v>210</v>
      </c>
      <c r="E207" s="42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501</v>
      </c>
      <c r="L207" s="28" t="s">
        <v>56</v>
      </c>
      <c r="M207" s="29" t="str">
        <f t="shared" si="15"/>
        <v>⚠ Check</v>
      </c>
      <c r="N207" s="42">
        <v>46193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57</v>
      </c>
      <c r="T207" s="27" t="s">
        <v>501</v>
      </c>
      <c r="U207" s="28" t="s">
        <v>56</v>
      </c>
      <c r="V207" s="29" t="str">
        <f t="shared" si="16"/>
        <v>⚠ Check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56</v>
      </c>
      <c r="AE207" s="32" t="str">
        <f t="shared" si="17"/>
        <v>✓ OK</v>
      </c>
      <c r="AF207" s="33" t="s">
        <v>61</v>
      </c>
      <c r="AG207" s="33" t="s">
        <v>55</v>
      </c>
      <c r="AH207" s="33" t="s">
        <v>56</v>
      </c>
      <c r="AI207" s="33" t="s">
        <v>57</v>
      </c>
      <c r="AJ207" s="33" t="s">
        <v>58</v>
      </c>
      <c r="AK207" s="33" t="s">
        <v>56</v>
      </c>
      <c r="AL207" s="27"/>
      <c r="AM207" s="34" t="s">
        <v>57</v>
      </c>
      <c r="AN207" s="35" t="str">
        <f t="shared" si="18"/>
        <v>✓ OK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502</v>
      </c>
      <c r="C208" s="41" t="s">
        <v>503</v>
      </c>
      <c r="D208" s="39" t="s">
        <v>210</v>
      </c>
      <c r="E208" s="42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46193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 t="s">
        <v>61</v>
      </c>
      <c r="AG208" s="33" t="s">
        <v>55</v>
      </c>
      <c r="AH208" s="33" t="s">
        <v>56</v>
      </c>
      <c r="AI208" s="33" t="s">
        <v>57</v>
      </c>
      <c r="AJ208" s="33" t="s">
        <v>58</v>
      </c>
      <c r="AK208" s="33" t="s">
        <v>56</v>
      </c>
      <c r="AL208" s="27"/>
      <c r="AM208" s="34" t="s">
        <v>57</v>
      </c>
      <c r="AN208" s="35" t="str">
        <f t="shared" si="18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504</v>
      </c>
      <c r="C209" s="25" t="s">
        <v>505</v>
      </c>
      <c r="D209" s="23" t="s">
        <v>210</v>
      </c>
      <c r="E209" s="42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46193</v>
      </c>
      <c r="O209" s="26" t="s">
        <v>55</v>
      </c>
      <c r="P209" s="26" t="s">
        <v>57</v>
      </c>
      <c r="Q209" s="26" t="s">
        <v>56</v>
      </c>
      <c r="R209" s="26" t="s">
        <v>60</v>
      </c>
      <c r="S209" s="26" t="s">
        <v>57</v>
      </c>
      <c r="T209" s="27"/>
      <c r="U209" s="28" t="s">
        <v>57</v>
      </c>
      <c r="V209" s="29" t="str">
        <f t="shared" si="16"/>
        <v>❌ Disc</v>
      </c>
      <c r="W209" s="70">
        <v>46248</v>
      </c>
      <c r="X209" s="30" t="s">
        <v>55</v>
      </c>
      <c r="Y209" s="30" t="s">
        <v>57</v>
      </c>
      <c r="Z209" s="30" t="s">
        <v>56</v>
      </c>
      <c r="AA209" s="30" t="s">
        <v>60</v>
      </c>
      <c r="AB209" s="30" t="s">
        <v>57</v>
      </c>
      <c r="AC209" s="27"/>
      <c r="AD209" s="31" t="s">
        <v>57</v>
      </c>
      <c r="AE209" s="32" t="str">
        <f t="shared" si="17"/>
        <v>❌ Disc</v>
      </c>
      <c r="AF209" s="33" t="s">
        <v>61</v>
      </c>
      <c r="AG209" s="33" t="s">
        <v>62</v>
      </c>
      <c r="AH209" s="33" t="s">
        <v>57</v>
      </c>
      <c r="AI209" s="33" t="s">
        <v>56</v>
      </c>
      <c r="AJ209" s="33" t="s">
        <v>60</v>
      </c>
      <c r="AK209" s="33" t="s">
        <v>57</v>
      </c>
      <c r="AL209" s="27"/>
      <c r="AM209" s="34" t="s">
        <v>57</v>
      </c>
      <c r="AN209" s="35" t="str">
        <f t="shared" si="18"/>
        <v>❌ Disc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506</v>
      </c>
      <c r="C210" s="41" t="s">
        <v>507</v>
      </c>
      <c r="D210" s="39" t="s">
        <v>210</v>
      </c>
      <c r="E210" s="42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46193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 t="s">
        <v>61</v>
      </c>
      <c r="AG210" s="33" t="s">
        <v>55</v>
      </c>
      <c r="AH210" s="33" t="s">
        <v>56</v>
      </c>
      <c r="AI210" s="33" t="s">
        <v>57</v>
      </c>
      <c r="AJ210" s="33" t="s">
        <v>58</v>
      </c>
      <c r="AK210" s="33" t="s">
        <v>56</v>
      </c>
      <c r="AL210" s="27"/>
      <c r="AM210" s="34" t="s">
        <v>57</v>
      </c>
      <c r="AN210" s="35" t="str">
        <f t="shared" si="18"/>
        <v>✓ OK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508</v>
      </c>
      <c r="C211" s="25" t="s">
        <v>509</v>
      </c>
      <c r="D211" s="23" t="s">
        <v>210</v>
      </c>
      <c r="E211" s="42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46193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 t="s">
        <v>61</v>
      </c>
      <c r="AG211" s="33" t="s">
        <v>55</v>
      </c>
      <c r="AH211" s="33" t="s">
        <v>56</v>
      </c>
      <c r="AI211" s="33" t="s">
        <v>57</v>
      </c>
      <c r="AJ211" s="33" t="s">
        <v>58</v>
      </c>
      <c r="AK211" s="33" t="s">
        <v>56</v>
      </c>
      <c r="AL211" s="27"/>
      <c r="AM211" s="34" t="s">
        <v>57</v>
      </c>
      <c r="AN211" s="35" t="str">
        <f t="shared" si="18"/>
        <v>✓ OK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510</v>
      </c>
      <c r="C212" s="41" t="s">
        <v>511</v>
      </c>
      <c r="D212" s="39" t="s">
        <v>210</v>
      </c>
      <c r="E212" s="42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42">
        <v>46193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46252</v>
      </c>
      <c r="X212" s="30" t="s">
        <v>55</v>
      </c>
      <c r="Y212" s="30" t="s">
        <v>57</v>
      </c>
      <c r="Z212" s="30" t="s">
        <v>56</v>
      </c>
      <c r="AA212" s="30" t="s">
        <v>60</v>
      </c>
      <c r="AB212" s="30" t="s">
        <v>57</v>
      </c>
      <c r="AC212" s="27"/>
      <c r="AD212" s="31" t="s">
        <v>57</v>
      </c>
      <c r="AE212" s="32" t="str">
        <f t="shared" si="17"/>
        <v>❌ Disc</v>
      </c>
      <c r="AF212" s="33" t="s">
        <v>61</v>
      </c>
      <c r="AG212" s="33" t="s">
        <v>62</v>
      </c>
      <c r="AH212" s="33" t="s">
        <v>57</v>
      </c>
      <c r="AI212" s="33" t="s">
        <v>56</v>
      </c>
      <c r="AJ212" s="33" t="s">
        <v>60</v>
      </c>
      <c r="AK212" s="33" t="s">
        <v>57</v>
      </c>
      <c r="AL212" s="27"/>
      <c r="AM212" s="34" t="s">
        <v>57</v>
      </c>
      <c r="AN212" s="35" t="str">
        <f t="shared" si="18"/>
        <v>❌ Disc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512</v>
      </c>
      <c r="C213" s="25" t="s">
        <v>513</v>
      </c>
      <c r="D213" s="23" t="s">
        <v>210</v>
      </c>
      <c r="E213" s="42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77</v>
      </c>
      <c r="L213" s="28" t="s">
        <v>56</v>
      </c>
      <c r="M213" s="29" t="str">
        <f t="shared" si="15"/>
        <v>⚠ Check</v>
      </c>
      <c r="N213" s="42">
        <v>46193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57</v>
      </c>
      <c r="T213" s="27" t="s">
        <v>77</v>
      </c>
      <c r="U213" s="28" t="s">
        <v>56</v>
      </c>
      <c r="V213" s="29" t="str">
        <f t="shared" si="16"/>
        <v>⚠ Check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56</v>
      </c>
      <c r="AE213" s="32" t="str">
        <f t="shared" si="17"/>
        <v>✓ OK</v>
      </c>
      <c r="AF213" s="33" t="s">
        <v>61</v>
      </c>
      <c r="AG213" s="33" t="s">
        <v>55</v>
      </c>
      <c r="AH213" s="33" t="s">
        <v>56</v>
      </c>
      <c r="AI213" s="33" t="s">
        <v>57</v>
      </c>
      <c r="AJ213" s="33" t="s">
        <v>58</v>
      </c>
      <c r="AK213" s="33" t="s">
        <v>56</v>
      </c>
      <c r="AL213" s="27"/>
      <c r="AM213" s="34" t="s">
        <v>57</v>
      </c>
      <c r="AN213" s="35" t="str">
        <f t="shared" si="18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514</v>
      </c>
      <c r="C214" s="41" t="s">
        <v>515</v>
      </c>
      <c r="D214" s="39" t="s">
        <v>210</v>
      </c>
      <c r="E214" s="42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46193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 t="s">
        <v>61</v>
      </c>
      <c r="AG214" s="33" t="s">
        <v>55</v>
      </c>
      <c r="AH214" s="33" t="s">
        <v>56</v>
      </c>
      <c r="AI214" s="33" t="s">
        <v>57</v>
      </c>
      <c r="AJ214" s="33" t="s">
        <v>58</v>
      </c>
      <c r="AK214" s="33" t="s">
        <v>56</v>
      </c>
      <c r="AL214" s="27"/>
      <c r="AM214" s="34" t="s">
        <v>57</v>
      </c>
      <c r="AN214" s="35" t="str">
        <f t="shared" si="18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516</v>
      </c>
      <c r="C215" s="25" t="s">
        <v>517</v>
      </c>
      <c r="D215" s="23" t="s">
        <v>210</v>
      </c>
      <c r="E215" s="42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46193</v>
      </c>
      <c r="O215" s="26" t="s">
        <v>55</v>
      </c>
      <c r="P215" s="26" t="s">
        <v>57</v>
      </c>
      <c r="Q215" s="26" t="s">
        <v>56</v>
      </c>
      <c r="R215" s="26" t="s">
        <v>60</v>
      </c>
      <c r="S215" s="26" t="s">
        <v>57</v>
      </c>
      <c r="T215" s="27"/>
      <c r="U215" s="28" t="s">
        <v>57</v>
      </c>
      <c r="V215" s="29" t="str">
        <f t="shared" si="16"/>
        <v>❌ Disc</v>
      </c>
      <c r="W215" s="70">
        <v>46248</v>
      </c>
      <c r="X215" s="30" t="s">
        <v>55</v>
      </c>
      <c r="Y215" s="30" t="s">
        <v>57</v>
      </c>
      <c r="Z215" s="30" t="s">
        <v>56</v>
      </c>
      <c r="AA215" s="30" t="s">
        <v>60</v>
      </c>
      <c r="AB215" s="30" t="s">
        <v>57</v>
      </c>
      <c r="AC215" s="27"/>
      <c r="AD215" s="31" t="s">
        <v>57</v>
      </c>
      <c r="AE215" s="32" t="str">
        <f t="shared" si="17"/>
        <v>❌ Disc</v>
      </c>
      <c r="AF215" s="33" t="s">
        <v>61</v>
      </c>
      <c r="AG215" s="33" t="s">
        <v>62</v>
      </c>
      <c r="AH215" s="33" t="s">
        <v>57</v>
      </c>
      <c r="AI215" s="33" t="s">
        <v>56</v>
      </c>
      <c r="AJ215" s="33" t="s">
        <v>60</v>
      </c>
      <c r="AK215" s="33" t="s">
        <v>57</v>
      </c>
      <c r="AL215" s="27"/>
      <c r="AM215" s="34" t="s">
        <v>57</v>
      </c>
      <c r="AN215" s="35" t="str">
        <f t="shared" si="18"/>
        <v>❌ Disc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518</v>
      </c>
      <c r="C216" s="41" t="s">
        <v>519</v>
      </c>
      <c r="D216" s="39" t="s">
        <v>210</v>
      </c>
      <c r="E216" s="42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46193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 t="s">
        <v>61</v>
      </c>
      <c r="AG216" s="33" t="s">
        <v>55</v>
      </c>
      <c r="AH216" s="33" t="s">
        <v>56</v>
      </c>
      <c r="AI216" s="33" t="s">
        <v>57</v>
      </c>
      <c r="AJ216" s="33" t="s">
        <v>58</v>
      </c>
      <c r="AK216" s="33" t="s">
        <v>56</v>
      </c>
      <c r="AL216" s="27"/>
      <c r="AM216" s="34" t="s">
        <v>57</v>
      </c>
      <c r="AN216" s="35" t="str">
        <f t="shared" si="18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520</v>
      </c>
      <c r="C217" s="25" t="s">
        <v>521</v>
      </c>
      <c r="D217" s="23" t="s">
        <v>210</v>
      </c>
      <c r="E217" s="42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46193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 t="s">
        <v>61</v>
      </c>
      <c r="AG217" s="33" t="s">
        <v>55</v>
      </c>
      <c r="AH217" s="33" t="s">
        <v>56</v>
      </c>
      <c r="AI217" s="33" t="s">
        <v>57</v>
      </c>
      <c r="AJ217" s="33" t="s">
        <v>58</v>
      </c>
      <c r="AK217" s="33" t="s">
        <v>56</v>
      </c>
      <c r="AL217" s="27"/>
      <c r="AM217" s="34" t="s">
        <v>57</v>
      </c>
      <c r="AN217" s="35" t="str">
        <f t="shared" si="18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522</v>
      </c>
      <c r="C218" s="41" t="s">
        <v>523</v>
      </c>
      <c r="D218" s="39" t="s">
        <v>210</v>
      </c>
      <c r="E218" s="42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524</v>
      </c>
      <c r="L218" s="28" t="s">
        <v>56</v>
      </c>
      <c r="M218" s="29" t="str">
        <f t="shared" si="15"/>
        <v>⚠ Check</v>
      </c>
      <c r="N218" s="42">
        <v>46193</v>
      </c>
      <c r="O218" s="26" t="s">
        <v>55</v>
      </c>
      <c r="P218" s="26" t="s">
        <v>57</v>
      </c>
      <c r="Q218" s="26" t="s">
        <v>56</v>
      </c>
      <c r="R218" s="26" t="s">
        <v>60</v>
      </c>
      <c r="S218" s="26" t="s">
        <v>57</v>
      </c>
      <c r="T218" s="27"/>
      <c r="U218" s="28" t="s">
        <v>57</v>
      </c>
      <c r="V218" s="29" t="str">
        <f t="shared" si="16"/>
        <v>❌ Disc</v>
      </c>
      <c r="W218" s="70">
        <v>46248</v>
      </c>
      <c r="X218" s="30" t="s">
        <v>55</v>
      </c>
      <c r="Y218" s="30" t="s">
        <v>57</v>
      </c>
      <c r="Z218" s="30" t="s">
        <v>56</v>
      </c>
      <c r="AA218" s="30" t="s">
        <v>60</v>
      </c>
      <c r="AB218" s="30" t="s">
        <v>57</v>
      </c>
      <c r="AC218" s="27"/>
      <c r="AD218" s="31" t="s">
        <v>57</v>
      </c>
      <c r="AE218" s="32" t="str">
        <f t="shared" si="17"/>
        <v>❌ Disc</v>
      </c>
      <c r="AF218" s="33" t="s">
        <v>61</v>
      </c>
      <c r="AG218" s="33" t="s">
        <v>62</v>
      </c>
      <c r="AH218" s="33" t="s">
        <v>56</v>
      </c>
      <c r="AI218" s="33" t="s">
        <v>56</v>
      </c>
      <c r="AJ218" s="33" t="s">
        <v>58</v>
      </c>
      <c r="AK218" s="33" t="s">
        <v>56</v>
      </c>
      <c r="AL218" s="27"/>
      <c r="AM218" s="34" t="s">
        <v>57</v>
      </c>
      <c r="AN218" s="35" t="str">
        <f t="shared" si="18"/>
        <v>❌ Disc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525</v>
      </c>
      <c r="C219" s="25" t="s">
        <v>526</v>
      </c>
      <c r="D219" s="23" t="s">
        <v>210</v>
      </c>
      <c r="E219" s="42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46193</v>
      </c>
      <c r="O219" s="26" t="s">
        <v>55</v>
      </c>
      <c r="P219" s="26" t="s">
        <v>57</v>
      </c>
      <c r="Q219" s="26" t="s">
        <v>56</v>
      </c>
      <c r="R219" s="26" t="s">
        <v>60</v>
      </c>
      <c r="S219" s="26" t="s">
        <v>57</v>
      </c>
      <c r="T219" s="27"/>
      <c r="U219" s="28" t="s">
        <v>57</v>
      </c>
      <c r="V219" s="29" t="str">
        <f t="shared" si="16"/>
        <v>❌ Disc</v>
      </c>
      <c r="W219" s="70">
        <v>46248</v>
      </c>
      <c r="X219" s="30" t="s">
        <v>55</v>
      </c>
      <c r="Y219" s="30" t="s">
        <v>57</v>
      </c>
      <c r="Z219" s="30" t="s">
        <v>56</v>
      </c>
      <c r="AA219" s="30" t="s">
        <v>60</v>
      </c>
      <c r="AB219" s="30" t="s">
        <v>57</v>
      </c>
      <c r="AC219" s="27"/>
      <c r="AD219" s="31" t="s">
        <v>57</v>
      </c>
      <c r="AE219" s="32" t="str">
        <f t="shared" si="17"/>
        <v>❌ Disc</v>
      </c>
      <c r="AF219" s="33" t="s">
        <v>61</v>
      </c>
      <c r="AG219" s="33" t="s">
        <v>62</v>
      </c>
      <c r="AH219" s="33" t="s">
        <v>57</v>
      </c>
      <c r="AI219" s="33" t="s">
        <v>56</v>
      </c>
      <c r="AJ219" s="33" t="s">
        <v>60</v>
      </c>
      <c r="AK219" s="33" t="s">
        <v>57</v>
      </c>
      <c r="AL219" s="27"/>
      <c r="AM219" s="34" t="s">
        <v>57</v>
      </c>
      <c r="AN219" s="35" t="str">
        <f t="shared" si="18"/>
        <v>❌ Disc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527</v>
      </c>
      <c r="C220" s="41" t="s">
        <v>528</v>
      </c>
      <c r="D220" s="39" t="s">
        <v>210</v>
      </c>
      <c r="E220" s="42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46193</v>
      </c>
      <c r="O220" s="26" t="s">
        <v>55</v>
      </c>
      <c r="P220" s="26" t="s">
        <v>57</v>
      </c>
      <c r="Q220" s="26" t="s">
        <v>56</v>
      </c>
      <c r="R220" s="26" t="s">
        <v>60</v>
      </c>
      <c r="S220" s="26" t="s">
        <v>57</v>
      </c>
      <c r="T220" s="27"/>
      <c r="U220" s="28" t="s">
        <v>57</v>
      </c>
      <c r="V220" s="29" t="str">
        <f t="shared" si="16"/>
        <v>❌ Disc</v>
      </c>
      <c r="W220" s="70">
        <v>46248</v>
      </c>
      <c r="X220" s="30" t="s">
        <v>55</v>
      </c>
      <c r="Y220" s="30" t="s">
        <v>57</v>
      </c>
      <c r="Z220" s="30" t="s">
        <v>56</v>
      </c>
      <c r="AA220" s="30" t="s">
        <v>60</v>
      </c>
      <c r="AB220" s="30" t="s">
        <v>57</v>
      </c>
      <c r="AC220" s="27"/>
      <c r="AD220" s="31" t="s">
        <v>57</v>
      </c>
      <c r="AE220" s="32" t="str">
        <f t="shared" si="17"/>
        <v>❌ Disc</v>
      </c>
      <c r="AF220" s="33" t="s">
        <v>61</v>
      </c>
      <c r="AG220" s="33" t="s">
        <v>62</v>
      </c>
      <c r="AH220" s="33" t="s">
        <v>57</v>
      </c>
      <c r="AI220" s="33" t="s">
        <v>56</v>
      </c>
      <c r="AJ220" s="33" t="s">
        <v>60</v>
      </c>
      <c r="AK220" s="33" t="s">
        <v>57</v>
      </c>
      <c r="AL220" s="27"/>
      <c r="AM220" s="34" t="s">
        <v>57</v>
      </c>
      <c r="AN220" s="35" t="str">
        <f t="shared" si="18"/>
        <v>❌ Disc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529</v>
      </c>
      <c r="C221" s="25" t="s">
        <v>530</v>
      </c>
      <c r="D221" s="23" t="s">
        <v>210</v>
      </c>
      <c r="E221" s="42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77</v>
      </c>
      <c r="L221" s="28" t="s">
        <v>56</v>
      </c>
      <c r="M221" s="29" t="str">
        <f t="shared" si="15"/>
        <v>⚠ Check</v>
      </c>
      <c r="N221" s="42">
        <v>46193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57</v>
      </c>
      <c r="T221" s="27" t="s">
        <v>77</v>
      </c>
      <c r="U221" s="28" t="s">
        <v>56</v>
      </c>
      <c r="V221" s="29" t="str">
        <f t="shared" si="16"/>
        <v>⚠ Check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56</v>
      </c>
      <c r="AE221" s="32" t="str">
        <f t="shared" si="17"/>
        <v>✓ OK</v>
      </c>
      <c r="AF221" s="33" t="s">
        <v>61</v>
      </c>
      <c r="AG221" s="33" t="s">
        <v>55</v>
      </c>
      <c r="AH221" s="33" t="s">
        <v>56</v>
      </c>
      <c r="AI221" s="33" t="s">
        <v>57</v>
      </c>
      <c r="AJ221" s="33" t="s">
        <v>58</v>
      </c>
      <c r="AK221" s="33" t="s">
        <v>56</v>
      </c>
      <c r="AL221" s="27"/>
      <c r="AM221" s="34" t="s">
        <v>57</v>
      </c>
      <c r="AN221" s="35" t="str">
        <f t="shared" si="18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531</v>
      </c>
      <c r="C222" s="41" t="s">
        <v>532</v>
      </c>
      <c r="D222" s="39" t="s">
        <v>210</v>
      </c>
      <c r="E222" s="42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46193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 t="s">
        <v>61</v>
      </c>
      <c r="AG222" s="33" t="s">
        <v>55</v>
      </c>
      <c r="AH222" s="33" t="s">
        <v>56</v>
      </c>
      <c r="AI222" s="33" t="s">
        <v>57</v>
      </c>
      <c r="AJ222" s="33" t="s">
        <v>58</v>
      </c>
      <c r="AK222" s="33" t="s">
        <v>56</v>
      </c>
      <c r="AL222" s="27"/>
      <c r="AM222" s="34" t="s">
        <v>57</v>
      </c>
      <c r="AN222" s="35" t="str">
        <f t="shared" si="18"/>
        <v>✓ OK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533</v>
      </c>
      <c r="C223" s="25" t="s">
        <v>534</v>
      </c>
      <c r="D223" s="23" t="s">
        <v>210</v>
      </c>
      <c r="E223" s="42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535</v>
      </c>
      <c r="L223" s="28" t="s">
        <v>56</v>
      </c>
      <c r="M223" s="29" t="str">
        <f t="shared" si="15"/>
        <v>⚠ Check</v>
      </c>
      <c r="N223" s="42">
        <v>46193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57</v>
      </c>
      <c r="T223" s="27" t="s">
        <v>536</v>
      </c>
      <c r="U223" s="28" t="s">
        <v>56</v>
      </c>
      <c r="V223" s="29" t="str">
        <f t="shared" si="16"/>
        <v>⚠ Check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57</v>
      </c>
      <c r="AC223" s="27" t="s">
        <v>536</v>
      </c>
      <c r="AD223" s="31" t="s">
        <v>56</v>
      </c>
      <c r="AE223" s="32" t="str">
        <f t="shared" si="17"/>
        <v>⚠ Check</v>
      </c>
      <c r="AF223" s="33" t="s">
        <v>61</v>
      </c>
      <c r="AG223" s="33" t="s">
        <v>55</v>
      </c>
      <c r="AH223" s="33" t="s">
        <v>56</v>
      </c>
      <c r="AI223" s="33" t="s">
        <v>57</v>
      </c>
      <c r="AJ223" s="33" t="s">
        <v>58</v>
      </c>
      <c r="AK223" s="33" t="s">
        <v>56</v>
      </c>
      <c r="AL223" s="27" t="s">
        <v>536</v>
      </c>
      <c r="AM223" s="34" t="s">
        <v>57</v>
      </c>
      <c r="AN223" s="35" t="str">
        <f t="shared" si="18"/>
        <v>✓ OK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537</v>
      </c>
      <c r="C224" s="41" t="s">
        <v>538</v>
      </c>
      <c r="D224" s="39" t="s">
        <v>210</v>
      </c>
      <c r="E224" s="42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46193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 t="s">
        <v>61</v>
      </c>
      <c r="AG224" s="33" t="s">
        <v>55</v>
      </c>
      <c r="AH224" s="33" t="s">
        <v>56</v>
      </c>
      <c r="AI224" s="33" t="s">
        <v>57</v>
      </c>
      <c r="AJ224" s="33" t="s">
        <v>58</v>
      </c>
      <c r="AK224" s="33" t="s">
        <v>56</v>
      </c>
      <c r="AL224" s="27"/>
      <c r="AM224" s="34" t="s">
        <v>57</v>
      </c>
      <c r="AN224" s="35" t="str">
        <f t="shared" si="18"/>
        <v>✓ OK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539</v>
      </c>
      <c r="C225" s="25" t="s">
        <v>540</v>
      </c>
      <c r="D225" s="23" t="s">
        <v>210</v>
      </c>
      <c r="E225" s="42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46193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 t="s">
        <v>61</v>
      </c>
      <c r="AG225" s="33" t="s">
        <v>55</v>
      </c>
      <c r="AH225" s="33" t="s">
        <v>56</v>
      </c>
      <c r="AI225" s="33" t="s">
        <v>57</v>
      </c>
      <c r="AJ225" s="33" t="s">
        <v>58</v>
      </c>
      <c r="AK225" s="33" t="s">
        <v>56</v>
      </c>
      <c r="AL225" s="27"/>
      <c r="AM225" s="34" t="s">
        <v>57</v>
      </c>
      <c r="AN225" s="35" t="str">
        <f t="shared" si="18"/>
        <v>✓ OK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541</v>
      </c>
      <c r="C226" s="41" t="s">
        <v>542</v>
      </c>
      <c r="D226" s="39" t="s">
        <v>210</v>
      </c>
      <c r="E226" s="42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46193</v>
      </c>
      <c r="O226" s="26" t="s">
        <v>55</v>
      </c>
      <c r="P226" s="26" t="s">
        <v>57</v>
      </c>
      <c r="Q226" s="26" t="s">
        <v>56</v>
      </c>
      <c r="R226" s="26" t="s">
        <v>60</v>
      </c>
      <c r="S226" s="26" t="s">
        <v>57</v>
      </c>
      <c r="T226" s="27"/>
      <c r="U226" s="28" t="s">
        <v>57</v>
      </c>
      <c r="V226" s="29" t="str">
        <f t="shared" si="16"/>
        <v>❌ Disc</v>
      </c>
      <c r="W226" s="70">
        <v>46248</v>
      </c>
      <c r="X226" s="30" t="s">
        <v>55</v>
      </c>
      <c r="Y226" s="30" t="s">
        <v>57</v>
      </c>
      <c r="Z226" s="30" t="s">
        <v>56</v>
      </c>
      <c r="AA226" s="30" t="s">
        <v>60</v>
      </c>
      <c r="AB226" s="30" t="s">
        <v>57</v>
      </c>
      <c r="AC226" s="27"/>
      <c r="AD226" s="31" t="s">
        <v>57</v>
      </c>
      <c r="AE226" s="32" t="str">
        <f t="shared" si="17"/>
        <v>❌ Disc</v>
      </c>
      <c r="AF226" s="33" t="s">
        <v>61</v>
      </c>
      <c r="AG226" s="33" t="s">
        <v>62</v>
      </c>
      <c r="AH226" s="33" t="s">
        <v>57</v>
      </c>
      <c r="AI226" s="33" t="s">
        <v>56</v>
      </c>
      <c r="AJ226" s="33" t="s">
        <v>60</v>
      </c>
      <c r="AK226" s="33" t="s">
        <v>57</v>
      </c>
      <c r="AL226" s="27"/>
      <c r="AM226" s="34" t="s">
        <v>57</v>
      </c>
      <c r="AN226" s="35" t="str">
        <f t="shared" si="18"/>
        <v>❌ Disc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543</v>
      </c>
      <c r="C227" s="25" t="s">
        <v>544</v>
      </c>
      <c r="D227" s="23" t="s">
        <v>210</v>
      </c>
      <c r="E227" s="42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46193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 t="s">
        <v>61</v>
      </c>
      <c r="AG227" s="33" t="s">
        <v>55</v>
      </c>
      <c r="AH227" s="33" t="s">
        <v>56</v>
      </c>
      <c r="AI227" s="33" t="s">
        <v>57</v>
      </c>
      <c r="AJ227" s="33" t="s">
        <v>58</v>
      </c>
      <c r="AK227" s="33" t="s">
        <v>56</v>
      </c>
      <c r="AL227" s="27"/>
      <c r="AM227" s="34" t="s">
        <v>57</v>
      </c>
      <c r="AN227" s="35" t="str">
        <f t="shared" si="18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545</v>
      </c>
      <c r="C228" s="41" t="s">
        <v>546</v>
      </c>
      <c r="D228" s="39" t="s">
        <v>210</v>
      </c>
      <c r="E228" s="42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175</v>
      </c>
      <c r="L228" s="28" t="s">
        <v>56</v>
      </c>
      <c r="M228" s="29" t="str">
        <f t="shared" si="15"/>
        <v>⚠ Check</v>
      </c>
      <c r="N228" s="42">
        <v>46193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57</v>
      </c>
      <c r="T228" s="27" t="s">
        <v>175</v>
      </c>
      <c r="U228" s="28" t="s">
        <v>56</v>
      </c>
      <c r="V228" s="29" t="str">
        <f t="shared" si="16"/>
        <v>⚠ Check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57</v>
      </c>
      <c r="AC228" s="27" t="s">
        <v>175</v>
      </c>
      <c r="AD228" s="31" t="s">
        <v>56</v>
      </c>
      <c r="AE228" s="32" t="str">
        <f t="shared" si="17"/>
        <v>⚠ Check</v>
      </c>
      <c r="AF228" s="33" t="s">
        <v>61</v>
      </c>
      <c r="AG228" s="33" t="s">
        <v>55</v>
      </c>
      <c r="AH228" s="33" t="s">
        <v>56</v>
      </c>
      <c r="AI228" s="33" t="s">
        <v>57</v>
      </c>
      <c r="AJ228" s="33" t="s">
        <v>58</v>
      </c>
      <c r="AK228" s="33" t="s">
        <v>56</v>
      </c>
      <c r="AL228" s="27"/>
      <c r="AM228" s="34" t="s">
        <v>57</v>
      </c>
      <c r="AN228" s="35" t="str">
        <f t="shared" si="18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547</v>
      </c>
      <c r="C229" s="25" t="s">
        <v>548</v>
      </c>
      <c r="D229" s="23" t="s">
        <v>210</v>
      </c>
      <c r="E229" s="42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549</v>
      </c>
      <c r="L229" s="28" t="s">
        <v>56</v>
      </c>
      <c r="M229" s="29" t="str">
        <f t="shared" si="15"/>
        <v>⚠ Check</v>
      </c>
      <c r="N229" s="42">
        <v>46193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 t="s">
        <v>61</v>
      </c>
      <c r="AG229" s="33" t="s">
        <v>55</v>
      </c>
      <c r="AH229" s="33" t="s">
        <v>56</v>
      </c>
      <c r="AI229" s="33" t="s">
        <v>57</v>
      </c>
      <c r="AJ229" s="33" t="s">
        <v>58</v>
      </c>
      <c r="AK229" s="33" t="s">
        <v>56</v>
      </c>
      <c r="AL229" s="27"/>
      <c r="AM229" s="34" t="s">
        <v>57</v>
      </c>
      <c r="AN229" s="35" t="str">
        <f t="shared" si="18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550</v>
      </c>
      <c r="C230" s="41" t="s">
        <v>551</v>
      </c>
      <c r="D230" s="39" t="s">
        <v>210</v>
      </c>
      <c r="E230" s="42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46193</v>
      </c>
      <c r="O230" s="26" t="s">
        <v>55</v>
      </c>
      <c r="P230" s="26" t="s">
        <v>57</v>
      </c>
      <c r="Q230" s="26" t="s">
        <v>56</v>
      </c>
      <c r="R230" s="26" t="s">
        <v>60</v>
      </c>
      <c r="S230" s="26" t="s">
        <v>57</v>
      </c>
      <c r="T230" s="27"/>
      <c r="U230" s="28" t="s">
        <v>57</v>
      </c>
      <c r="V230" s="29" t="str">
        <f t="shared" si="16"/>
        <v>❌ Disc</v>
      </c>
      <c r="W230" s="70">
        <v>46248</v>
      </c>
      <c r="X230" s="30" t="s">
        <v>55</v>
      </c>
      <c r="Y230" s="30" t="s">
        <v>57</v>
      </c>
      <c r="Z230" s="30" t="s">
        <v>56</v>
      </c>
      <c r="AA230" s="30" t="s">
        <v>60</v>
      </c>
      <c r="AB230" s="30" t="s">
        <v>57</v>
      </c>
      <c r="AC230" s="27"/>
      <c r="AD230" s="31" t="s">
        <v>57</v>
      </c>
      <c r="AE230" s="32" t="str">
        <f t="shared" si="17"/>
        <v>❌ Disc</v>
      </c>
      <c r="AF230" s="33" t="s">
        <v>61</v>
      </c>
      <c r="AG230" s="33" t="s">
        <v>62</v>
      </c>
      <c r="AH230" s="33" t="s">
        <v>57</v>
      </c>
      <c r="AI230" s="33" t="s">
        <v>56</v>
      </c>
      <c r="AJ230" s="33" t="s">
        <v>60</v>
      </c>
      <c r="AK230" s="33" t="s">
        <v>57</v>
      </c>
      <c r="AL230" s="27"/>
      <c r="AM230" s="34" t="s">
        <v>57</v>
      </c>
      <c r="AN230" s="35" t="str">
        <f t="shared" si="18"/>
        <v>❌ Disc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552</v>
      </c>
      <c r="C231" s="25" t="s">
        <v>553</v>
      </c>
      <c r="D231" s="23" t="s">
        <v>210</v>
      </c>
      <c r="E231" s="42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46193</v>
      </c>
      <c r="O231" s="26" t="s">
        <v>55</v>
      </c>
      <c r="P231" s="26" t="s">
        <v>57</v>
      </c>
      <c r="Q231" s="26" t="s">
        <v>56</v>
      </c>
      <c r="R231" s="26" t="s">
        <v>60</v>
      </c>
      <c r="S231" s="26" t="s">
        <v>57</v>
      </c>
      <c r="T231" s="27"/>
      <c r="U231" s="28" t="s">
        <v>57</v>
      </c>
      <c r="V231" s="29" t="str">
        <f t="shared" si="16"/>
        <v>❌ Disc</v>
      </c>
      <c r="W231" s="70">
        <v>46248</v>
      </c>
      <c r="X231" s="30" t="s">
        <v>55</v>
      </c>
      <c r="Y231" s="30" t="s">
        <v>57</v>
      </c>
      <c r="Z231" s="30" t="s">
        <v>56</v>
      </c>
      <c r="AA231" s="30" t="s">
        <v>60</v>
      </c>
      <c r="AB231" s="30" t="s">
        <v>57</v>
      </c>
      <c r="AC231" s="27"/>
      <c r="AD231" s="31" t="s">
        <v>57</v>
      </c>
      <c r="AE231" s="32" t="str">
        <f t="shared" si="17"/>
        <v>❌ Disc</v>
      </c>
      <c r="AF231" s="33" t="s">
        <v>61</v>
      </c>
      <c r="AG231" s="33" t="s">
        <v>62</v>
      </c>
      <c r="AH231" s="33" t="s">
        <v>57</v>
      </c>
      <c r="AI231" s="33" t="s">
        <v>56</v>
      </c>
      <c r="AJ231" s="33" t="s">
        <v>60</v>
      </c>
      <c r="AK231" s="33" t="s">
        <v>57</v>
      </c>
      <c r="AL231" s="27"/>
      <c r="AM231" s="34" t="s">
        <v>57</v>
      </c>
      <c r="AN231" s="35" t="str">
        <f t="shared" si="18"/>
        <v>❌ Disc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554</v>
      </c>
      <c r="C232" s="41" t="s">
        <v>555</v>
      </c>
      <c r="D232" s="39" t="s">
        <v>210</v>
      </c>
      <c r="E232" s="42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46193</v>
      </c>
      <c r="O232" s="26" t="s">
        <v>55</v>
      </c>
      <c r="P232" s="26" t="s">
        <v>57</v>
      </c>
      <c r="Q232" s="26" t="s">
        <v>56</v>
      </c>
      <c r="R232" s="26" t="s">
        <v>60</v>
      </c>
      <c r="S232" s="26" t="s">
        <v>57</v>
      </c>
      <c r="T232" s="27"/>
      <c r="U232" s="28" t="s">
        <v>57</v>
      </c>
      <c r="V232" s="29" t="str">
        <f t="shared" si="16"/>
        <v>❌ Disc</v>
      </c>
      <c r="W232" s="70">
        <v>46248</v>
      </c>
      <c r="X232" s="30" t="s">
        <v>55</v>
      </c>
      <c r="Y232" s="30" t="s">
        <v>57</v>
      </c>
      <c r="Z232" s="30" t="s">
        <v>56</v>
      </c>
      <c r="AA232" s="30" t="s">
        <v>60</v>
      </c>
      <c r="AB232" s="30" t="s">
        <v>57</v>
      </c>
      <c r="AC232" s="27"/>
      <c r="AD232" s="31" t="s">
        <v>57</v>
      </c>
      <c r="AE232" s="32" t="str">
        <f t="shared" si="17"/>
        <v>❌ Disc</v>
      </c>
      <c r="AF232" s="33" t="s">
        <v>61</v>
      </c>
      <c r="AG232" s="33" t="s">
        <v>62</v>
      </c>
      <c r="AH232" s="33" t="s">
        <v>57</v>
      </c>
      <c r="AI232" s="33" t="s">
        <v>56</v>
      </c>
      <c r="AJ232" s="33" t="s">
        <v>60</v>
      </c>
      <c r="AK232" s="33" t="s">
        <v>57</v>
      </c>
      <c r="AL232" s="27"/>
      <c r="AM232" s="34" t="s">
        <v>57</v>
      </c>
      <c r="AN232" s="35" t="str">
        <f t="shared" si="18"/>
        <v>❌ Disc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556</v>
      </c>
      <c r="C233" s="25" t="s">
        <v>557</v>
      </c>
      <c r="D233" s="23" t="s">
        <v>210</v>
      </c>
      <c r="E233" s="42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46193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57</v>
      </c>
      <c r="Z233" s="30" t="s">
        <v>56</v>
      </c>
      <c r="AA233" s="30" t="s">
        <v>60</v>
      </c>
      <c r="AB233" s="30" t="s">
        <v>57</v>
      </c>
      <c r="AC233" s="27"/>
      <c r="AD233" s="31" t="s">
        <v>57</v>
      </c>
      <c r="AE233" s="32" t="str">
        <f t="shared" si="17"/>
        <v>❌ Disc</v>
      </c>
      <c r="AF233" s="33" t="s">
        <v>61</v>
      </c>
      <c r="AG233" s="33" t="s">
        <v>62</v>
      </c>
      <c r="AH233" s="33" t="s">
        <v>57</v>
      </c>
      <c r="AI233" s="33" t="s">
        <v>56</v>
      </c>
      <c r="AJ233" s="33" t="s">
        <v>60</v>
      </c>
      <c r="AK233" s="33" t="s">
        <v>57</v>
      </c>
      <c r="AL233" s="27"/>
      <c r="AM233" s="34" t="s">
        <v>57</v>
      </c>
      <c r="AN233" s="35" t="str">
        <f t="shared" si="18"/>
        <v>❌ Disc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558</v>
      </c>
      <c r="C234" s="41" t="s">
        <v>559</v>
      </c>
      <c r="D234" s="39" t="s">
        <v>210</v>
      </c>
      <c r="E234" s="42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46193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 t="s">
        <v>61</v>
      </c>
      <c r="AG234" s="33" t="s">
        <v>55</v>
      </c>
      <c r="AH234" s="33" t="s">
        <v>56</v>
      </c>
      <c r="AI234" s="33" t="s">
        <v>57</v>
      </c>
      <c r="AJ234" s="33" t="s">
        <v>58</v>
      </c>
      <c r="AK234" s="33" t="s">
        <v>56</v>
      </c>
      <c r="AL234" s="27"/>
      <c r="AM234" s="34" t="s">
        <v>57</v>
      </c>
      <c r="AN234" s="35" t="str">
        <f t="shared" si="18"/>
        <v>✓ OK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560</v>
      </c>
      <c r="C235" s="25" t="s">
        <v>561</v>
      </c>
      <c r="D235" s="23" t="s">
        <v>210</v>
      </c>
      <c r="E235" s="42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46193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 t="s">
        <v>61</v>
      </c>
      <c r="AG235" s="33" t="s">
        <v>55</v>
      </c>
      <c r="AH235" s="33" t="s">
        <v>56</v>
      </c>
      <c r="AI235" s="33" t="s">
        <v>57</v>
      </c>
      <c r="AJ235" s="33" t="s">
        <v>58</v>
      </c>
      <c r="AK235" s="33" t="s">
        <v>56</v>
      </c>
      <c r="AL235" s="27"/>
      <c r="AM235" s="34" t="s">
        <v>57</v>
      </c>
      <c r="AN235" s="35" t="str">
        <f t="shared" si="18"/>
        <v>✓ OK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562</v>
      </c>
      <c r="C236" s="41" t="s">
        <v>563</v>
      </c>
      <c r="D236" s="39" t="s">
        <v>210</v>
      </c>
      <c r="E236" s="42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42">
        <v>46193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57</v>
      </c>
      <c r="T236" s="27" t="s">
        <v>59</v>
      </c>
      <c r="U236" s="28" t="s">
        <v>56</v>
      </c>
      <c r="V236" s="29" t="str">
        <f t="shared" si="16"/>
        <v>⚠ Check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56</v>
      </c>
      <c r="AE236" s="32" t="str">
        <f t="shared" si="17"/>
        <v>✓ OK</v>
      </c>
      <c r="AF236" s="33" t="s">
        <v>61</v>
      </c>
      <c r="AG236" s="33" t="s">
        <v>55</v>
      </c>
      <c r="AH236" s="33" t="s">
        <v>56</v>
      </c>
      <c r="AI236" s="33" t="s">
        <v>57</v>
      </c>
      <c r="AJ236" s="33" t="s">
        <v>58</v>
      </c>
      <c r="AK236" s="33" t="s">
        <v>56</v>
      </c>
      <c r="AL236" s="27"/>
      <c r="AM236" s="34" t="s">
        <v>57</v>
      </c>
      <c r="AN236" s="35" t="str">
        <f t="shared" si="18"/>
        <v>✓ OK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564</v>
      </c>
      <c r="C237" s="25" t="s">
        <v>565</v>
      </c>
      <c r="D237" s="23" t="s">
        <v>210</v>
      </c>
      <c r="E237" s="42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46193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 t="s">
        <v>61</v>
      </c>
      <c r="AG237" s="33" t="s">
        <v>55</v>
      </c>
      <c r="AH237" s="33" t="s">
        <v>56</v>
      </c>
      <c r="AI237" s="33" t="s">
        <v>57</v>
      </c>
      <c r="AJ237" s="33" t="s">
        <v>58</v>
      </c>
      <c r="AK237" s="33" t="s">
        <v>56</v>
      </c>
      <c r="AL237" s="27"/>
      <c r="AM237" s="34" t="s">
        <v>57</v>
      </c>
      <c r="AN237" s="35" t="str">
        <f t="shared" si="18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566</v>
      </c>
      <c r="C238" s="41" t="s">
        <v>567</v>
      </c>
      <c r="D238" s="39" t="s">
        <v>210</v>
      </c>
      <c r="E238" s="42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46193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57</v>
      </c>
      <c r="Z238" s="30" t="s">
        <v>56</v>
      </c>
      <c r="AA238" s="30" t="s">
        <v>60</v>
      </c>
      <c r="AB238" s="30" t="s">
        <v>57</v>
      </c>
      <c r="AC238" s="27"/>
      <c r="AD238" s="31" t="s">
        <v>57</v>
      </c>
      <c r="AE238" s="32" t="str">
        <f t="shared" si="17"/>
        <v>❌ Disc</v>
      </c>
      <c r="AF238" s="33" t="s">
        <v>61</v>
      </c>
      <c r="AG238" s="33" t="s">
        <v>62</v>
      </c>
      <c r="AH238" s="33" t="s">
        <v>57</v>
      </c>
      <c r="AI238" s="33" t="s">
        <v>56</v>
      </c>
      <c r="AJ238" s="33" t="s">
        <v>60</v>
      </c>
      <c r="AK238" s="33" t="s">
        <v>57</v>
      </c>
      <c r="AL238" s="27"/>
      <c r="AM238" s="34" t="s">
        <v>57</v>
      </c>
      <c r="AN238" s="35" t="str">
        <f t="shared" si="18"/>
        <v>❌ Disc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568</v>
      </c>
      <c r="C239" s="25" t="s">
        <v>569</v>
      </c>
      <c r="D239" s="23" t="s">
        <v>210</v>
      </c>
      <c r="E239" s="42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570</v>
      </c>
      <c r="L239" s="28" t="s">
        <v>56</v>
      </c>
      <c r="M239" s="29" t="str">
        <f t="shared" si="15"/>
        <v>⚠ Check</v>
      </c>
      <c r="N239" s="42">
        <v>46193</v>
      </c>
      <c r="O239" s="26" t="s">
        <v>55</v>
      </c>
      <c r="P239" s="26" t="s">
        <v>57</v>
      </c>
      <c r="Q239" s="26" t="s">
        <v>56</v>
      </c>
      <c r="R239" s="26" t="s">
        <v>60</v>
      </c>
      <c r="S239" s="26" t="s">
        <v>57</v>
      </c>
      <c r="T239" s="27"/>
      <c r="U239" s="28" t="s">
        <v>57</v>
      </c>
      <c r="V239" s="29" t="str">
        <f t="shared" si="16"/>
        <v>❌ Disc</v>
      </c>
      <c r="W239" s="70">
        <v>46248</v>
      </c>
      <c r="X239" s="30" t="s">
        <v>55</v>
      </c>
      <c r="Y239" s="30" t="s">
        <v>57</v>
      </c>
      <c r="Z239" s="30" t="s">
        <v>56</v>
      </c>
      <c r="AA239" s="30" t="s">
        <v>60</v>
      </c>
      <c r="AB239" s="30" t="s">
        <v>57</v>
      </c>
      <c r="AC239" s="27"/>
      <c r="AD239" s="31" t="s">
        <v>57</v>
      </c>
      <c r="AE239" s="32" t="str">
        <f t="shared" si="17"/>
        <v>❌ Disc</v>
      </c>
      <c r="AF239" s="33" t="s">
        <v>61</v>
      </c>
      <c r="AG239" s="33" t="s">
        <v>62</v>
      </c>
      <c r="AH239" s="33" t="s">
        <v>56</v>
      </c>
      <c r="AI239" s="33" t="s">
        <v>56</v>
      </c>
      <c r="AJ239" s="33" t="s">
        <v>58</v>
      </c>
      <c r="AK239" s="33" t="s">
        <v>56</v>
      </c>
      <c r="AL239" s="27"/>
      <c r="AM239" s="34" t="s">
        <v>57</v>
      </c>
      <c r="AN239" s="35" t="str">
        <f t="shared" si="18"/>
        <v>❌ Disc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571</v>
      </c>
      <c r="C240" s="41" t="s">
        <v>572</v>
      </c>
      <c r="D240" s="39" t="s">
        <v>210</v>
      </c>
      <c r="E240" s="42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573</v>
      </c>
      <c r="L240" s="28" t="s">
        <v>56</v>
      </c>
      <c r="M240" s="29" t="str">
        <f t="shared" si="15"/>
        <v>⚠ Check</v>
      </c>
      <c r="N240" s="42">
        <v>46193</v>
      </c>
      <c r="O240" s="26" t="s">
        <v>55</v>
      </c>
      <c r="P240" s="26" t="s">
        <v>57</v>
      </c>
      <c r="Q240" s="26" t="s">
        <v>56</v>
      </c>
      <c r="R240" s="26" t="s">
        <v>60</v>
      </c>
      <c r="S240" s="26" t="s">
        <v>57</v>
      </c>
      <c r="T240" s="27"/>
      <c r="U240" s="28" t="s">
        <v>57</v>
      </c>
      <c r="V240" s="29" t="str">
        <f t="shared" si="16"/>
        <v>❌ Disc</v>
      </c>
      <c r="W240" s="70">
        <v>46248</v>
      </c>
      <c r="X240" s="30" t="s">
        <v>55</v>
      </c>
      <c r="Y240" s="30" t="s">
        <v>57</v>
      </c>
      <c r="Z240" s="30" t="s">
        <v>56</v>
      </c>
      <c r="AA240" s="30" t="s">
        <v>60</v>
      </c>
      <c r="AB240" s="30" t="s">
        <v>57</v>
      </c>
      <c r="AC240" s="27"/>
      <c r="AD240" s="31" t="s">
        <v>57</v>
      </c>
      <c r="AE240" s="32" t="str">
        <f t="shared" si="17"/>
        <v>❌ Disc</v>
      </c>
      <c r="AF240" s="33" t="s">
        <v>61</v>
      </c>
      <c r="AG240" s="33" t="s">
        <v>62</v>
      </c>
      <c r="AH240" s="33" t="s">
        <v>57</v>
      </c>
      <c r="AI240" s="33" t="s">
        <v>56</v>
      </c>
      <c r="AJ240" s="33" t="s">
        <v>60</v>
      </c>
      <c r="AK240" s="33" t="s">
        <v>57</v>
      </c>
      <c r="AL240" s="27"/>
      <c r="AM240" s="34" t="s">
        <v>57</v>
      </c>
      <c r="AN240" s="35" t="str">
        <f t="shared" si="18"/>
        <v>❌ Disc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574</v>
      </c>
      <c r="C241" s="25" t="s">
        <v>575</v>
      </c>
      <c r="D241" s="23" t="s">
        <v>210</v>
      </c>
      <c r="E241" s="42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46193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57</v>
      </c>
      <c r="Z241" s="30" t="s">
        <v>56</v>
      </c>
      <c r="AA241" s="30" t="s">
        <v>60</v>
      </c>
      <c r="AB241" s="30" t="s">
        <v>57</v>
      </c>
      <c r="AC241" s="27"/>
      <c r="AD241" s="31" t="s">
        <v>57</v>
      </c>
      <c r="AE241" s="32" t="str">
        <f t="shared" si="17"/>
        <v>❌ Disc</v>
      </c>
      <c r="AF241" s="33" t="s">
        <v>61</v>
      </c>
      <c r="AG241" s="33" t="s">
        <v>62</v>
      </c>
      <c r="AH241" s="33" t="s">
        <v>57</v>
      </c>
      <c r="AI241" s="33" t="s">
        <v>56</v>
      </c>
      <c r="AJ241" s="33" t="s">
        <v>60</v>
      </c>
      <c r="AK241" s="33" t="s">
        <v>57</v>
      </c>
      <c r="AL241" s="27"/>
      <c r="AM241" s="34" t="s">
        <v>57</v>
      </c>
      <c r="AN241" s="35" t="str">
        <f t="shared" si="18"/>
        <v>❌ Disc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576</v>
      </c>
      <c r="C242" s="41" t="s">
        <v>577</v>
      </c>
      <c r="D242" s="39" t="s">
        <v>210</v>
      </c>
      <c r="E242" s="42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46193</v>
      </c>
      <c r="O242" s="26" t="s">
        <v>55</v>
      </c>
      <c r="P242" s="26" t="s">
        <v>57</v>
      </c>
      <c r="Q242" s="26" t="s">
        <v>56</v>
      </c>
      <c r="R242" s="26" t="s">
        <v>60</v>
      </c>
      <c r="S242" s="26" t="s">
        <v>57</v>
      </c>
      <c r="T242" s="27"/>
      <c r="U242" s="28" t="s">
        <v>57</v>
      </c>
      <c r="V242" s="29" t="str">
        <f t="shared" si="16"/>
        <v>❌ Disc</v>
      </c>
      <c r="W242" s="70">
        <v>46248</v>
      </c>
      <c r="X242" s="30" t="s">
        <v>55</v>
      </c>
      <c r="Y242" s="30" t="s">
        <v>57</v>
      </c>
      <c r="Z242" s="30" t="s">
        <v>56</v>
      </c>
      <c r="AA242" s="30" t="s">
        <v>60</v>
      </c>
      <c r="AB242" s="30" t="s">
        <v>57</v>
      </c>
      <c r="AC242" s="27"/>
      <c r="AD242" s="31" t="s">
        <v>57</v>
      </c>
      <c r="AE242" s="32" t="str">
        <f t="shared" si="17"/>
        <v>❌ Disc</v>
      </c>
      <c r="AF242" s="33" t="s">
        <v>61</v>
      </c>
      <c r="AG242" s="33" t="s">
        <v>62</v>
      </c>
      <c r="AH242" s="33" t="s">
        <v>57</v>
      </c>
      <c r="AI242" s="33" t="s">
        <v>56</v>
      </c>
      <c r="AJ242" s="33" t="s">
        <v>60</v>
      </c>
      <c r="AK242" s="33" t="s">
        <v>57</v>
      </c>
      <c r="AL242" s="27"/>
      <c r="AM242" s="34" t="s">
        <v>57</v>
      </c>
      <c r="AN242" s="35" t="str">
        <f t="shared" si="18"/>
        <v>❌ Disc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578</v>
      </c>
      <c r="C243" s="25" t="s">
        <v>579</v>
      </c>
      <c r="D243" s="23" t="s">
        <v>210</v>
      </c>
      <c r="E243" s="42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46193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57</v>
      </c>
      <c r="Z243" s="30" t="s">
        <v>56</v>
      </c>
      <c r="AA243" s="30" t="s">
        <v>60</v>
      </c>
      <c r="AB243" s="30" t="s">
        <v>57</v>
      </c>
      <c r="AC243" s="27"/>
      <c r="AD243" s="31" t="s">
        <v>57</v>
      </c>
      <c r="AE243" s="32" t="str">
        <f t="shared" si="17"/>
        <v>❌ Disc</v>
      </c>
      <c r="AF243" s="33" t="s">
        <v>61</v>
      </c>
      <c r="AG243" s="33" t="s">
        <v>62</v>
      </c>
      <c r="AH243" s="33" t="s">
        <v>57</v>
      </c>
      <c r="AI243" s="33" t="s">
        <v>56</v>
      </c>
      <c r="AJ243" s="33" t="s">
        <v>60</v>
      </c>
      <c r="AK243" s="33" t="s">
        <v>57</v>
      </c>
      <c r="AL243" s="27"/>
      <c r="AM243" s="34" t="s">
        <v>57</v>
      </c>
      <c r="AN243" s="35" t="str">
        <f t="shared" si="18"/>
        <v>❌ Disc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580</v>
      </c>
      <c r="C244" s="41" t="s">
        <v>581</v>
      </c>
      <c r="D244" s="39" t="s">
        <v>210</v>
      </c>
      <c r="E244" s="42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46193</v>
      </c>
      <c r="O244" s="26" t="s">
        <v>55</v>
      </c>
      <c r="P244" s="26" t="s">
        <v>57</v>
      </c>
      <c r="Q244" s="26" t="s">
        <v>56</v>
      </c>
      <c r="R244" s="26" t="s">
        <v>60</v>
      </c>
      <c r="S244" s="26" t="s">
        <v>57</v>
      </c>
      <c r="T244" s="27"/>
      <c r="U244" s="28" t="s">
        <v>57</v>
      </c>
      <c r="V244" s="29" t="str">
        <f t="shared" si="16"/>
        <v>❌ Disc</v>
      </c>
      <c r="W244" s="70">
        <v>46248</v>
      </c>
      <c r="X244" s="30" t="s">
        <v>55</v>
      </c>
      <c r="Y244" s="30" t="s">
        <v>57</v>
      </c>
      <c r="Z244" s="30" t="s">
        <v>56</v>
      </c>
      <c r="AA244" s="30" t="s">
        <v>60</v>
      </c>
      <c r="AB244" s="30" t="s">
        <v>57</v>
      </c>
      <c r="AC244" s="27"/>
      <c r="AD244" s="31" t="s">
        <v>57</v>
      </c>
      <c r="AE244" s="32" t="str">
        <f t="shared" si="17"/>
        <v>❌ Disc</v>
      </c>
      <c r="AF244" s="33" t="s">
        <v>61</v>
      </c>
      <c r="AG244" s="33" t="s">
        <v>62</v>
      </c>
      <c r="AH244" s="33" t="s">
        <v>57</v>
      </c>
      <c r="AI244" s="33" t="s">
        <v>56</v>
      </c>
      <c r="AJ244" s="33" t="s">
        <v>60</v>
      </c>
      <c r="AK244" s="33" t="s">
        <v>57</v>
      </c>
      <c r="AL244" s="27"/>
      <c r="AM244" s="34" t="s">
        <v>57</v>
      </c>
      <c r="AN244" s="35" t="str">
        <f t="shared" si="18"/>
        <v>❌ Disc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582</v>
      </c>
      <c r="C245" s="25" t="s">
        <v>583</v>
      </c>
      <c r="D245" s="23" t="s">
        <v>210</v>
      </c>
      <c r="E245" s="42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46193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 t="s">
        <v>61</v>
      </c>
      <c r="AG245" s="33" t="s">
        <v>55</v>
      </c>
      <c r="AH245" s="33" t="s">
        <v>56</v>
      </c>
      <c r="AI245" s="33" t="s">
        <v>57</v>
      </c>
      <c r="AJ245" s="33" t="s">
        <v>58</v>
      </c>
      <c r="AK245" s="33" t="s">
        <v>56</v>
      </c>
      <c r="AL245" s="27"/>
      <c r="AM245" s="34" t="s">
        <v>57</v>
      </c>
      <c r="AN245" s="35" t="str">
        <f t="shared" si="18"/>
        <v>✓ OK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584</v>
      </c>
      <c r="C246" s="41" t="s">
        <v>585</v>
      </c>
      <c r="D246" s="39" t="s">
        <v>210</v>
      </c>
      <c r="E246" s="42">
        <v>46127</v>
      </c>
      <c r="F246" s="26" t="s">
        <v>55</v>
      </c>
      <c r="G246" s="26" t="s">
        <v>56</v>
      </c>
      <c r="H246" s="26" t="s">
        <v>57</v>
      </c>
      <c r="I246" s="26" t="s">
        <v>278</v>
      </c>
      <c r="J246" s="26" t="s">
        <v>57</v>
      </c>
      <c r="K246" s="27" t="s">
        <v>573</v>
      </c>
      <c r="L246" s="28" t="s">
        <v>56</v>
      </c>
      <c r="M246" s="29" t="str">
        <f t="shared" si="15"/>
        <v>⚠ Check</v>
      </c>
      <c r="N246" s="42">
        <v>46193</v>
      </c>
      <c r="O246" s="26" t="s">
        <v>55</v>
      </c>
      <c r="P246" s="26" t="s">
        <v>56</v>
      </c>
      <c r="Q246" s="26" t="s">
        <v>57</v>
      </c>
      <c r="R246" s="26" t="s">
        <v>278</v>
      </c>
      <c r="S246" s="26" t="s">
        <v>57</v>
      </c>
      <c r="T246" s="27" t="s">
        <v>573</v>
      </c>
      <c r="U246" s="28" t="s">
        <v>56</v>
      </c>
      <c r="V246" s="29" t="str">
        <f t="shared" si="16"/>
        <v>⚠ Check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278</v>
      </c>
      <c r="AB246" s="30" t="s">
        <v>57</v>
      </c>
      <c r="AC246" s="27" t="s">
        <v>573</v>
      </c>
      <c r="AD246" s="31" t="s">
        <v>56</v>
      </c>
      <c r="AE246" s="32" t="str">
        <f t="shared" si="17"/>
        <v>⚠ Check</v>
      </c>
      <c r="AF246" s="33" t="s">
        <v>61</v>
      </c>
      <c r="AG246" s="33" t="s">
        <v>55</v>
      </c>
      <c r="AH246" s="33" t="s">
        <v>56</v>
      </c>
      <c r="AI246" s="33" t="s">
        <v>57</v>
      </c>
      <c r="AJ246" s="33" t="s">
        <v>278</v>
      </c>
      <c r="AK246" s="33" t="s">
        <v>57</v>
      </c>
      <c r="AL246" s="27" t="s">
        <v>573</v>
      </c>
      <c r="AM246" s="34" t="s">
        <v>56</v>
      </c>
      <c r="AN246" s="35" t="str">
        <f t="shared" si="18"/>
        <v>⚠ Check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586</v>
      </c>
      <c r="C247" s="25" t="s">
        <v>587</v>
      </c>
      <c r="D247" s="23" t="s">
        <v>210</v>
      </c>
      <c r="E247" s="42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46193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 t="s">
        <v>61</v>
      </c>
      <c r="AG247" s="33" t="s">
        <v>55</v>
      </c>
      <c r="AH247" s="33" t="s">
        <v>56</v>
      </c>
      <c r="AI247" s="33" t="s">
        <v>57</v>
      </c>
      <c r="AJ247" s="33" t="s">
        <v>58</v>
      </c>
      <c r="AK247" s="33" t="s">
        <v>56</v>
      </c>
      <c r="AL247" s="27"/>
      <c r="AM247" s="34" t="s">
        <v>57</v>
      </c>
      <c r="AN247" s="35" t="str">
        <f t="shared" si="18"/>
        <v>✓ OK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588</v>
      </c>
      <c r="C248" s="41" t="s">
        <v>589</v>
      </c>
      <c r="D248" s="39" t="s">
        <v>210</v>
      </c>
      <c r="E248" s="42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46193</v>
      </c>
      <c r="O248" s="26" t="s">
        <v>55</v>
      </c>
      <c r="P248" s="26" t="s">
        <v>57</v>
      </c>
      <c r="Q248" s="26" t="s">
        <v>56</v>
      </c>
      <c r="R248" s="26" t="s">
        <v>60</v>
      </c>
      <c r="S248" s="26" t="s">
        <v>57</v>
      </c>
      <c r="T248" s="27"/>
      <c r="U248" s="28" t="s">
        <v>57</v>
      </c>
      <c r="V248" s="29" t="str">
        <f t="shared" si="16"/>
        <v>❌ Disc</v>
      </c>
      <c r="W248" s="70">
        <v>46248</v>
      </c>
      <c r="X248" s="30" t="s">
        <v>55</v>
      </c>
      <c r="Y248" s="30" t="s">
        <v>57</v>
      </c>
      <c r="Z248" s="30" t="s">
        <v>56</v>
      </c>
      <c r="AA248" s="30" t="s">
        <v>60</v>
      </c>
      <c r="AB248" s="30" t="s">
        <v>57</v>
      </c>
      <c r="AC248" s="27"/>
      <c r="AD248" s="31" t="s">
        <v>57</v>
      </c>
      <c r="AE248" s="32" t="str">
        <f t="shared" si="17"/>
        <v>❌ Disc</v>
      </c>
      <c r="AF248" s="33" t="s">
        <v>61</v>
      </c>
      <c r="AG248" s="33" t="s">
        <v>62</v>
      </c>
      <c r="AH248" s="33" t="s">
        <v>57</v>
      </c>
      <c r="AI248" s="33" t="s">
        <v>56</v>
      </c>
      <c r="AJ248" s="33" t="s">
        <v>60</v>
      </c>
      <c r="AK248" s="33" t="s">
        <v>57</v>
      </c>
      <c r="AL248" s="27"/>
      <c r="AM248" s="34" t="s">
        <v>57</v>
      </c>
      <c r="AN248" s="35" t="str">
        <f t="shared" si="18"/>
        <v>❌ Disc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590</v>
      </c>
      <c r="C249" s="25" t="s">
        <v>591</v>
      </c>
      <c r="D249" s="23" t="s">
        <v>210</v>
      </c>
      <c r="E249" s="42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46193</v>
      </c>
      <c r="O249" s="26" t="s">
        <v>55</v>
      </c>
      <c r="P249" s="26" t="s">
        <v>57</v>
      </c>
      <c r="Q249" s="26" t="s">
        <v>56</v>
      </c>
      <c r="R249" s="26" t="s">
        <v>60</v>
      </c>
      <c r="S249" s="26" t="s">
        <v>57</v>
      </c>
      <c r="T249" s="27"/>
      <c r="U249" s="28" t="s">
        <v>57</v>
      </c>
      <c r="V249" s="29" t="str">
        <f t="shared" si="16"/>
        <v>❌ Disc</v>
      </c>
      <c r="W249" s="70">
        <v>46248</v>
      </c>
      <c r="X249" s="30" t="s">
        <v>55</v>
      </c>
      <c r="Y249" s="30" t="s">
        <v>57</v>
      </c>
      <c r="Z249" s="30" t="s">
        <v>56</v>
      </c>
      <c r="AA249" s="30" t="s">
        <v>60</v>
      </c>
      <c r="AB249" s="30" t="s">
        <v>57</v>
      </c>
      <c r="AC249" s="27"/>
      <c r="AD249" s="31" t="s">
        <v>57</v>
      </c>
      <c r="AE249" s="32" t="str">
        <f t="shared" si="17"/>
        <v>❌ Disc</v>
      </c>
      <c r="AF249" s="33" t="s">
        <v>61</v>
      </c>
      <c r="AG249" s="33" t="s">
        <v>62</v>
      </c>
      <c r="AH249" s="33" t="s">
        <v>57</v>
      </c>
      <c r="AI249" s="33" t="s">
        <v>56</v>
      </c>
      <c r="AJ249" s="33" t="s">
        <v>60</v>
      </c>
      <c r="AK249" s="33" t="s">
        <v>57</v>
      </c>
      <c r="AL249" s="27"/>
      <c r="AM249" s="34" t="s">
        <v>57</v>
      </c>
      <c r="AN249" s="35" t="str">
        <f t="shared" si="18"/>
        <v>❌ Disc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592</v>
      </c>
      <c r="C250" s="41" t="s">
        <v>593</v>
      </c>
      <c r="D250" s="39" t="s">
        <v>210</v>
      </c>
      <c r="E250" s="42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46193</v>
      </c>
      <c r="O250" s="26" t="s">
        <v>55</v>
      </c>
      <c r="P250" s="26" t="s">
        <v>57</v>
      </c>
      <c r="Q250" s="26" t="s">
        <v>56</v>
      </c>
      <c r="R250" s="26" t="s">
        <v>60</v>
      </c>
      <c r="S250" s="26" t="s">
        <v>57</v>
      </c>
      <c r="T250" s="27"/>
      <c r="U250" s="28" t="s">
        <v>57</v>
      </c>
      <c r="V250" s="29" t="str">
        <f t="shared" si="16"/>
        <v>❌ Disc</v>
      </c>
      <c r="W250" s="70">
        <v>46248</v>
      </c>
      <c r="X250" s="30" t="s">
        <v>55</v>
      </c>
      <c r="Y250" s="30" t="s">
        <v>57</v>
      </c>
      <c r="Z250" s="30" t="s">
        <v>56</v>
      </c>
      <c r="AA250" s="30" t="s">
        <v>60</v>
      </c>
      <c r="AB250" s="30" t="s">
        <v>57</v>
      </c>
      <c r="AC250" s="27"/>
      <c r="AD250" s="31" t="s">
        <v>57</v>
      </c>
      <c r="AE250" s="32" t="str">
        <f t="shared" si="17"/>
        <v>❌ Disc</v>
      </c>
      <c r="AF250" s="33" t="s">
        <v>61</v>
      </c>
      <c r="AG250" s="33" t="s">
        <v>62</v>
      </c>
      <c r="AH250" s="33" t="s">
        <v>57</v>
      </c>
      <c r="AI250" s="33" t="s">
        <v>56</v>
      </c>
      <c r="AJ250" s="33" t="s">
        <v>60</v>
      </c>
      <c r="AK250" s="33" t="s">
        <v>57</v>
      </c>
      <c r="AL250" s="27"/>
      <c r="AM250" s="34" t="s">
        <v>57</v>
      </c>
      <c r="AN250" s="35" t="str">
        <f t="shared" si="18"/>
        <v>❌ Disc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594</v>
      </c>
      <c r="C251" s="25" t="s">
        <v>595</v>
      </c>
      <c r="D251" s="23" t="s">
        <v>210</v>
      </c>
      <c r="E251" s="42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596</v>
      </c>
      <c r="L251" s="28" t="s">
        <v>56</v>
      </c>
      <c r="M251" s="29" t="str">
        <f t="shared" si="15"/>
        <v>⚠ Check</v>
      </c>
      <c r="N251" s="42">
        <v>46193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57</v>
      </c>
      <c r="T251" s="27" t="s">
        <v>596</v>
      </c>
      <c r="U251" s="28" t="s">
        <v>56</v>
      </c>
      <c r="V251" s="29" t="str">
        <f t="shared" si="16"/>
        <v>⚠ Check</v>
      </c>
      <c r="W251" s="70">
        <v>46248</v>
      </c>
      <c r="X251" s="30" t="s">
        <v>55</v>
      </c>
      <c r="Y251" s="30" t="s">
        <v>57</v>
      </c>
      <c r="Z251" s="30" t="s">
        <v>56</v>
      </c>
      <c r="AA251" s="30" t="s">
        <v>60</v>
      </c>
      <c r="AB251" s="30" t="s">
        <v>56</v>
      </c>
      <c r="AC251" s="27"/>
      <c r="AD251" s="31" t="s">
        <v>57</v>
      </c>
      <c r="AE251" s="32" t="str">
        <f t="shared" si="17"/>
        <v>❌ Disc</v>
      </c>
      <c r="AF251" s="33" t="s">
        <v>61</v>
      </c>
      <c r="AG251" s="33" t="s">
        <v>62</v>
      </c>
      <c r="AH251" s="33" t="s">
        <v>56</v>
      </c>
      <c r="AI251" s="33" t="s">
        <v>56</v>
      </c>
      <c r="AJ251" s="33" t="s">
        <v>58</v>
      </c>
      <c r="AK251" s="33" t="s">
        <v>56</v>
      </c>
      <c r="AL251" s="27"/>
      <c r="AM251" s="34" t="s">
        <v>57</v>
      </c>
      <c r="AN251" s="35" t="str">
        <f t="shared" si="18"/>
        <v>❌ Disc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597</v>
      </c>
      <c r="C252" s="41" t="s">
        <v>598</v>
      </c>
      <c r="D252" s="39" t="s">
        <v>210</v>
      </c>
      <c r="E252" s="42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46193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 t="s">
        <v>61</v>
      </c>
      <c r="AG252" s="33" t="s">
        <v>55</v>
      </c>
      <c r="AH252" s="33" t="s">
        <v>56</v>
      </c>
      <c r="AI252" s="33" t="s">
        <v>57</v>
      </c>
      <c r="AJ252" s="33" t="s">
        <v>58</v>
      </c>
      <c r="AK252" s="33" t="s">
        <v>56</v>
      </c>
      <c r="AL252" s="27"/>
      <c r="AM252" s="34" t="s">
        <v>57</v>
      </c>
      <c r="AN252" s="35" t="str">
        <f t="shared" si="18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599</v>
      </c>
      <c r="C253" s="25" t="s">
        <v>600</v>
      </c>
      <c r="D253" s="23" t="s">
        <v>210</v>
      </c>
      <c r="E253" s="42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46193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57</v>
      </c>
      <c r="Z253" s="30" t="s">
        <v>56</v>
      </c>
      <c r="AA253" s="30" t="s">
        <v>60</v>
      </c>
      <c r="AB253" s="30" t="s">
        <v>57</v>
      </c>
      <c r="AC253" s="27"/>
      <c r="AD253" s="31" t="s">
        <v>57</v>
      </c>
      <c r="AE253" s="32" t="str">
        <f t="shared" si="17"/>
        <v>❌ Disc</v>
      </c>
      <c r="AF253" s="33" t="s">
        <v>61</v>
      </c>
      <c r="AG253" s="33" t="s">
        <v>62</v>
      </c>
      <c r="AH253" s="33" t="s">
        <v>57</v>
      </c>
      <c r="AI253" s="33" t="s">
        <v>56</v>
      </c>
      <c r="AJ253" s="33" t="s">
        <v>60</v>
      </c>
      <c r="AK253" s="33" t="s">
        <v>57</v>
      </c>
      <c r="AL253" s="27"/>
      <c r="AM253" s="34" t="s">
        <v>57</v>
      </c>
      <c r="AN253" s="35" t="str">
        <f t="shared" si="18"/>
        <v>❌ Disc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601</v>
      </c>
      <c r="C254" s="41" t="s">
        <v>602</v>
      </c>
      <c r="D254" s="39" t="s">
        <v>210</v>
      </c>
      <c r="E254" s="42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549</v>
      </c>
      <c r="L254" s="28" t="s">
        <v>56</v>
      </c>
      <c r="M254" s="29" t="str">
        <f t="shared" si="15"/>
        <v>⚠ Check</v>
      </c>
      <c r="N254" s="42">
        <v>46193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 t="s">
        <v>61</v>
      </c>
      <c r="AG254" s="33" t="s">
        <v>55</v>
      </c>
      <c r="AH254" s="33" t="s">
        <v>56</v>
      </c>
      <c r="AI254" s="33" t="s">
        <v>57</v>
      </c>
      <c r="AJ254" s="33" t="s">
        <v>58</v>
      </c>
      <c r="AK254" s="33" t="s">
        <v>56</v>
      </c>
      <c r="AL254" s="27"/>
      <c r="AM254" s="34" t="s">
        <v>57</v>
      </c>
      <c r="AN254" s="35" t="str">
        <f t="shared" si="18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603</v>
      </c>
      <c r="C255" s="25" t="s">
        <v>604</v>
      </c>
      <c r="D255" s="23" t="s">
        <v>210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46193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 t="s">
        <v>61</v>
      </c>
      <c r="AG255" s="33" t="s">
        <v>55</v>
      </c>
      <c r="AH255" s="33" t="s">
        <v>56</v>
      </c>
      <c r="AI255" s="33" t="s">
        <v>57</v>
      </c>
      <c r="AJ255" s="33" t="s">
        <v>58</v>
      </c>
      <c r="AK255" s="33" t="s">
        <v>56</v>
      </c>
      <c r="AL255" s="27"/>
      <c r="AM255" s="34" t="s">
        <v>57</v>
      </c>
      <c r="AN255" s="35" t="str">
        <f t="shared" si="18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605</v>
      </c>
      <c r="C256" s="41" t="s">
        <v>606</v>
      </c>
      <c r="D256" s="39" t="s">
        <v>210</v>
      </c>
      <c r="E256" s="42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46193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 t="s">
        <v>61</v>
      </c>
      <c r="AG256" s="33" t="s">
        <v>55</v>
      </c>
      <c r="AH256" s="33" t="s">
        <v>56</v>
      </c>
      <c r="AI256" s="33" t="s">
        <v>57</v>
      </c>
      <c r="AJ256" s="33" t="s">
        <v>58</v>
      </c>
      <c r="AK256" s="33" t="s">
        <v>56</v>
      </c>
      <c r="AL256" s="27"/>
      <c r="AM256" s="34" t="s">
        <v>57</v>
      </c>
      <c r="AN256" s="35" t="str">
        <f t="shared" si="18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607</v>
      </c>
      <c r="C257" s="25" t="s">
        <v>608</v>
      </c>
      <c r="D257" s="23" t="s">
        <v>210</v>
      </c>
      <c r="E257" s="42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46193</v>
      </c>
      <c r="O257" s="26" t="s">
        <v>55</v>
      </c>
      <c r="P257" s="26" t="s">
        <v>57</v>
      </c>
      <c r="Q257" s="26" t="s">
        <v>56</v>
      </c>
      <c r="R257" s="26" t="s">
        <v>60</v>
      </c>
      <c r="S257" s="26" t="s">
        <v>57</v>
      </c>
      <c r="T257" s="27"/>
      <c r="U257" s="28" t="s">
        <v>57</v>
      </c>
      <c r="V257" s="29" t="str">
        <f t="shared" si="16"/>
        <v>❌ Disc</v>
      </c>
      <c r="W257" s="70">
        <v>46248</v>
      </c>
      <c r="X257" s="30" t="s">
        <v>55</v>
      </c>
      <c r="Y257" s="30" t="s">
        <v>57</v>
      </c>
      <c r="Z257" s="30" t="s">
        <v>56</v>
      </c>
      <c r="AA257" s="30" t="s">
        <v>60</v>
      </c>
      <c r="AB257" s="30" t="s">
        <v>57</v>
      </c>
      <c r="AC257" s="27"/>
      <c r="AD257" s="31" t="s">
        <v>57</v>
      </c>
      <c r="AE257" s="32" t="str">
        <f t="shared" si="17"/>
        <v>❌ Disc</v>
      </c>
      <c r="AF257" s="33" t="s">
        <v>61</v>
      </c>
      <c r="AG257" s="33" t="s">
        <v>62</v>
      </c>
      <c r="AH257" s="33" t="s">
        <v>57</v>
      </c>
      <c r="AI257" s="33" t="s">
        <v>56</v>
      </c>
      <c r="AJ257" s="33" t="s">
        <v>60</v>
      </c>
      <c r="AK257" s="33" t="s">
        <v>57</v>
      </c>
      <c r="AL257" s="27"/>
      <c r="AM257" s="34" t="s">
        <v>57</v>
      </c>
      <c r="AN257" s="35" t="str">
        <f t="shared" si="18"/>
        <v>❌ Disc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609</v>
      </c>
      <c r="C258" s="41" t="s">
        <v>610</v>
      </c>
      <c r="D258" s="39" t="s">
        <v>210</v>
      </c>
      <c r="E258" s="42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46193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 t="s">
        <v>61</v>
      </c>
      <c r="AG258" s="33" t="s">
        <v>55</v>
      </c>
      <c r="AH258" s="33" t="s">
        <v>56</v>
      </c>
      <c r="AI258" s="33" t="s">
        <v>57</v>
      </c>
      <c r="AJ258" s="33" t="s">
        <v>58</v>
      </c>
      <c r="AK258" s="33" t="s">
        <v>56</v>
      </c>
      <c r="AL258" s="27"/>
      <c r="AM258" s="34" t="s">
        <v>57</v>
      </c>
      <c r="AN258" s="35" t="str">
        <f t="shared" si="18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611</v>
      </c>
      <c r="C259" s="25" t="s">
        <v>612</v>
      </c>
      <c r="D259" s="23" t="s">
        <v>210</v>
      </c>
      <c r="E259" s="42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77</v>
      </c>
      <c r="L259" s="28" t="s">
        <v>56</v>
      </c>
      <c r="M259" s="29" t="str">
        <f t="shared" si="15"/>
        <v>⚠ Check</v>
      </c>
      <c r="N259" s="42">
        <v>46193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57</v>
      </c>
      <c r="T259" s="27" t="s">
        <v>77</v>
      </c>
      <c r="U259" s="28" t="s">
        <v>56</v>
      </c>
      <c r="V259" s="29" t="str">
        <f t="shared" si="16"/>
        <v>⚠ Check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56</v>
      </c>
      <c r="AE259" s="32" t="str">
        <f t="shared" si="17"/>
        <v>✓ OK</v>
      </c>
      <c r="AF259" s="33" t="s">
        <v>61</v>
      </c>
      <c r="AG259" s="33" t="s">
        <v>55</v>
      </c>
      <c r="AH259" s="33" t="s">
        <v>56</v>
      </c>
      <c r="AI259" s="33" t="s">
        <v>57</v>
      </c>
      <c r="AJ259" s="33" t="s">
        <v>58</v>
      </c>
      <c r="AK259" s="33" t="s">
        <v>56</v>
      </c>
      <c r="AL259" s="27"/>
      <c r="AM259" s="34" t="s">
        <v>57</v>
      </c>
      <c r="AN259" s="35" t="str">
        <f t="shared" si="18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613</v>
      </c>
      <c r="C260" s="41" t="s">
        <v>614</v>
      </c>
      <c r="D260" s="39" t="s">
        <v>210</v>
      </c>
      <c r="E260" s="42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615</v>
      </c>
      <c r="L260" s="28" t="s">
        <v>56</v>
      </c>
      <c r="M260" s="29" t="str">
        <f t="shared" si="15"/>
        <v>⚠ Check</v>
      </c>
      <c r="N260" s="42">
        <v>46193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57</v>
      </c>
      <c r="T260" s="27" t="s">
        <v>615</v>
      </c>
      <c r="U260" s="28" t="s">
        <v>56</v>
      </c>
      <c r="V260" s="29" t="str">
        <f t="shared" si="16"/>
        <v>⚠ Check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57</v>
      </c>
      <c r="AC260" s="27" t="s">
        <v>615</v>
      </c>
      <c r="AD260" s="31" t="s">
        <v>56</v>
      </c>
      <c r="AE260" s="32" t="str">
        <f t="shared" si="17"/>
        <v>⚠ Check</v>
      </c>
      <c r="AF260" s="33" t="s">
        <v>61</v>
      </c>
      <c r="AG260" s="33" t="s">
        <v>55</v>
      </c>
      <c r="AH260" s="33" t="s">
        <v>56</v>
      </c>
      <c r="AI260" s="33" t="s">
        <v>57</v>
      </c>
      <c r="AJ260" s="33" t="s">
        <v>58</v>
      </c>
      <c r="AK260" s="33" t="s">
        <v>56</v>
      </c>
      <c r="AL260" s="27"/>
      <c r="AM260" s="34" t="s">
        <v>57</v>
      </c>
      <c r="AN260" s="35" t="str">
        <f t="shared" si="18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616</v>
      </c>
      <c r="C261" s="25" t="s">
        <v>617</v>
      </c>
      <c r="D261" s="23" t="s">
        <v>210</v>
      </c>
      <c r="E261" s="42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42">
        <v>46193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6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296" si="22">IF(W261="","",IF(Z261="Yes","❌ Disc",IF(Y261="No","⚠ Missing",IF(AB261="Yes","✓ OK","⚠ Check"))))</f>
        <v>✓ OK</v>
      </c>
      <c r="AF261" s="33" t="s">
        <v>61</v>
      </c>
      <c r="AG261" s="33" t="s">
        <v>55</v>
      </c>
      <c r="AH261" s="33" t="s">
        <v>56</v>
      </c>
      <c r="AI261" s="33" t="s">
        <v>57</v>
      </c>
      <c r="AJ261" s="33" t="s">
        <v>58</v>
      </c>
      <c r="AK261" s="33" t="s">
        <v>56</v>
      </c>
      <c r="AL261" s="27"/>
      <c r="AM261" s="34" t="s">
        <v>57</v>
      </c>
      <c r="AN261" s="35" t="str">
        <f t="shared" ref="AN261:AN296" si="23">IF(AF261="","",IF(AI261="Yes","❌ Disc",IF(AH261="No","⚠ Missing",IF(AK261="Yes","✓ OK","⚠ Check"))))</f>
        <v>✓ OK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618</v>
      </c>
      <c r="C262" s="41" t="s">
        <v>619</v>
      </c>
      <c r="D262" s="39" t="s">
        <v>210</v>
      </c>
      <c r="E262" s="42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620</v>
      </c>
      <c r="L262" s="28" t="s">
        <v>56</v>
      </c>
      <c r="M262" s="29" t="str">
        <f t="shared" si="20"/>
        <v>⚠ Check</v>
      </c>
      <c r="N262" s="42">
        <v>46193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57</v>
      </c>
      <c r="T262" s="27" t="s">
        <v>621</v>
      </c>
      <c r="U262" s="28" t="s">
        <v>56</v>
      </c>
      <c r="V262" s="29" t="str">
        <f t="shared" si="21"/>
        <v>⚠ Check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57</v>
      </c>
      <c r="AC262" s="27" t="s">
        <v>621</v>
      </c>
      <c r="AD262" s="31" t="s">
        <v>56</v>
      </c>
      <c r="AE262" s="32" t="str">
        <f t="shared" si="22"/>
        <v>⚠ Check</v>
      </c>
      <c r="AF262" s="33" t="s">
        <v>61</v>
      </c>
      <c r="AG262" s="33" t="s">
        <v>55</v>
      </c>
      <c r="AH262" s="33" t="s">
        <v>56</v>
      </c>
      <c r="AI262" s="33" t="s">
        <v>57</v>
      </c>
      <c r="AJ262" s="33" t="s">
        <v>58</v>
      </c>
      <c r="AK262" s="33" t="s">
        <v>56</v>
      </c>
      <c r="AL262" s="27" t="s">
        <v>621</v>
      </c>
      <c r="AM262" s="34" t="s">
        <v>57</v>
      </c>
      <c r="AN262" s="35" t="str">
        <f t="shared" si="23"/>
        <v>✓ OK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622</v>
      </c>
      <c r="C263" s="25" t="s">
        <v>623</v>
      </c>
      <c r="D263" s="23" t="s">
        <v>210</v>
      </c>
      <c r="E263" s="42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624</v>
      </c>
      <c r="L263" s="28" t="s">
        <v>56</v>
      </c>
      <c r="M263" s="29" t="str">
        <f t="shared" si="20"/>
        <v>⚠ Check</v>
      </c>
      <c r="N263" s="42">
        <v>46193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 t="s">
        <v>61</v>
      </c>
      <c r="AG263" s="33" t="s">
        <v>55</v>
      </c>
      <c r="AH263" s="33" t="s">
        <v>56</v>
      </c>
      <c r="AI263" s="33" t="s">
        <v>57</v>
      </c>
      <c r="AJ263" s="33" t="s">
        <v>58</v>
      </c>
      <c r="AK263" s="33" t="s">
        <v>56</v>
      </c>
      <c r="AL263" s="27"/>
      <c r="AM263" s="34" t="s">
        <v>57</v>
      </c>
      <c r="AN263" s="35" t="str">
        <f t="shared" si="23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625</v>
      </c>
      <c r="C264" s="41" t="s">
        <v>626</v>
      </c>
      <c r="D264" s="39" t="s">
        <v>210</v>
      </c>
      <c r="E264" s="42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627</v>
      </c>
      <c r="L264" s="28" t="s">
        <v>56</v>
      </c>
      <c r="M264" s="29" t="str">
        <f t="shared" si="20"/>
        <v>⚠ Check</v>
      </c>
      <c r="N264" s="42">
        <v>46193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57</v>
      </c>
      <c r="T264" s="27" t="s">
        <v>627</v>
      </c>
      <c r="U264" s="28" t="s">
        <v>56</v>
      </c>
      <c r="V264" s="29" t="str">
        <f t="shared" si="21"/>
        <v>⚠ Check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56</v>
      </c>
      <c r="AE264" s="32" t="str">
        <f t="shared" si="22"/>
        <v>✓ OK</v>
      </c>
      <c r="AF264" s="33" t="s">
        <v>61</v>
      </c>
      <c r="AG264" s="33" t="s">
        <v>55</v>
      </c>
      <c r="AH264" s="33" t="s">
        <v>56</v>
      </c>
      <c r="AI264" s="33" t="s">
        <v>57</v>
      </c>
      <c r="AJ264" s="33" t="s">
        <v>58</v>
      </c>
      <c r="AK264" s="33" t="s">
        <v>56</v>
      </c>
      <c r="AL264" s="27"/>
      <c r="AM264" s="34" t="s">
        <v>57</v>
      </c>
      <c r="AN264" s="35" t="str">
        <f t="shared" si="23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628</v>
      </c>
      <c r="C265" s="25" t="s">
        <v>629</v>
      </c>
      <c r="D265" s="23" t="s">
        <v>210</v>
      </c>
      <c r="E265" s="42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46193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 t="s">
        <v>61</v>
      </c>
      <c r="AG265" s="33" t="s">
        <v>55</v>
      </c>
      <c r="AH265" s="33" t="s">
        <v>56</v>
      </c>
      <c r="AI265" s="33" t="s">
        <v>57</v>
      </c>
      <c r="AJ265" s="33" t="s">
        <v>58</v>
      </c>
      <c r="AK265" s="33" t="s">
        <v>56</v>
      </c>
      <c r="AL265" s="27"/>
      <c r="AM265" s="34" t="s">
        <v>57</v>
      </c>
      <c r="AN265" s="35" t="str">
        <f t="shared" si="23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630</v>
      </c>
      <c r="C266" s="41" t="s">
        <v>631</v>
      </c>
      <c r="D266" s="39" t="s">
        <v>210</v>
      </c>
      <c r="E266" s="42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46193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 t="s">
        <v>61</v>
      </c>
      <c r="AG266" s="33" t="s">
        <v>55</v>
      </c>
      <c r="AH266" s="33" t="s">
        <v>56</v>
      </c>
      <c r="AI266" s="33" t="s">
        <v>57</v>
      </c>
      <c r="AJ266" s="33" t="s">
        <v>58</v>
      </c>
      <c r="AK266" s="33" t="s">
        <v>56</v>
      </c>
      <c r="AL266" s="27"/>
      <c r="AM266" s="34" t="s">
        <v>57</v>
      </c>
      <c r="AN266" s="35" t="str">
        <f t="shared" si="23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632</v>
      </c>
      <c r="C267" s="25" t="s">
        <v>633</v>
      </c>
      <c r="D267" s="23" t="s">
        <v>210</v>
      </c>
      <c r="E267" s="42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46193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 t="s">
        <v>61</v>
      </c>
      <c r="AG267" s="33" t="s">
        <v>55</v>
      </c>
      <c r="AH267" s="33" t="s">
        <v>56</v>
      </c>
      <c r="AI267" s="33" t="s">
        <v>57</v>
      </c>
      <c r="AJ267" s="33" t="s">
        <v>58</v>
      </c>
      <c r="AK267" s="33" t="s">
        <v>56</v>
      </c>
      <c r="AL267" s="27"/>
      <c r="AM267" s="34" t="s">
        <v>57</v>
      </c>
      <c r="AN267" s="35" t="str">
        <f t="shared" si="23"/>
        <v>✓ OK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634</v>
      </c>
      <c r="C268" s="41" t="s">
        <v>635</v>
      </c>
      <c r="D268" s="39" t="s">
        <v>210</v>
      </c>
      <c r="E268" s="42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46193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 t="s">
        <v>61</v>
      </c>
      <c r="AG268" s="33" t="s">
        <v>55</v>
      </c>
      <c r="AH268" s="33" t="s">
        <v>56</v>
      </c>
      <c r="AI268" s="33" t="s">
        <v>57</v>
      </c>
      <c r="AJ268" s="33" t="s">
        <v>58</v>
      </c>
      <c r="AK268" s="33" t="s">
        <v>56</v>
      </c>
      <c r="AL268" s="27"/>
      <c r="AM268" s="34" t="s">
        <v>57</v>
      </c>
      <c r="AN268" s="35" t="str">
        <f t="shared" si="23"/>
        <v>✓ OK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636</v>
      </c>
      <c r="C269" s="25" t="s">
        <v>637</v>
      </c>
      <c r="D269" s="23" t="s">
        <v>210</v>
      </c>
      <c r="E269" s="42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46193</v>
      </c>
      <c r="O269" s="26" t="s">
        <v>55</v>
      </c>
      <c r="P269" s="26" t="s">
        <v>57</v>
      </c>
      <c r="Q269" s="26" t="s">
        <v>56</v>
      </c>
      <c r="R269" s="26" t="s">
        <v>60</v>
      </c>
      <c r="S269" s="26" t="s">
        <v>57</v>
      </c>
      <c r="T269" s="27"/>
      <c r="U269" s="28" t="s">
        <v>57</v>
      </c>
      <c r="V269" s="29" t="str">
        <f t="shared" si="21"/>
        <v>❌ Disc</v>
      </c>
      <c r="W269" s="70">
        <v>46248</v>
      </c>
      <c r="X269" s="30" t="s">
        <v>55</v>
      </c>
      <c r="Y269" s="30" t="s">
        <v>57</v>
      </c>
      <c r="Z269" s="30" t="s">
        <v>56</v>
      </c>
      <c r="AA269" s="30" t="s">
        <v>60</v>
      </c>
      <c r="AB269" s="30" t="s">
        <v>57</v>
      </c>
      <c r="AC269" s="27"/>
      <c r="AD269" s="31" t="s">
        <v>57</v>
      </c>
      <c r="AE269" s="32" t="str">
        <f t="shared" si="22"/>
        <v>❌ Disc</v>
      </c>
      <c r="AF269" s="33" t="s">
        <v>61</v>
      </c>
      <c r="AG269" s="33" t="s">
        <v>62</v>
      </c>
      <c r="AH269" s="33" t="s">
        <v>57</v>
      </c>
      <c r="AI269" s="33" t="s">
        <v>56</v>
      </c>
      <c r="AJ269" s="33" t="s">
        <v>60</v>
      </c>
      <c r="AK269" s="33" t="s">
        <v>57</v>
      </c>
      <c r="AL269" s="27"/>
      <c r="AM269" s="34" t="s">
        <v>57</v>
      </c>
      <c r="AN269" s="35" t="str">
        <f t="shared" si="23"/>
        <v>❌ Disc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638</v>
      </c>
      <c r="C270" s="41" t="s">
        <v>639</v>
      </c>
      <c r="D270" s="39" t="s">
        <v>210</v>
      </c>
      <c r="E270" s="42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46193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46252</v>
      </c>
      <c r="X270" s="30" t="s">
        <v>55</v>
      </c>
      <c r="Y270" s="30" t="s">
        <v>57</v>
      </c>
      <c r="Z270" s="30" t="s">
        <v>56</v>
      </c>
      <c r="AA270" s="30" t="s">
        <v>60</v>
      </c>
      <c r="AB270" s="30" t="s">
        <v>57</v>
      </c>
      <c r="AC270" s="27"/>
      <c r="AD270" s="31" t="s">
        <v>57</v>
      </c>
      <c r="AE270" s="32" t="str">
        <f t="shared" si="22"/>
        <v>❌ Disc</v>
      </c>
      <c r="AF270" s="33" t="s">
        <v>61</v>
      </c>
      <c r="AG270" s="33" t="s">
        <v>62</v>
      </c>
      <c r="AH270" s="33" t="s">
        <v>57</v>
      </c>
      <c r="AI270" s="33" t="s">
        <v>56</v>
      </c>
      <c r="AJ270" s="33" t="s">
        <v>60</v>
      </c>
      <c r="AK270" s="33" t="s">
        <v>57</v>
      </c>
      <c r="AL270" s="27"/>
      <c r="AM270" s="34" t="s">
        <v>57</v>
      </c>
      <c r="AN270" s="35" t="str">
        <f t="shared" si="23"/>
        <v>❌ Disc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640</v>
      </c>
      <c r="C271" s="25" t="s">
        <v>641</v>
      </c>
      <c r="D271" s="23" t="s">
        <v>210</v>
      </c>
      <c r="E271" s="42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46193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 t="s">
        <v>61</v>
      </c>
      <c r="AG271" s="33" t="s">
        <v>55</v>
      </c>
      <c r="AH271" s="33" t="s">
        <v>56</v>
      </c>
      <c r="AI271" s="33" t="s">
        <v>57</v>
      </c>
      <c r="AJ271" s="33" t="s">
        <v>58</v>
      </c>
      <c r="AK271" s="33" t="s">
        <v>56</v>
      </c>
      <c r="AL271" s="27"/>
      <c r="AM271" s="34" t="s">
        <v>57</v>
      </c>
      <c r="AN271" s="35" t="str">
        <f t="shared" si="23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642</v>
      </c>
      <c r="C272" s="41" t="s">
        <v>643</v>
      </c>
      <c r="D272" s="39" t="s">
        <v>210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46193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 t="s">
        <v>61</v>
      </c>
      <c r="AG272" s="33" t="s">
        <v>55</v>
      </c>
      <c r="AH272" s="33" t="s">
        <v>56</v>
      </c>
      <c r="AI272" s="33" t="s">
        <v>57</v>
      </c>
      <c r="AJ272" s="33" t="s">
        <v>58</v>
      </c>
      <c r="AK272" s="33" t="s">
        <v>56</v>
      </c>
      <c r="AL272" s="27"/>
      <c r="AM272" s="34" t="s">
        <v>57</v>
      </c>
      <c r="AN272" s="35" t="str">
        <f t="shared" si="23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644</v>
      </c>
      <c r="C273" s="25" t="s">
        <v>645</v>
      </c>
      <c r="D273" s="23" t="s">
        <v>210</v>
      </c>
      <c r="E273" s="42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46193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 t="s">
        <v>61</v>
      </c>
      <c r="AG273" s="33" t="s">
        <v>55</v>
      </c>
      <c r="AH273" s="33" t="s">
        <v>56</v>
      </c>
      <c r="AI273" s="33" t="s">
        <v>57</v>
      </c>
      <c r="AJ273" s="33" t="s">
        <v>58</v>
      </c>
      <c r="AK273" s="33" t="s">
        <v>56</v>
      </c>
      <c r="AL273" s="27"/>
      <c r="AM273" s="34" t="s">
        <v>57</v>
      </c>
      <c r="AN273" s="35" t="str">
        <f t="shared" si="23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646</v>
      </c>
      <c r="C274" s="41" t="s">
        <v>647</v>
      </c>
      <c r="D274" s="39" t="s">
        <v>210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46193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 t="s">
        <v>61</v>
      </c>
      <c r="AG274" s="33" t="s">
        <v>55</v>
      </c>
      <c r="AH274" s="33" t="s">
        <v>56</v>
      </c>
      <c r="AI274" s="33" t="s">
        <v>57</v>
      </c>
      <c r="AJ274" s="33" t="s">
        <v>58</v>
      </c>
      <c r="AK274" s="33" t="s">
        <v>56</v>
      </c>
      <c r="AL274" s="27"/>
      <c r="AM274" s="34" t="s">
        <v>57</v>
      </c>
      <c r="AN274" s="35" t="str">
        <f t="shared" si="23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648</v>
      </c>
      <c r="C275" s="25" t="s">
        <v>649</v>
      </c>
      <c r="D275" s="23" t="s">
        <v>210</v>
      </c>
      <c r="E275" s="42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650</v>
      </c>
      <c r="L275" s="28" t="s">
        <v>56</v>
      </c>
      <c r="M275" s="29" t="str">
        <f t="shared" si="20"/>
        <v>⚠ Check</v>
      </c>
      <c r="N275" s="42">
        <v>46193</v>
      </c>
      <c r="O275" s="26" t="s">
        <v>55</v>
      </c>
      <c r="P275" s="26" t="s">
        <v>57</v>
      </c>
      <c r="Q275" s="26" t="s">
        <v>56</v>
      </c>
      <c r="R275" s="26" t="s">
        <v>60</v>
      </c>
      <c r="S275" s="26" t="s">
        <v>57</v>
      </c>
      <c r="T275" s="27"/>
      <c r="U275" s="28" t="s">
        <v>57</v>
      </c>
      <c r="V275" s="29" t="str">
        <f t="shared" si="21"/>
        <v>❌ Disc</v>
      </c>
      <c r="W275" s="70">
        <v>46248</v>
      </c>
      <c r="X275" s="30" t="s">
        <v>55</v>
      </c>
      <c r="Y275" s="30" t="s">
        <v>57</v>
      </c>
      <c r="Z275" s="30" t="s">
        <v>56</v>
      </c>
      <c r="AA275" s="30" t="s">
        <v>60</v>
      </c>
      <c r="AB275" s="30" t="s">
        <v>57</v>
      </c>
      <c r="AC275" s="27"/>
      <c r="AD275" s="31" t="s">
        <v>57</v>
      </c>
      <c r="AE275" s="32" t="str">
        <f t="shared" si="22"/>
        <v>❌ Disc</v>
      </c>
      <c r="AF275" s="33" t="s">
        <v>61</v>
      </c>
      <c r="AG275" s="33" t="s">
        <v>62</v>
      </c>
      <c r="AH275" s="33" t="s">
        <v>56</v>
      </c>
      <c r="AI275" s="33" t="s">
        <v>56</v>
      </c>
      <c r="AJ275" s="33" t="s">
        <v>58</v>
      </c>
      <c r="AK275" s="33" t="s">
        <v>56</v>
      </c>
      <c r="AL275" s="27"/>
      <c r="AM275" s="34" t="s">
        <v>57</v>
      </c>
      <c r="AN275" s="35" t="str">
        <f t="shared" si="23"/>
        <v>❌ Disc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651</v>
      </c>
      <c r="C276" s="41" t="s">
        <v>652</v>
      </c>
      <c r="D276" s="39" t="s">
        <v>210</v>
      </c>
      <c r="E276" s="42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303</v>
      </c>
      <c r="L276" s="28" t="s">
        <v>56</v>
      </c>
      <c r="M276" s="29" t="str">
        <f t="shared" si="20"/>
        <v>⚠ Check</v>
      </c>
      <c r="N276" s="42">
        <v>46193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57</v>
      </c>
      <c r="T276" s="27" t="s">
        <v>303</v>
      </c>
      <c r="U276" s="28" t="s">
        <v>56</v>
      </c>
      <c r="V276" s="29" t="str">
        <f t="shared" si="21"/>
        <v>⚠ Check</v>
      </c>
      <c r="W276" s="70">
        <v>46252</v>
      </c>
      <c r="X276" s="30" t="s">
        <v>55</v>
      </c>
      <c r="Y276" s="30" t="s">
        <v>57</v>
      </c>
      <c r="Z276" s="30" t="s">
        <v>56</v>
      </c>
      <c r="AA276" s="30" t="s">
        <v>60</v>
      </c>
      <c r="AB276" s="30" t="s">
        <v>57</v>
      </c>
      <c r="AC276" s="27"/>
      <c r="AD276" s="31" t="s">
        <v>57</v>
      </c>
      <c r="AE276" s="32" t="str">
        <f t="shared" si="22"/>
        <v>❌ Disc</v>
      </c>
      <c r="AF276" s="33" t="s">
        <v>61</v>
      </c>
      <c r="AG276" s="33" t="s">
        <v>62</v>
      </c>
      <c r="AH276" s="33" t="s">
        <v>56</v>
      </c>
      <c r="AI276" s="33" t="s">
        <v>56</v>
      </c>
      <c r="AJ276" s="33" t="s">
        <v>58</v>
      </c>
      <c r="AK276" s="33" t="s">
        <v>56</v>
      </c>
      <c r="AL276" s="27"/>
      <c r="AM276" s="34" t="s">
        <v>57</v>
      </c>
      <c r="AN276" s="35" t="str">
        <f t="shared" si="23"/>
        <v>❌ Disc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653</v>
      </c>
      <c r="C277" s="25" t="s">
        <v>654</v>
      </c>
      <c r="D277" s="23" t="s">
        <v>210</v>
      </c>
      <c r="E277" s="42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46193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 t="s">
        <v>61</v>
      </c>
      <c r="AG277" s="33" t="s">
        <v>55</v>
      </c>
      <c r="AH277" s="33" t="s">
        <v>56</v>
      </c>
      <c r="AI277" s="33" t="s">
        <v>57</v>
      </c>
      <c r="AJ277" s="33" t="s">
        <v>58</v>
      </c>
      <c r="AK277" s="33" t="s">
        <v>56</v>
      </c>
      <c r="AL277" s="27"/>
      <c r="AM277" s="34" t="s">
        <v>57</v>
      </c>
      <c r="AN277" s="35" t="str">
        <f t="shared" si="23"/>
        <v>✓ OK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655</v>
      </c>
      <c r="C278" s="41" t="s">
        <v>656</v>
      </c>
      <c r="D278" s="39" t="s">
        <v>210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46193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 t="s">
        <v>61</v>
      </c>
      <c r="AG278" s="33" t="s">
        <v>55</v>
      </c>
      <c r="AH278" s="33" t="s">
        <v>56</v>
      </c>
      <c r="AI278" s="33" t="s">
        <v>57</v>
      </c>
      <c r="AJ278" s="33" t="s">
        <v>58</v>
      </c>
      <c r="AK278" s="33" t="s">
        <v>56</v>
      </c>
      <c r="AL278" s="27"/>
      <c r="AM278" s="34" t="s">
        <v>57</v>
      </c>
      <c r="AN278" s="35" t="str">
        <f t="shared" si="23"/>
        <v>✓ OK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657</v>
      </c>
      <c r="C279" s="25" t="s">
        <v>658</v>
      </c>
      <c r="D279" s="23" t="s">
        <v>210</v>
      </c>
      <c r="E279" s="42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46193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 t="s">
        <v>61</v>
      </c>
      <c r="AG279" s="33" t="s">
        <v>55</v>
      </c>
      <c r="AH279" s="33" t="s">
        <v>56</v>
      </c>
      <c r="AI279" s="33" t="s">
        <v>57</v>
      </c>
      <c r="AJ279" s="33" t="s">
        <v>58</v>
      </c>
      <c r="AK279" s="33" t="s">
        <v>56</v>
      </c>
      <c r="AL279" s="27"/>
      <c r="AM279" s="34" t="s">
        <v>57</v>
      </c>
      <c r="AN279" s="35" t="str">
        <f t="shared" si="23"/>
        <v>✓ OK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659</v>
      </c>
      <c r="C280" s="41" t="s">
        <v>660</v>
      </c>
      <c r="D280" s="39" t="s">
        <v>210</v>
      </c>
      <c r="E280" s="42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46193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 t="s">
        <v>61</v>
      </c>
      <c r="AG280" s="33" t="s">
        <v>55</v>
      </c>
      <c r="AH280" s="33" t="s">
        <v>56</v>
      </c>
      <c r="AI280" s="33" t="s">
        <v>57</v>
      </c>
      <c r="AJ280" s="33" t="s">
        <v>58</v>
      </c>
      <c r="AK280" s="33" t="s">
        <v>56</v>
      </c>
      <c r="AL280" s="27"/>
      <c r="AM280" s="34" t="s">
        <v>57</v>
      </c>
      <c r="AN280" s="35" t="str">
        <f t="shared" si="23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661</v>
      </c>
      <c r="C281" s="25" t="s">
        <v>662</v>
      </c>
      <c r="D281" s="23" t="s">
        <v>210</v>
      </c>
      <c r="E281" s="42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46193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 t="s">
        <v>61</v>
      </c>
      <c r="AG281" s="33" t="s">
        <v>55</v>
      </c>
      <c r="AH281" s="33" t="s">
        <v>56</v>
      </c>
      <c r="AI281" s="33" t="s">
        <v>57</v>
      </c>
      <c r="AJ281" s="33" t="s">
        <v>58</v>
      </c>
      <c r="AK281" s="33" t="s">
        <v>56</v>
      </c>
      <c r="AL281" s="27"/>
      <c r="AM281" s="34" t="s">
        <v>57</v>
      </c>
      <c r="AN281" s="35" t="str">
        <f t="shared" si="23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663</v>
      </c>
      <c r="C282" s="41" t="s">
        <v>664</v>
      </c>
      <c r="D282" s="39" t="s">
        <v>210</v>
      </c>
      <c r="E282" s="42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46193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 t="s">
        <v>61</v>
      </c>
      <c r="AG282" s="33" t="s">
        <v>55</v>
      </c>
      <c r="AH282" s="33" t="s">
        <v>56</v>
      </c>
      <c r="AI282" s="33" t="s">
        <v>57</v>
      </c>
      <c r="AJ282" s="33" t="s">
        <v>58</v>
      </c>
      <c r="AK282" s="33" t="s">
        <v>56</v>
      </c>
      <c r="AL282" s="27"/>
      <c r="AM282" s="34" t="s">
        <v>57</v>
      </c>
      <c r="AN282" s="35" t="str">
        <f t="shared" si="23"/>
        <v>✓ OK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665</v>
      </c>
      <c r="C283" s="25" t="s">
        <v>666</v>
      </c>
      <c r="D283" s="23" t="s">
        <v>210</v>
      </c>
      <c r="E283" s="42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77</v>
      </c>
      <c r="L283" s="28" t="s">
        <v>56</v>
      </c>
      <c r="M283" s="29" t="str">
        <f t="shared" si="20"/>
        <v>⚠ Check</v>
      </c>
      <c r="N283" s="42">
        <v>46193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57</v>
      </c>
      <c r="T283" s="27" t="s">
        <v>77</v>
      </c>
      <c r="U283" s="28" t="s">
        <v>56</v>
      </c>
      <c r="V283" s="29" t="str">
        <f t="shared" si="21"/>
        <v>⚠ Check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56</v>
      </c>
      <c r="AE283" s="32" t="str">
        <f t="shared" si="22"/>
        <v>✓ OK</v>
      </c>
      <c r="AF283" s="33" t="s">
        <v>61</v>
      </c>
      <c r="AG283" s="33" t="s">
        <v>55</v>
      </c>
      <c r="AH283" s="33" t="s">
        <v>56</v>
      </c>
      <c r="AI283" s="33" t="s">
        <v>57</v>
      </c>
      <c r="AJ283" s="33" t="s">
        <v>58</v>
      </c>
      <c r="AK283" s="33" t="s">
        <v>56</v>
      </c>
      <c r="AL283" s="27"/>
      <c r="AM283" s="34" t="s">
        <v>57</v>
      </c>
      <c r="AN283" s="35" t="str">
        <f t="shared" si="23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667</v>
      </c>
      <c r="C284" s="41" t="s">
        <v>668</v>
      </c>
      <c r="D284" s="39" t="s">
        <v>210</v>
      </c>
      <c r="E284" s="42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46193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 t="s">
        <v>61</v>
      </c>
      <c r="AG284" s="33" t="s">
        <v>55</v>
      </c>
      <c r="AH284" s="33" t="s">
        <v>56</v>
      </c>
      <c r="AI284" s="33" t="s">
        <v>57</v>
      </c>
      <c r="AJ284" s="33" t="s">
        <v>58</v>
      </c>
      <c r="AK284" s="33" t="s">
        <v>56</v>
      </c>
      <c r="AL284" s="27"/>
      <c r="AM284" s="34" t="s">
        <v>57</v>
      </c>
      <c r="AN284" s="35" t="str">
        <f t="shared" si="23"/>
        <v>✓ OK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669</v>
      </c>
      <c r="C285" s="25" t="s">
        <v>670</v>
      </c>
      <c r="D285" s="23" t="s">
        <v>210</v>
      </c>
      <c r="E285" s="42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671</v>
      </c>
      <c r="L285" s="28" t="s">
        <v>56</v>
      </c>
      <c r="M285" s="29" t="str">
        <f t="shared" si="20"/>
        <v>⚠ Check</v>
      </c>
      <c r="N285" s="42">
        <v>46193</v>
      </c>
      <c r="O285" s="26" t="s">
        <v>55</v>
      </c>
      <c r="P285" s="26" t="s">
        <v>57</v>
      </c>
      <c r="Q285" s="26" t="s">
        <v>56</v>
      </c>
      <c r="R285" s="26" t="s">
        <v>60</v>
      </c>
      <c r="S285" s="26" t="s">
        <v>57</v>
      </c>
      <c r="T285" s="27"/>
      <c r="U285" s="28" t="s">
        <v>57</v>
      </c>
      <c r="V285" s="29" t="str">
        <f t="shared" si="21"/>
        <v>❌ Disc</v>
      </c>
      <c r="W285" s="70">
        <v>46248</v>
      </c>
      <c r="X285" s="30" t="s">
        <v>55</v>
      </c>
      <c r="Y285" s="30" t="s">
        <v>57</v>
      </c>
      <c r="Z285" s="30" t="s">
        <v>56</v>
      </c>
      <c r="AA285" s="30" t="s">
        <v>60</v>
      </c>
      <c r="AB285" s="30" t="s">
        <v>57</v>
      </c>
      <c r="AC285" s="27"/>
      <c r="AD285" s="31" t="s">
        <v>57</v>
      </c>
      <c r="AE285" s="32" t="str">
        <f t="shared" si="22"/>
        <v>❌ Disc</v>
      </c>
      <c r="AF285" s="33" t="s">
        <v>61</v>
      </c>
      <c r="AG285" s="33" t="s">
        <v>62</v>
      </c>
      <c r="AH285" s="33" t="s">
        <v>56</v>
      </c>
      <c r="AI285" s="33" t="s">
        <v>56</v>
      </c>
      <c r="AJ285" s="33" t="s">
        <v>58</v>
      </c>
      <c r="AK285" s="33" t="s">
        <v>56</v>
      </c>
      <c r="AL285" s="27"/>
      <c r="AM285" s="34" t="s">
        <v>57</v>
      </c>
      <c r="AN285" s="35" t="str">
        <f t="shared" si="23"/>
        <v>❌ Disc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672</v>
      </c>
      <c r="C286" s="41" t="s">
        <v>673</v>
      </c>
      <c r="D286" s="39" t="s">
        <v>210</v>
      </c>
      <c r="E286" s="42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3" t="s">
        <v>261</v>
      </c>
      <c r="L286" s="28" t="s">
        <v>56</v>
      </c>
      <c r="M286" s="29" t="str">
        <f t="shared" si="20"/>
        <v>⚠ Check</v>
      </c>
      <c r="N286" s="42">
        <v>46193</v>
      </c>
      <c r="O286" s="26" t="s">
        <v>55</v>
      </c>
      <c r="P286" s="26" t="s">
        <v>57</v>
      </c>
      <c r="Q286" s="26" t="s">
        <v>56</v>
      </c>
      <c r="R286" s="26" t="s">
        <v>60</v>
      </c>
      <c r="S286" s="26" t="s">
        <v>57</v>
      </c>
      <c r="T286" s="43"/>
      <c r="U286" s="28" t="s">
        <v>57</v>
      </c>
      <c r="V286" s="29" t="str">
        <f t="shared" si="21"/>
        <v>❌ Disc</v>
      </c>
      <c r="W286" s="70">
        <v>46248</v>
      </c>
      <c r="X286" s="30" t="s">
        <v>55</v>
      </c>
      <c r="Y286" s="30" t="s">
        <v>57</v>
      </c>
      <c r="Z286" s="30" t="s">
        <v>56</v>
      </c>
      <c r="AA286" s="30" t="s">
        <v>60</v>
      </c>
      <c r="AB286" s="30" t="s">
        <v>57</v>
      </c>
      <c r="AC286" s="27"/>
      <c r="AD286" s="31" t="s">
        <v>57</v>
      </c>
      <c r="AE286" s="32" t="str">
        <f t="shared" si="22"/>
        <v>❌ Disc</v>
      </c>
      <c r="AF286" s="33" t="s">
        <v>61</v>
      </c>
      <c r="AG286" s="33" t="s">
        <v>62</v>
      </c>
      <c r="AH286" s="33" t="s">
        <v>56</v>
      </c>
      <c r="AI286" s="33" t="s">
        <v>56</v>
      </c>
      <c r="AJ286" s="33" t="s">
        <v>58</v>
      </c>
      <c r="AK286" s="33" t="s">
        <v>56</v>
      </c>
      <c r="AL286" s="27"/>
      <c r="AM286" s="34" t="s">
        <v>57</v>
      </c>
      <c r="AN286" s="35" t="str">
        <f t="shared" si="23"/>
        <v>❌ Disc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674</v>
      </c>
      <c r="C287" s="25" t="s">
        <v>675</v>
      </c>
      <c r="D287" s="23" t="s">
        <v>210</v>
      </c>
      <c r="E287" s="42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676</v>
      </c>
      <c r="L287" s="28" t="s">
        <v>56</v>
      </c>
      <c r="M287" s="29" t="str">
        <f t="shared" si="20"/>
        <v>⚠ Check</v>
      </c>
      <c r="N287" s="42">
        <v>46193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57</v>
      </c>
      <c r="T287" s="27" t="s">
        <v>261</v>
      </c>
      <c r="U287" s="28" t="s">
        <v>56</v>
      </c>
      <c r="V287" s="29" t="str">
        <f t="shared" si="21"/>
        <v>⚠ Check</v>
      </c>
      <c r="W287" s="70">
        <v>46252</v>
      </c>
      <c r="X287" s="30" t="s">
        <v>55</v>
      </c>
      <c r="Y287" s="30" t="s">
        <v>57</v>
      </c>
      <c r="Z287" s="30" t="s">
        <v>56</v>
      </c>
      <c r="AA287" s="30" t="s">
        <v>60</v>
      </c>
      <c r="AB287" s="30" t="s">
        <v>57</v>
      </c>
      <c r="AC287" s="27"/>
      <c r="AD287" s="31" t="s">
        <v>57</v>
      </c>
      <c r="AE287" s="32" t="str">
        <f t="shared" si="22"/>
        <v>❌ Disc</v>
      </c>
      <c r="AF287" s="33" t="s">
        <v>61</v>
      </c>
      <c r="AG287" s="33" t="s">
        <v>62</v>
      </c>
      <c r="AH287" s="33" t="s">
        <v>56</v>
      </c>
      <c r="AI287" s="33" t="s">
        <v>56</v>
      </c>
      <c r="AJ287" s="33" t="s">
        <v>58</v>
      </c>
      <c r="AK287" s="33" t="s">
        <v>56</v>
      </c>
      <c r="AL287" s="27"/>
      <c r="AM287" s="34" t="s">
        <v>57</v>
      </c>
      <c r="AN287" s="35" t="str">
        <f t="shared" si="23"/>
        <v>❌ Disc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677</v>
      </c>
      <c r="C288" s="41" t="s">
        <v>678</v>
      </c>
      <c r="D288" s="39" t="s">
        <v>210</v>
      </c>
      <c r="E288" s="42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77</v>
      </c>
      <c r="L288" s="28" t="s">
        <v>56</v>
      </c>
      <c r="M288" s="29" t="str">
        <f t="shared" si="20"/>
        <v>⚠ Check</v>
      </c>
      <c r="N288" s="42">
        <v>46193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57</v>
      </c>
      <c r="T288" s="27" t="s">
        <v>77</v>
      </c>
      <c r="U288" s="28" t="s">
        <v>56</v>
      </c>
      <c r="V288" s="29" t="str">
        <f t="shared" si="21"/>
        <v>⚠ Check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56</v>
      </c>
      <c r="AE288" s="32" t="str">
        <f t="shared" si="22"/>
        <v>✓ OK</v>
      </c>
      <c r="AF288" s="33" t="s">
        <v>61</v>
      </c>
      <c r="AG288" s="33" t="s">
        <v>55</v>
      </c>
      <c r="AH288" s="33" t="s">
        <v>56</v>
      </c>
      <c r="AI288" s="33" t="s">
        <v>57</v>
      </c>
      <c r="AJ288" s="33" t="s">
        <v>58</v>
      </c>
      <c r="AK288" s="33" t="s">
        <v>56</v>
      </c>
      <c r="AL288" s="27"/>
      <c r="AM288" s="34" t="s">
        <v>57</v>
      </c>
      <c r="AN288" s="35" t="str">
        <f t="shared" si="23"/>
        <v>✓ OK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679</v>
      </c>
      <c r="C289" s="25" t="s">
        <v>680</v>
      </c>
      <c r="D289" s="23" t="s">
        <v>210</v>
      </c>
      <c r="E289" s="42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46193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 t="s">
        <v>61</v>
      </c>
      <c r="AG289" s="33" t="s">
        <v>55</v>
      </c>
      <c r="AH289" s="33" t="s">
        <v>56</v>
      </c>
      <c r="AI289" s="33" t="s">
        <v>57</v>
      </c>
      <c r="AJ289" s="33" t="s">
        <v>58</v>
      </c>
      <c r="AK289" s="33" t="s">
        <v>56</v>
      </c>
      <c r="AL289" s="27"/>
      <c r="AM289" s="34" t="s">
        <v>57</v>
      </c>
      <c r="AN289" s="35" t="str">
        <f t="shared" si="23"/>
        <v>✓ OK</v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681</v>
      </c>
      <c r="C290" s="41" t="s">
        <v>682</v>
      </c>
      <c r="D290" s="39" t="s">
        <v>210</v>
      </c>
      <c r="E290" s="42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683</v>
      </c>
      <c r="L290" s="28" t="s">
        <v>56</v>
      </c>
      <c r="M290" s="29" t="str">
        <f t="shared" si="20"/>
        <v>⚠ Check</v>
      </c>
      <c r="N290" s="42">
        <v>46193</v>
      </c>
      <c r="O290" s="26" t="s">
        <v>55</v>
      </c>
      <c r="P290" s="26" t="s">
        <v>57</v>
      </c>
      <c r="Q290" s="26" t="s">
        <v>56</v>
      </c>
      <c r="R290" s="26" t="s">
        <v>60</v>
      </c>
      <c r="S290" s="26" t="s">
        <v>57</v>
      </c>
      <c r="T290" s="27"/>
      <c r="U290" s="28" t="s">
        <v>57</v>
      </c>
      <c r="V290" s="29" t="str">
        <f t="shared" si="21"/>
        <v>❌ Disc</v>
      </c>
      <c r="W290" s="70">
        <v>46248</v>
      </c>
      <c r="X290" s="30" t="s">
        <v>55</v>
      </c>
      <c r="Y290" s="30" t="s">
        <v>57</v>
      </c>
      <c r="Z290" s="30" t="s">
        <v>56</v>
      </c>
      <c r="AA290" s="30" t="s">
        <v>60</v>
      </c>
      <c r="AB290" s="30" t="s">
        <v>57</v>
      </c>
      <c r="AC290" s="27"/>
      <c r="AD290" s="31" t="s">
        <v>57</v>
      </c>
      <c r="AE290" s="32" t="str">
        <f t="shared" si="22"/>
        <v>❌ Disc</v>
      </c>
      <c r="AF290" s="33" t="s">
        <v>61</v>
      </c>
      <c r="AG290" s="33" t="s">
        <v>62</v>
      </c>
      <c r="AH290" s="33" t="s">
        <v>56</v>
      </c>
      <c r="AI290" s="33" t="s">
        <v>56</v>
      </c>
      <c r="AJ290" s="33" t="s">
        <v>58</v>
      </c>
      <c r="AK290" s="33" t="s">
        <v>56</v>
      </c>
      <c r="AL290" s="27"/>
      <c r="AM290" s="34" t="s">
        <v>57</v>
      </c>
      <c r="AN290" s="35" t="str">
        <f t="shared" si="23"/>
        <v>❌ Disc</v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684</v>
      </c>
      <c r="C291" s="25" t="s">
        <v>685</v>
      </c>
      <c r="D291" s="23" t="s">
        <v>210</v>
      </c>
      <c r="E291" s="42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261</v>
      </c>
      <c r="L291" s="28" t="s">
        <v>56</v>
      </c>
      <c r="M291" s="29" t="str">
        <f t="shared" si="20"/>
        <v>⚠ Check</v>
      </c>
      <c r="N291" s="42">
        <v>46193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57</v>
      </c>
      <c r="T291" s="27" t="s">
        <v>261</v>
      </c>
      <c r="U291" s="28" t="s">
        <v>56</v>
      </c>
      <c r="V291" s="29" t="str">
        <f t="shared" si="21"/>
        <v>⚠ Check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56</v>
      </c>
      <c r="AE291" s="32" t="str">
        <f t="shared" si="22"/>
        <v>✓ OK</v>
      </c>
      <c r="AF291" s="33" t="s">
        <v>61</v>
      </c>
      <c r="AG291" s="33" t="s">
        <v>55</v>
      </c>
      <c r="AH291" s="33" t="s">
        <v>56</v>
      </c>
      <c r="AI291" s="33" t="s">
        <v>57</v>
      </c>
      <c r="AJ291" s="33" t="s">
        <v>58</v>
      </c>
      <c r="AK291" s="33" t="s">
        <v>56</v>
      </c>
      <c r="AL291" s="27"/>
      <c r="AM291" s="34" t="s">
        <v>57</v>
      </c>
      <c r="AN291" s="35" t="str">
        <f t="shared" si="23"/>
        <v>✓ OK</v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686</v>
      </c>
      <c r="C292" s="41" t="s">
        <v>687</v>
      </c>
      <c r="D292" s="39" t="s">
        <v>210</v>
      </c>
      <c r="E292" s="42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671</v>
      </c>
      <c r="L292" s="28" t="s">
        <v>56</v>
      </c>
      <c r="M292" s="29" t="str">
        <f t="shared" si="20"/>
        <v>⚠ Check</v>
      </c>
      <c r="N292" s="42">
        <v>46193</v>
      </c>
      <c r="O292" s="26" t="s">
        <v>55</v>
      </c>
      <c r="P292" s="26" t="s">
        <v>57</v>
      </c>
      <c r="Q292" s="26" t="s">
        <v>56</v>
      </c>
      <c r="R292" s="26" t="s">
        <v>60</v>
      </c>
      <c r="S292" s="26" t="s">
        <v>57</v>
      </c>
      <c r="T292" s="27"/>
      <c r="U292" s="28" t="s">
        <v>57</v>
      </c>
      <c r="V292" s="29" t="str">
        <f t="shared" si="21"/>
        <v>❌ Disc</v>
      </c>
      <c r="W292" s="70">
        <v>46248</v>
      </c>
      <c r="X292" s="30" t="s">
        <v>55</v>
      </c>
      <c r="Y292" s="30" t="s">
        <v>57</v>
      </c>
      <c r="Z292" s="30" t="s">
        <v>56</v>
      </c>
      <c r="AA292" s="30" t="s">
        <v>60</v>
      </c>
      <c r="AB292" s="30" t="s">
        <v>57</v>
      </c>
      <c r="AC292" s="27"/>
      <c r="AD292" s="31" t="s">
        <v>57</v>
      </c>
      <c r="AE292" s="32" t="str">
        <f t="shared" si="22"/>
        <v>❌ Disc</v>
      </c>
      <c r="AF292" s="33" t="s">
        <v>61</v>
      </c>
      <c r="AG292" s="33" t="s">
        <v>62</v>
      </c>
      <c r="AH292" s="33" t="s">
        <v>56</v>
      </c>
      <c r="AI292" s="33" t="s">
        <v>56</v>
      </c>
      <c r="AJ292" s="33" t="s">
        <v>58</v>
      </c>
      <c r="AK292" s="33" t="s">
        <v>56</v>
      </c>
      <c r="AL292" s="27"/>
      <c r="AM292" s="34" t="s">
        <v>57</v>
      </c>
      <c r="AN292" s="35" t="str">
        <f t="shared" si="23"/>
        <v>❌ Disc</v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688</v>
      </c>
      <c r="C293" s="25" t="s">
        <v>689</v>
      </c>
      <c r="D293" s="23" t="s">
        <v>210</v>
      </c>
      <c r="E293" s="42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671</v>
      </c>
      <c r="L293" s="28" t="s">
        <v>56</v>
      </c>
      <c r="M293" s="29" t="str">
        <f t="shared" si="20"/>
        <v>⚠ Check</v>
      </c>
      <c r="N293" s="42">
        <v>46193</v>
      </c>
      <c r="O293" s="26" t="s">
        <v>55</v>
      </c>
      <c r="P293" s="26" t="s">
        <v>57</v>
      </c>
      <c r="Q293" s="26" t="s">
        <v>56</v>
      </c>
      <c r="R293" s="26" t="s">
        <v>60</v>
      </c>
      <c r="S293" s="26" t="s">
        <v>57</v>
      </c>
      <c r="T293" s="27"/>
      <c r="U293" s="28" t="s">
        <v>57</v>
      </c>
      <c r="V293" s="29" t="str">
        <f t="shared" si="21"/>
        <v>❌ Disc</v>
      </c>
      <c r="W293" s="70">
        <v>46248</v>
      </c>
      <c r="X293" s="30" t="s">
        <v>55</v>
      </c>
      <c r="Y293" s="30" t="s">
        <v>57</v>
      </c>
      <c r="Z293" s="30" t="s">
        <v>56</v>
      </c>
      <c r="AA293" s="30" t="s">
        <v>60</v>
      </c>
      <c r="AB293" s="30" t="s">
        <v>57</v>
      </c>
      <c r="AC293" s="27"/>
      <c r="AD293" s="31" t="s">
        <v>57</v>
      </c>
      <c r="AE293" s="32" t="str">
        <f t="shared" si="22"/>
        <v>❌ Disc</v>
      </c>
      <c r="AF293" s="33" t="s">
        <v>61</v>
      </c>
      <c r="AG293" s="33" t="s">
        <v>62</v>
      </c>
      <c r="AH293" s="33" t="s">
        <v>56</v>
      </c>
      <c r="AI293" s="33" t="s">
        <v>56</v>
      </c>
      <c r="AJ293" s="33" t="s">
        <v>58</v>
      </c>
      <c r="AK293" s="33" t="s">
        <v>56</v>
      </c>
      <c r="AL293" s="27"/>
      <c r="AM293" s="34" t="s">
        <v>57</v>
      </c>
      <c r="AN293" s="35" t="str">
        <f t="shared" si="23"/>
        <v>❌ Disc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690</v>
      </c>
      <c r="C294" s="41" t="s">
        <v>691</v>
      </c>
      <c r="D294" s="39" t="s">
        <v>210</v>
      </c>
      <c r="E294" s="42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46193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 t="s">
        <v>61</v>
      </c>
      <c r="AG294" s="33" t="s">
        <v>55</v>
      </c>
      <c r="AH294" s="33" t="s">
        <v>56</v>
      </c>
      <c r="AI294" s="33" t="s">
        <v>57</v>
      </c>
      <c r="AJ294" s="33" t="s">
        <v>58</v>
      </c>
      <c r="AK294" s="33" t="s">
        <v>56</v>
      </c>
      <c r="AL294" s="27"/>
      <c r="AM294" s="34" t="s">
        <v>57</v>
      </c>
      <c r="AN294" s="35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692</v>
      </c>
      <c r="C295" s="25" t="s">
        <v>693</v>
      </c>
      <c r="D295" s="23" t="s">
        <v>210</v>
      </c>
      <c r="E295" s="42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42">
        <v>46193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56</v>
      </c>
      <c r="Z295" s="30" t="s">
        <v>57</v>
      </c>
      <c r="AA295" s="30" t="s">
        <v>58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 t="s">
        <v>61</v>
      </c>
      <c r="AG295" s="33" t="s">
        <v>55</v>
      </c>
      <c r="AH295" s="33" t="s">
        <v>56</v>
      </c>
      <c r="AI295" s="33" t="s">
        <v>57</v>
      </c>
      <c r="AJ295" s="33" t="s">
        <v>58</v>
      </c>
      <c r="AK295" s="33" t="s">
        <v>56</v>
      </c>
      <c r="AL295" s="27"/>
      <c r="AM295" s="34" t="s">
        <v>57</v>
      </c>
      <c r="AN295" s="35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694</v>
      </c>
      <c r="C296" s="41" t="s">
        <v>695</v>
      </c>
      <c r="D296" s="39" t="s">
        <v>210</v>
      </c>
      <c r="E296" s="42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650</v>
      </c>
      <c r="L296" s="28" t="s">
        <v>56</v>
      </c>
      <c r="M296" s="29" t="str">
        <f t="shared" si="20"/>
        <v>⚠ Check</v>
      </c>
      <c r="N296" s="42">
        <v>46193</v>
      </c>
      <c r="O296" s="26" t="s">
        <v>55</v>
      </c>
      <c r="P296" s="26" t="s">
        <v>57</v>
      </c>
      <c r="Q296" s="26" t="s">
        <v>56</v>
      </c>
      <c r="R296" s="26" t="s">
        <v>60</v>
      </c>
      <c r="S296" s="26" t="s">
        <v>57</v>
      </c>
      <c r="T296" s="27"/>
      <c r="U296" s="28" t="s">
        <v>57</v>
      </c>
      <c r="V296" s="29" t="str">
        <f t="shared" si="21"/>
        <v>❌ Disc</v>
      </c>
      <c r="W296" s="70">
        <v>46248</v>
      </c>
      <c r="X296" s="30" t="s">
        <v>55</v>
      </c>
      <c r="Y296" s="30" t="s">
        <v>57</v>
      </c>
      <c r="Z296" s="30" t="s">
        <v>56</v>
      </c>
      <c r="AA296" s="30" t="s">
        <v>60</v>
      </c>
      <c r="AB296" s="30" t="s">
        <v>57</v>
      </c>
      <c r="AC296" s="27"/>
      <c r="AD296" s="31" t="s">
        <v>57</v>
      </c>
      <c r="AE296" s="32" t="str">
        <f t="shared" si="22"/>
        <v>❌ Disc</v>
      </c>
      <c r="AF296" s="33" t="s">
        <v>61</v>
      </c>
      <c r="AG296" s="33" t="s">
        <v>62</v>
      </c>
      <c r="AH296" s="33" t="s">
        <v>56</v>
      </c>
      <c r="AI296" s="33" t="s">
        <v>56</v>
      </c>
      <c r="AJ296" s="33" t="s">
        <v>58</v>
      </c>
      <c r="AK296" s="33" t="s">
        <v>56</v>
      </c>
      <c r="AL296" s="27"/>
      <c r="AM296" s="34" t="s">
        <v>57</v>
      </c>
      <c r="AN296" s="35" t="str">
        <f t="shared" si="23"/>
        <v>❌ Disc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83" priority="84">
      <formula>MOD(ROW(),2)=0</formula>
    </cfRule>
  </conditionalFormatting>
  <conditionalFormatting sqref="G5:G296">
    <cfRule type="expression" dxfId="682" priority="43">
      <formula>G5="Yes"</formula>
    </cfRule>
    <cfRule type="expression" dxfId="681" priority="44">
      <formula>G5="No"</formula>
    </cfRule>
  </conditionalFormatting>
  <conditionalFormatting sqref="H5:H296">
    <cfRule type="expression" dxfId="680" priority="45">
      <formula>H5="Yes"</formula>
    </cfRule>
  </conditionalFormatting>
  <conditionalFormatting sqref="J5:J296">
    <cfRule type="expression" dxfId="679" priority="46">
      <formula>J5="Yes"</formula>
    </cfRule>
    <cfRule type="expression" dxfId="678" priority="47">
      <formula>J5="No"</formula>
    </cfRule>
  </conditionalFormatting>
  <conditionalFormatting sqref="M5:M296">
    <cfRule type="expression" dxfId="677" priority="40">
      <formula>M5="❌ Disc"</formula>
    </cfRule>
    <cfRule type="expression" dxfId="676" priority="39">
      <formula>M5="✓ OK"</formula>
    </cfRule>
    <cfRule type="expression" dxfId="675" priority="41">
      <formula>M5="⚠ Missing"</formula>
    </cfRule>
    <cfRule type="expression" dxfId="674" priority="42">
      <formula>M5="⚠ Check"</formula>
    </cfRule>
  </conditionalFormatting>
  <conditionalFormatting sqref="P5:P296">
    <cfRule type="expression" dxfId="673" priority="5">
      <formula>P5="Yes"</formula>
    </cfRule>
    <cfRule type="expression" dxfId="672" priority="6">
      <formula>P5="No"</formula>
    </cfRule>
  </conditionalFormatting>
  <conditionalFormatting sqref="Q5:Q296">
    <cfRule type="expression" dxfId="671" priority="7">
      <formula>Q5="Yes"</formula>
    </cfRule>
  </conditionalFormatting>
  <conditionalFormatting sqref="S5:S296">
    <cfRule type="expression" dxfId="670" priority="8">
      <formula>S5="Yes"</formula>
    </cfRule>
    <cfRule type="expression" dxfId="669" priority="9">
      <formula>S5="No"</formula>
    </cfRule>
  </conditionalFormatting>
  <conditionalFormatting sqref="V5:V296">
    <cfRule type="expression" dxfId="668" priority="2">
      <formula>V5="❌ Disc"</formula>
    </cfRule>
    <cfRule type="expression" dxfId="667" priority="3">
      <formula>V5="⚠ Missing"</formula>
    </cfRule>
    <cfRule type="expression" dxfId="666" priority="4">
      <formula>V5="⚠ Check"</formula>
    </cfRule>
    <cfRule type="expression" dxfId="665" priority="1">
      <formula>V5="✓ OK"</formula>
    </cfRule>
  </conditionalFormatting>
  <conditionalFormatting sqref="Y5:Y296">
    <cfRule type="expression" dxfId="664" priority="62">
      <formula>Y5="No"</formula>
    </cfRule>
    <cfRule type="expression" dxfId="663" priority="61">
      <formula>Y5="Yes"</formula>
    </cfRule>
  </conditionalFormatting>
  <conditionalFormatting sqref="Z5:Z296">
    <cfRule type="expression" dxfId="662" priority="63">
      <formula>Z5="Yes"</formula>
    </cfRule>
  </conditionalFormatting>
  <conditionalFormatting sqref="AB5:AB296">
    <cfRule type="expression" dxfId="661" priority="64">
      <formula>AB5="Yes"</formula>
    </cfRule>
    <cfRule type="expression" dxfId="660" priority="65">
      <formula>AB5="No"</formula>
    </cfRule>
  </conditionalFormatting>
  <conditionalFormatting sqref="AE5:AE296">
    <cfRule type="expression" dxfId="659" priority="58">
      <formula>AE5="❌ Disc"</formula>
    </cfRule>
    <cfRule type="expression" dxfId="658" priority="59">
      <formula>AE5="⚠ Missing"</formula>
    </cfRule>
    <cfRule type="expression" dxfId="657" priority="60">
      <formula>AE5="⚠ Check"</formula>
    </cfRule>
    <cfRule type="expression" dxfId="656" priority="57">
      <formula>AE5="✓ OK"</formula>
    </cfRule>
  </conditionalFormatting>
  <conditionalFormatting sqref="AH5:AH296">
    <cfRule type="expression" dxfId="655" priority="70">
      <formula>AH5="Yes"</formula>
    </cfRule>
    <cfRule type="expression" dxfId="654" priority="71">
      <formula>AH5="No"</formula>
    </cfRule>
  </conditionalFormatting>
  <conditionalFormatting sqref="AI5:AI296">
    <cfRule type="expression" dxfId="653" priority="72">
      <formula>AI5="Yes"</formula>
    </cfRule>
  </conditionalFormatting>
  <conditionalFormatting sqref="AK5:AK296">
    <cfRule type="expression" dxfId="652" priority="73">
      <formula>AK5="Yes"</formula>
    </cfRule>
    <cfRule type="expression" dxfId="651" priority="74">
      <formula>AK5="No"</formula>
    </cfRule>
  </conditionalFormatting>
  <conditionalFormatting sqref="AN5:AN296">
    <cfRule type="expression" dxfId="650" priority="67">
      <formula>AN5="❌ Disc"</formula>
    </cfRule>
    <cfRule type="expression" dxfId="649" priority="68">
      <formula>AN5="⚠ Missing"</formula>
    </cfRule>
    <cfRule type="expression" dxfId="648" priority="69">
      <formula>AN5="⚠ Check"</formula>
    </cfRule>
    <cfRule type="expression" dxfId="647" priority="66">
      <formula>AN5="✓ OK"</formula>
    </cfRule>
  </conditionalFormatting>
  <conditionalFormatting sqref="AQ5:AQ296">
    <cfRule type="expression" dxfId="646" priority="80">
      <formula>AQ5="No"</formula>
    </cfRule>
    <cfRule type="expression" dxfId="645" priority="79">
      <formula>AQ5="Yes"</formula>
    </cfRule>
  </conditionalFormatting>
  <conditionalFormatting sqref="AR5:AR296">
    <cfRule type="expression" dxfId="644" priority="81">
      <formula>AR5="Yes"</formula>
    </cfRule>
  </conditionalFormatting>
  <conditionalFormatting sqref="AT5:AT296">
    <cfRule type="expression" dxfId="643" priority="82">
      <formula>AT5="Yes"</formula>
    </cfRule>
    <cfRule type="expression" dxfId="642" priority="83">
      <formula>AT5="No"</formula>
    </cfRule>
  </conditionalFormatting>
  <conditionalFormatting sqref="AW5:AW296">
    <cfRule type="expression" dxfId="641" priority="75">
      <formula>AW5="✓ OK"</formula>
    </cfRule>
    <cfRule type="expression" dxfId="640" priority="76">
      <formula>AW5="❌ Disc"</formula>
    </cfRule>
    <cfRule type="expression" dxfId="639" priority="77">
      <formula>AW5="⚠ Missing"</formula>
    </cfRule>
    <cfRule type="expression" dxfId="638" priority="78">
      <formula>AW5="⚠ Check"</formula>
    </cfRule>
  </conditionalFormatting>
  <dataValidations count="2">
    <dataValidation type="list" allowBlank="1" sqref="G5:H296 J5:J296 P5:Q296 S5:S296 Y5:Z296 AB5:AB296 AH5:AI296 AK5:AK296 AQ5:AR296 AT5:AT296" xr:uid="{00000000-0002-0000-0100-000000000000}">
      <formula1>"Yes,No"</formula1>
    </dataValidation>
    <dataValidation type="list" allowBlank="1" sqref="I5:I296 R5:R296 AA5:AA296 AJ5:AJ296 AS5:AS296" xr:uid="{00000000-0002-0000-01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AF66" activePane="bottomRight" state="frozen"/>
      <selection pane="topRight" activeCell="H13" sqref="H13"/>
      <selection pane="bottomLeft" activeCell="H13" sqref="H13"/>
      <selection pane="bottomRight" activeCell="AI81" sqref="AI81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696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697</v>
      </c>
      <c r="C5" s="25" t="s">
        <v>698</v>
      </c>
      <c r="D5" s="23" t="s">
        <v>699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700</v>
      </c>
      <c r="C6" s="41" t="s">
        <v>701</v>
      </c>
      <c r="D6" s="39" t="s">
        <v>699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702</v>
      </c>
      <c r="C7" s="25" t="s">
        <v>703</v>
      </c>
      <c r="D7" s="23" t="s">
        <v>699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46193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704</v>
      </c>
      <c r="C8" s="41" t="s">
        <v>705</v>
      </c>
      <c r="D8" s="39" t="s">
        <v>699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46193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706</v>
      </c>
      <c r="C9" s="25" t="s">
        <v>707</v>
      </c>
      <c r="D9" s="23" t="s">
        <v>699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708</v>
      </c>
      <c r="C10" s="41" t="s">
        <v>709</v>
      </c>
      <c r="D10" s="39" t="s">
        <v>699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710</v>
      </c>
      <c r="C11" s="25" t="s">
        <v>711</v>
      </c>
      <c r="D11" s="23" t="s">
        <v>699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712</v>
      </c>
      <c r="C12" s="41" t="s">
        <v>713</v>
      </c>
      <c r="D12" s="39" t="s">
        <v>699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714</v>
      </c>
      <c r="C13" s="25" t="s">
        <v>715</v>
      </c>
      <c r="D13" s="23" t="s">
        <v>699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716</v>
      </c>
      <c r="C14" s="41" t="s">
        <v>717</v>
      </c>
      <c r="D14" s="39" t="s">
        <v>699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718</v>
      </c>
      <c r="C15" s="25" t="s">
        <v>719</v>
      </c>
      <c r="D15" s="23" t="s">
        <v>699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720</v>
      </c>
      <c r="C16" s="41" t="s">
        <v>721</v>
      </c>
      <c r="D16" s="39" t="s">
        <v>699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722</v>
      </c>
      <c r="C17" s="25" t="s">
        <v>723</v>
      </c>
      <c r="D17" s="23" t="s">
        <v>699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724</v>
      </c>
      <c r="C18" s="41" t="s">
        <v>725</v>
      </c>
      <c r="D18" s="39" t="s">
        <v>699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726</v>
      </c>
      <c r="C19" s="25" t="s">
        <v>727</v>
      </c>
      <c r="D19" s="23" t="s">
        <v>699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728</v>
      </c>
      <c r="C20" s="41" t="s">
        <v>729</v>
      </c>
      <c r="D20" s="39" t="s">
        <v>699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730</v>
      </c>
      <c r="C21" s="25" t="s">
        <v>731</v>
      </c>
      <c r="D21" s="23" t="s">
        <v>699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732</v>
      </c>
      <c r="C22" s="41" t="s">
        <v>733</v>
      </c>
      <c r="D22" s="39" t="s">
        <v>699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734</v>
      </c>
      <c r="C23" s="25" t="s">
        <v>735</v>
      </c>
      <c r="D23" s="23" t="s">
        <v>699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736</v>
      </c>
      <c r="C24" s="41" t="s">
        <v>737</v>
      </c>
      <c r="D24" s="39" t="s">
        <v>699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738</v>
      </c>
      <c r="C25" s="25" t="s">
        <v>739</v>
      </c>
      <c r="D25" s="23" t="s">
        <v>699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740</v>
      </c>
      <c r="C26" s="41" t="s">
        <v>741</v>
      </c>
      <c r="D26" s="39" t="s">
        <v>699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58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742</v>
      </c>
      <c r="C27" s="25" t="s">
        <v>743</v>
      </c>
      <c r="D27" s="23" t="s">
        <v>699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56</v>
      </c>
      <c r="AI27" s="33" t="s">
        <v>57</v>
      </c>
      <c r="AJ27" s="33" t="s">
        <v>58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744</v>
      </c>
      <c r="C28" s="41" t="s">
        <v>745</v>
      </c>
      <c r="D28" s="39" t="s">
        <v>699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56</v>
      </c>
      <c r="AI28" s="33" t="s">
        <v>57</v>
      </c>
      <c r="AJ28" s="33" t="s">
        <v>58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746</v>
      </c>
      <c r="C29" s="25" t="s">
        <v>747</v>
      </c>
      <c r="D29" s="23" t="s">
        <v>748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749</v>
      </c>
      <c r="L29" s="28" t="s">
        <v>56</v>
      </c>
      <c r="M29" s="29" t="str">
        <f t="shared" si="0"/>
        <v>⚠ Check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57</v>
      </c>
      <c r="T29" s="27" t="s">
        <v>749</v>
      </c>
      <c r="U29" s="28" t="s">
        <v>56</v>
      </c>
      <c r="V29" s="29" t="str">
        <f t="shared" si="1"/>
        <v>⚠ Check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 t="s">
        <v>57</v>
      </c>
      <c r="AJ29" s="33" t="s">
        <v>58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750</v>
      </c>
      <c r="C30" s="41" t="s">
        <v>751</v>
      </c>
      <c r="D30" s="39" t="s">
        <v>748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752</v>
      </c>
      <c r="C31" s="25" t="s">
        <v>753</v>
      </c>
      <c r="D31" s="23" t="s">
        <v>748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56</v>
      </c>
      <c r="AI31" s="33" t="s">
        <v>57</v>
      </c>
      <c r="AJ31" s="33" t="s">
        <v>58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754</v>
      </c>
      <c r="C32" s="41" t="s">
        <v>755</v>
      </c>
      <c r="D32" s="39" t="s">
        <v>748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 t="s">
        <v>57</v>
      </c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756</v>
      </c>
      <c r="C33" s="25" t="s">
        <v>757</v>
      </c>
      <c r="D33" s="23" t="s">
        <v>748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758</v>
      </c>
      <c r="C34" s="41" t="s">
        <v>759</v>
      </c>
      <c r="D34" s="39" t="s">
        <v>748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760</v>
      </c>
      <c r="C35" s="25" t="s">
        <v>761</v>
      </c>
      <c r="D35" s="23" t="s">
        <v>748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56</v>
      </c>
      <c r="AI35" s="33" t="s">
        <v>57</v>
      </c>
      <c r="AJ35" s="33" t="s">
        <v>58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762</v>
      </c>
      <c r="C36" s="41" t="s">
        <v>763</v>
      </c>
      <c r="D36" s="39" t="s">
        <v>748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 t="s">
        <v>57</v>
      </c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764</v>
      </c>
      <c r="C37" s="25" t="s">
        <v>765</v>
      </c>
      <c r="D37" s="23" t="s">
        <v>748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7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67" si="7">IF(W37="","",IF(Z37="Yes","❌ Disc",IF(Y37="No","⚠ Missing",IF(AB37="Yes","✓ OK","⚠ Check"))))</f>
        <v>✓ OK</v>
      </c>
      <c r="AF37" s="33" t="s">
        <v>61</v>
      </c>
      <c r="AG37" s="33" t="s">
        <v>55</v>
      </c>
      <c r="AH37" s="33" t="s">
        <v>56</v>
      </c>
      <c r="AI37" s="33" t="s">
        <v>57</v>
      </c>
      <c r="AJ37" s="33" t="s">
        <v>58</v>
      </c>
      <c r="AK37" s="33" t="s">
        <v>56</v>
      </c>
      <c r="AL37" s="27"/>
      <c r="AM37" s="34" t="s">
        <v>57</v>
      </c>
      <c r="AN37" s="35" t="str">
        <f t="shared" ref="AN37:AN67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766</v>
      </c>
      <c r="C38" s="41" t="s">
        <v>767</v>
      </c>
      <c r="D38" s="39" t="s">
        <v>748</v>
      </c>
      <c r="E38" s="42">
        <v>46128</v>
      </c>
      <c r="F38" s="26" t="s">
        <v>55</v>
      </c>
      <c r="G38" s="26" t="s">
        <v>57</v>
      </c>
      <c r="H38" s="26" t="s">
        <v>57</v>
      </c>
      <c r="I38" s="26" t="s">
        <v>90</v>
      </c>
      <c r="J38" s="26" t="s">
        <v>57</v>
      </c>
      <c r="K38" s="27" t="s">
        <v>91</v>
      </c>
      <c r="L38" s="28" t="s">
        <v>56</v>
      </c>
      <c r="M38" s="29" t="str">
        <f t="shared" si="5"/>
        <v>⚠ Missing</v>
      </c>
      <c r="N38" s="42">
        <v>46193</v>
      </c>
      <c r="O38" s="26" t="s">
        <v>55</v>
      </c>
      <c r="P38" s="26" t="s">
        <v>57</v>
      </c>
      <c r="Q38" s="26" t="s">
        <v>57</v>
      </c>
      <c r="R38" s="26" t="s">
        <v>90</v>
      </c>
      <c r="S38" s="26" t="s">
        <v>57</v>
      </c>
      <c r="T38" s="27" t="s">
        <v>91</v>
      </c>
      <c r="U38" s="28" t="s">
        <v>56</v>
      </c>
      <c r="V38" s="29" t="str">
        <f t="shared" si="6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90</v>
      </c>
      <c r="AB38" s="30" t="s">
        <v>57</v>
      </c>
      <c r="AC38" s="27" t="s">
        <v>91</v>
      </c>
      <c r="AD38" s="31" t="s">
        <v>56</v>
      </c>
      <c r="AE38" s="32" t="str">
        <f t="shared" si="7"/>
        <v>⚠ Missing</v>
      </c>
      <c r="AF38" s="33" t="s">
        <v>61</v>
      </c>
      <c r="AG38" s="33" t="s">
        <v>55</v>
      </c>
      <c r="AH38" s="33" t="s">
        <v>57</v>
      </c>
      <c r="AI38" s="33" t="s">
        <v>57</v>
      </c>
      <c r="AJ38" s="33" t="s">
        <v>90</v>
      </c>
      <c r="AK38" s="33" t="s">
        <v>57</v>
      </c>
      <c r="AL38" s="27" t="s">
        <v>91</v>
      </c>
      <c r="AM38" s="34" t="s">
        <v>56</v>
      </c>
      <c r="AN38" s="35" t="str">
        <f t="shared" si="8"/>
        <v>⚠ Missing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768</v>
      </c>
      <c r="C39" s="25" t="s">
        <v>769</v>
      </c>
      <c r="D39" s="23" t="s">
        <v>748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749</v>
      </c>
      <c r="L39" s="28" t="s">
        <v>56</v>
      </c>
      <c r="M39" s="29" t="str">
        <f t="shared" si="5"/>
        <v>⚠ Check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749</v>
      </c>
      <c r="U39" s="28" t="s">
        <v>56</v>
      </c>
      <c r="V39" s="29" t="str">
        <f t="shared" si="6"/>
        <v>⚠ Check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770</v>
      </c>
      <c r="C40" s="41" t="s">
        <v>771</v>
      </c>
      <c r="D40" s="39" t="s">
        <v>748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 t="s">
        <v>61</v>
      </c>
      <c r="AG40" s="33" t="s">
        <v>55</v>
      </c>
      <c r="AH40" s="33" t="s">
        <v>56</v>
      </c>
      <c r="AI40" s="33" t="s">
        <v>57</v>
      </c>
      <c r="AJ40" s="33" t="s">
        <v>58</v>
      </c>
      <c r="AK40" s="33" t="s">
        <v>56</v>
      </c>
      <c r="AL40" s="27"/>
      <c r="AM40" s="34" t="s">
        <v>57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772</v>
      </c>
      <c r="C41" s="25" t="s">
        <v>773</v>
      </c>
      <c r="D41" s="23" t="s">
        <v>748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 t="s">
        <v>61</v>
      </c>
      <c r="AG41" s="33" t="s">
        <v>55</v>
      </c>
      <c r="AH41" s="33" t="s">
        <v>56</v>
      </c>
      <c r="AI41" s="33" t="s">
        <v>57</v>
      </c>
      <c r="AJ41" s="33" t="s">
        <v>58</v>
      </c>
      <c r="AK41" s="33" t="s">
        <v>56</v>
      </c>
      <c r="AL41" s="27"/>
      <c r="AM41" s="34" t="s">
        <v>57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774</v>
      </c>
      <c r="C42" s="41" t="s">
        <v>775</v>
      </c>
      <c r="D42" s="39" t="s">
        <v>748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 t="s">
        <v>61</v>
      </c>
      <c r="AG42" s="33" t="s">
        <v>55</v>
      </c>
      <c r="AH42" s="33" t="s">
        <v>56</v>
      </c>
      <c r="AI42" s="33" t="s">
        <v>57</v>
      </c>
      <c r="AJ42" s="33" t="s">
        <v>58</v>
      </c>
      <c r="AK42" s="33" t="s">
        <v>56</v>
      </c>
      <c r="AL42" s="27"/>
      <c r="AM42" s="34" t="s">
        <v>57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776</v>
      </c>
      <c r="C43" s="25" t="s">
        <v>777</v>
      </c>
      <c r="D43" s="23" t="s">
        <v>748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778</v>
      </c>
      <c r="C44" s="41" t="s">
        <v>779</v>
      </c>
      <c r="D44" s="39" t="s">
        <v>748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780</v>
      </c>
      <c r="C45" s="25" t="s">
        <v>781</v>
      </c>
      <c r="D45" s="23" t="s">
        <v>748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782</v>
      </c>
      <c r="C46" s="41" t="s">
        <v>783</v>
      </c>
      <c r="D46" s="39" t="s">
        <v>748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784</v>
      </c>
      <c r="C47" s="25" t="s">
        <v>785</v>
      </c>
      <c r="D47" s="23" t="s">
        <v>748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749</v>
      </c>
      <c r="L47" s="28" t="s">
        <v>56</v>
      </c>
      <c r="M47" s="29" t="str">
        <f t="shared" si="5"/>
        <v>⚠ Check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749</v>
      </c>
      <c r="U47" s="28" t="s">
        <v>56</v>
      </c>
      <c r="V47" s="29" t="str">
        <f t="shared" si="6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 t="s">
        <v>61</v>
      </c>
      <c r="AG47" s="33" t="s">
        <v>55</v>
      </c>
      <c r="AH47" s="33" t="s">
        <v>56</v>
      </c>
      <c r="AI47" s="33" t="s">
        <v>57</v>
      </c>
      <c r="AJ47" s="33" t="s">
        <v>58</v>
      </c>
      <c r="AK47" s="33" t="s">
        <v>56</v>
      </c>
      <c r="AL47" s="27"/>
      <c r="AM47" s="34" t="s">
        <v>57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786</v>
      </c>
      <c r="C48" s="41" t="s">
        <v>787</v>
      </c>
      <c r="D48" s="39" t="s">
        <v>748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 t="s">
        <v>61</v>
      </c>
      <c r="AG48" s="33" t="s">
        <v>55</v>
      </c>
      <c r="AH48" s="33" t="s">
        <v>56</v>
      </c>
      <c r="AI48" s="33" t="s">
        <v>57</v>
      </c>
      <c r="AJ48" s="33" t="s">
        <v>58</v>
      </c>
      <c r="AK48" s="33" t="s">
        <v>56</v>
      </c>
      <c r="AL48" s="27"/>
      <c r="AM48" s="34" t="s">
        <v>57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788</v>
      </c>
      <c r="C49" s="25" t="s">
        <v>789</v>
      </c>
      <c r="D49" s="23" t="s">
        <v>748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749</v>
      </c>
      <c r="L49" s="28" t="s">
        <v>56</v>
      </c>
      <c r="M49" s="29" t="str">
        <f t="shared" si="5"/>
        <v>⚠ Check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57</v>
      </c>
      <c r="T49" s="27" t="s">
        <v>749</v>
      </c>
      <c r="U49" s="28" t="s">
        <v>56</v>
      </c>
      <c r="V49" s="29" t="str">
        <f t="shared" si="6"/>
        <v>⚠ Check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 t="s">
        <v>61</v>
      </c>
      <c r="AG49" s="33" t="s">
        <v>55</v>
      </c>
      <c r="AH49" s="33" t="s">
        <v>56</v>
      </c>
      <c r="AI49" s="33" t="s">
        <v>57</v>
      </c>
      <c r="AJ49" s="33" t="s">
        <v>58</v>
      </c>
      <c r="AK49" s="33" t="s">
        <v>56</v>
      </c>
      <c r="AL49" s="27"/>
      <c r="AM49" s="34" t="s">
        <v>57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790</v>
      </c>
      <c r="C50" s="41" t="s">
        <v>791</v>
      </c>
      <c r="D50" s="39" t="s">
        <v>748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 t="s">
        <v>61</v>
      </c>
      <c r="AG50" s="33" t="s">
        <v>55</v>
      </c>
      <c r="AH50" s="33" t="s">
        <v>56</v>
      </c>
      <c r="AI50" s="33" t="s">
        <v>57</v>
      </c>
      <c r="AJ50" s="33" t="s">
        <v>58</v>
      </c>
      <c r="AK50" s="33" t="s">
        <v>56</v>
      </c>
      <c r="AL50" s="27"/>
      <c r="AM50" s="34" t="s">
        <v>57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792</v>
      </c>
      <c r="C51" s="25" t="s">
        <v>793</v>
      </c>
      <c r="D51" s="23" t="s">
        <v>748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794</v>
      </c>
      <c r="C52" s="41" t="s">
        <v>795</v>
      </c>
      <c r="D52" s="39" t="s">
        <v>748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 t="s">
        <v>61</v>
      </c>
      <c r="AG52" s="33" t="s">
        <v>55</v>
      </c>
      <c r="AH52" s="33" t="s">
        <v>56</v>
      </c>
      <c r="AI52" s="33" t="s">
        <v>57</v>
      </c>
      <c r="AJ52" s="33" t="s">
        <v>58</v>
      </c>
      <c r="AK52" s="33" t="s">
        <v>56</v>
      </c>
      <c r="AL52" s="27"/>
      <c r="AM52" s="34" t="s">
        <v>57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796</v>
      </c>
      <c r="C53" s="25" t="s">
        <v>797</v>
      </c>
      <c r="D53" s="23" t="s">
        <v>748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749</v>
      </c>
      <c r="L53" s="28" t="s">
        <v>56</v>
      </c>
      <c r="M53" s="29" t="str">
        <f t="shared" si="5"/>
        <v>⚠ Check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57</v>
      </c>
      <c r="T53" s="27" t="s">
        <v>749</v>
      </c>
      <c r="U53" s="28" t="s">
        <v>56</v>
      </c>
      <c r="V53" s="29" t="str">
        <f t="shared" si="6"/>
        <v>⚠ Check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 t="s">
        <v>61</v>
      </c>
      <c r="AG53" s="33" t="s">
        <v>55</v>
      </c>
      <c r="AH53" s="33" t="s">
        <v>56</v>
      </c>
      <c r="AI53" s="33" t="s">
        <v>57</v>
      </c>
      <c r="AJ53" s="33" t="s">
        <v>58</v>
      </c>
      <c r="AK53" s="33" t="s">
        <v>56</v>
      </c>
      <c r="AL53" s="27"/>
      <c r="AM53" s="34" t="s">
        <v>57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798</v>
      </c>
      <c r="C54" s="41" t="s">
        <v>799</v>
      </c>
      <c r="D54" s="39" t="s">
        <v>748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 t="s">
        <v>61</v>
      </c>
      <c r="AG54" s="33" t="s">
        <v>55</v>
      </c>
      <c r="AH54" s="33" t="s">
        <v>56</v>
      </c>
      <c r="AI54" s="33" t="s">
        <v>57</v>
      </c>
      <c r="AJ54" s="33" t="s">
        <v>58</v>
      </c>
      <c r="AK54" s="33" t="s">
        <v>56</v>
      </c>
      <c r="AL54" s="27"/>
      <c r="AM54" s="34" t="s">
        <v>57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800</v>
      </c>
      <c r="C55" s="25" t="s">
        <v>801</v>
      </c>
      <c r="D55" s="23" t="s">
        <v>748</v>
      </c>
      <c r="E55" s="42">
        <v>46128</v>
      </c>
      <c r="F55" s="26" t="s">
        <v>55</v>
      </c>
      <c r="G55" s="26" t="s">
        <v>57</v>
      </c>
      <c r="H55" s="26" t="s">
        <v>57</v>
      </c>
      <c r="I55" s="26" t="s">
        <v>90</v>
      </c>
      <c r="J55" s="26" t="s">
        <v>57</v>
      </c>
      <c r="K55" s="27" t="s">
        <v>91</v>
      </c>
      <c r="L55" s="28" t="s">
        <v>56</v>
      </c>
      <c r="M55" s="29" t="str">
        <f t="shared" si="5"/>
        <v>⚠ Missing</v>
      </c>
      <c r="N55" s="42">
        <v>46193</v>
      </c>
      <c r="O55" s="26" t="s">
        <v>55</v>
      </c>
      <c r="P55" s="26" t="s">
        <v>57</v>
      </c>
      <c r="Q55" s="26" t="s">
        <v>57</v>
      </c>
      <c r="R55" s="26" t="s">
        <v>90</v>
      </c>
      <c r="S55" s="26" t="s">
        <v>57</v>
      </c>
      <c r="T55" s="27" t="s">
        <v>91</v>
      </c>
      <c r="U55" s="28" t="s">
        <v>56</v>
      </c>
      <c r="V55" s="29" t="str">
        <f t="shared" si="6"/>
        <v>⚠ Missing</v>
      </c>
      <c r="W55" s="70">
        <v>46248</v>
      </c>
      <c r="X55" s="30" t="s">
        <v>55</v>
      </c>
      <c r="Y55" s="30" t="s">
        <v>57</v>
      </c>
      <c r="Z55" s="30" t="s">
        <v>57</v>
      </c>
      <c r="AA55" s="30" t="s">
        <v>90</v>
      </c>
      <c r="AB55" s="30" t="s">
        <v>57</v>
      </c>
      <c r="AC55" s="27" t="s">
        <v>91</v>
      </c>
      <c r="AD55" s="31" t="s">
        <v>56</v>
      </c>
      <c r="AE55" s="32" t="str">
        <f t="shared" si="7"/>
        <v>⚠ Missing</v>
      </c>
      <c r="AF55" s="33" t="s">
        <v>61</v>
      </c>
      <c r="AG55" s="33" t="s">
        <v>55</v>
      </c>
      <c r="AH55" s="33" t="s">
        <v>57</v>
      </c>
      <c r="AI55" s="33" t="s">
        <v>57</v>
      </c>
      <c r="AJ55" s="33" t="s">
        <v>90</v>
      </c>
      <c r="AK55" s="33" t="s">
        <v>57</v>
      </c>
      <c r="AL55" s="27" t="s">
        <v>91</v>
      </c>
      <c r="AM55" s="34" t="s">
        <v>56</v>
      </c>
      <c r="AN55" s="35" t="str">
        <f t="shared" si="8"/>
        <v>⚠ Missing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802</v>
      </c>
      <c r="C56" s="41" t="s">
        <v>803</v>
      </c>
      <c r="D56" s="39" t="s">
        <v>748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 t="s">
        <v>61</v>
      </c>
      <c r="AG56" s="33" t="s">
        <v>55</v>
      </c>
      <c r="AH56" s="33" t="s">
        <v>56</v>
      </c>
      <c r="AI56" s="33" t="s">
        <v>57</v>
      </c>
      <c r="AJ56" s="33" t="s">
        <v>58</v>
      </c>
      <c r="AK56" s="33" t="s">
        <v>56</v>
      </c>
      <c r="AL56" s="27"/>
      <c r="AM56" s="34" t="s">
        <v>57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804</v>
      </c>
      <c r="C57" s="25" t="s">
        <v>805</v>
      </c>
      <c r="D57" s="23" t="s">
        <v>748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 t="s">
        <v>61</v>
      </c>
      <c r="AG57" s="33" t="s">
        <v>55</v>
      </c>
      <c r="AH57" s="33" t="s">
        <v>56</v>
      </c>
      <c r="AI57" s="33" t="s">
        <v>57</v>
      </c>
      <c r="AJ57" s="33" t="s">
        <v>58</v>
      </c>
      <c r="AK57" s="33" t="s">
        <v>56</v>
      </c>
      <c r="AL57" s="27"/>
      <c r="AM57" s="34" t="s">
        <v>57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806</v>
      </c>
      <c r="C58" s="41" t="s">
        <v>807</v>
      </c>
      <c r="D58" s="39" t="s">
        <v>748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 t="s">
        <v>61</v>
      </c>
      <c r="AG58" s="33" t="s">
        <v>55</v>
      </c>
      <c r="AH58" s="33" t="s">
        <v>56</v>
      </c>
      <c r="AI58" s="33" t="s">
        <v>57</v>
      </c>
      <c r="AJ58" s="33" t="s">
        <v>58</v>
      </c>
      <c r="AK58" s="33" t="s">
        <v>56</v>
      </c>
      <c r="AL58" s="27"/>
      <c r="AM58" s="34" t="s">
        <v>57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808</v>
      </c>
      <c r="C59" s="25" t="s">
        <v>809</v>
      </c>
      <c r="D59" s="23" t="s">
        <v>748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 t="shared" si="5"/>
        <v>⚠ Check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/>
      <c r="U59" s="28" t="s">
        <v>57</v>
      </c>
      <c r="V59" s="29" t="str">
        <f t="shared" si="6"/>
        <v>⚠ Check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 t="s">
        <v>61</v>
      </c>
      <c r="AG59" s="33" t="s">
        <v>55</v>
      </c>
      <c r="AH59" s="33" t="s">
        <v>56</v>
      </c>
      <c r="AI59" s="33" t="s">
        <v>57</v>
      </c>
      <c r="AJ59" s="33" t="s">
        <v>58</v>
      </c>
      <c r="AK59" s="33" t="s">
        <v>56</v>
      </c>
      <c r="AL59" s="27"/>
      <c r="AM59" s="34" t="s">
        <v>57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810</v>
      </c>
      <c r="C60" s="41" t="s">
        <v>811</v>
      </c>
      <c r="D60" s="39" t="s">
        <v>748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 t="s">
        <v>61</v>
      </c>
      <c r="AG60" s="33" t="s">
        <v>55</v>
      </c>
      <c r="AH60" s="33" t="s">
        <v>56</v>
      </c>
      <c r="AI60" s="33" t="s">
        <v>57</v>
      </c>
      <c r="AJ60" s="33" t="s">
        <v>58</v>
      </c>
      <c r="AK60" s="33" t="s">
        <v>56</v>
      </c>
      <c r="AL60" s="27"/>
      <c r="AM60" s="34" t="s">
        <v>57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812</v>
      </c>
      <c r="C61" s="25" t="s">
        <v>813</v>
      </c>
      <c r="D61" s="23" t="s">
        <v>748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 t="s">
        <v>61</v>
      </c>
      <c r="AG61" s="33" t="s">
        <v>55</v>
      </c>
      <c r="AH61" s="33" t="s">
        <v>56</v>
      </c>
      <c r="AI61" s="33" t="s">
        <v>57</v>
      </c>
      <c r="AJ61" s="33" t="s">
        <v>58</v>
      </c>
      <c r="AK61" s="33" t="s">
        <v>56</v>
      </c>
      <c r="AL61" s="27"/>
      <c r="AM61" s="34" t="s">
        <v>57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814</v>
      </c>
      <c r="C62" s="41" t="s">
        <v>815</v>
      </c>
      <c r="D62" s="39" t="s">
        <v>748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 t="s">
        <v>61</v>
      </c>
      <c r="AG62" s="33" t="s">
        <v>55</v>
      </c>
      <c r="AH62" s="33" t="s">
        <v>56</v>
      </c>
      <c r="AI62" s="33" t="s">
        <v>57</v>
      </c>
      <c r="AJ62" s="33" t="s">
        <v>58</v>
      </c>
      <c r="AK62" s="33" t="s">
        <v>56</v>
      </c>
      <c r="AL62" s="27"/>
      <c r="AM62" s="34" t="s">
        <v>57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816</v>
      </c>
      <c r="C63" s="25" t="s">
        <v>817</v>
      </c>
      <c r="D63" s="23" t="s">
        <v>748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818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818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7"/>
        <v>✓ OK</v>
      </c>
      <c r="AF63" s="33" t="s">
        <v>61</v>
      </c>
      <c r="AG63" s="33" t="s">
        <v>55</v>
      </c>
      <c r="AH63" s="33" t="s">
        <v>56</v>
      </c>
      <c r="AI63" s="33" t="s">
        <v>57</v>
      </c>
      <c r="AJ63" s="33" t="s">
        <v>58</v>
      </c>
      <c r="AK63" s="33" t="s">
        <v>56</v>
      </c>
      <c r="AL63" s="27"/>
      <c r="AM63" s="34" t="s">
        <v>57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819</v>
      </c>
      <c r="C64" s="41" t="s">
        <v>820</v>
      </c>
      <c r="D64" s="39" t="s">
        <v>748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818</v>
      </c>
      <c r="L64" s="28" t="s">
        <v>56</v>
      </c>
      <c r="M64" s="29" t="str">
        <f t="shared" si="5"/>
        <v>⚠ Check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818</v>
      </c>
      <c r="U64" s="28" t="s">
        <v>56</v>
      </c>
      <c r="V64" s="29" t="str">
        <f t="shared" si="6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 t="s">
        <v>61</v>
      </c>
      <c r="AG64" s="33" t="s">
        <v>55</v>
      </c>
      <c r="AH64" s="33" t="s">
        <v>56</v>
      </c>
      <c r="AI64" s="33" t="s">
        <v>57</v>
      </c>
      <c r="AJ64" s="33" t="s">
        <v>58</v>
      </c>
      <c r="AK64" s="33" t="s">
        <v>56</v>
      </c>
      <c r="AL64" s="27"/>
      <c r="AM64" s="34" t="s">
        <v>57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821</v>
      </c>
      <c r="C65" s="25" t="s">
        <v>822</v>
      </c>
      <c r="D65" s="23" t="s">
        <v>748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 t="s">
        <v>61</v>
      </c>
      <c r="AG65" s="33" t="s">
        <v>55</v>
      </c>
      <c r="AH65" s="33" t="s">
        <v>56</v>
      </c>
      <c r="AI65" s="33" t="s">
        <v>57</v>
      </c>
      <c r="AJ65" s="33" t="s">
        <v>58</v>
      </c>
      <c r="AK65" s="33" t="s">
        <v>56</v>
      </c>
      <c r="AL65" s="27"/>
      <c r="AM65" s="34" t="s">
        <v>57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823</v>
      </c>
      <c r="C66" s="41" t="s">
        <v>824</v>
      </c>
      <c r="D66" s="39" t="s">
        <v>748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 t="s">
        <v>61</v>
      </c>
      <c r="AG66" s="33" t="s">
        <v>55</v>
      </c>
      <c r="AH66" s="33" t="s">
        <v>56</v>
      </c>
      <c r="AI66" s="33" t="s">
        <v>57</v>
      </c>
      <c r="AJ66" s="33" t="s">
        <v>58</v>
      </c>
      <c r="AK66" s="33" t="s">
        <v>56</v>
      </c>
      <c r="AL66" s="27"/>
      <c r="AM66" s="34" t="s">
        <v>57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825</v>
      </c>
      <c r="C67" s="25" t="s">
        <v>826</v>
      </c>
      <c r="D67" s="23" t="s">
        <v>748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 t="s">
        <v>61</v>
      </c>
      <c r="AG67" s="33" t="s">
        <v>55</v>
      </c>
      <c r="AH67" s="33" t="s">
        <v>56</v>
      </c>
      <c r="AI67" s="33" t="s">
        <v>57</v>
      </c>
      <c r="AJ67" s="33" t="s">
        <v>58</v>
      </c>
      <c r="AK67" s="33" t="s">
        <v>56</v>
      </c>
      <c r="AL67" s="27"/>
      <c r="AM67" s="34" t="s">
        <v>57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37" priority="15">
      <formula>G5="Yes"</formula>
    </cfRule>
    <cfRule type="expression" dxfId="636" priority="16">
      <formula>G5="No"</formula>
    </cfRule>
  </conditionalFormatting>
  <conditionalFormatting sqref="H5:H67">
    <cfRule type="expression" dxfId="635" priority="17">
      <formula>H5="Yes"</formula>
    </cfRule>
  </conditionalFormatting>
  <conditionalFormatting sqref="J5:J67">
    <cfRule type="expression" dxfId="634" priority="18">
      <formula>J5="Yes"</formula>
    </cfRule>
    <cfRule type="expression" dxfId="633" priority="19">
      <formula>J5="No"</formula>
    </cfRule>
  </conditionalFormatting>
  <conditionalFormatting sqref="M5:M67">
    <cfRule type="expression" dxfId="632" priority="13">
      <formula>M5="⚠ Missing"</formula>
    </cfRule>
    <cfRule type="expression" dxfId="631" priority="11">
      <formula>M5="✓ OK"</formula>
    </cfRule>
    <cfRule type="expression" dxfId="630" priority="12">
      <formula>M5="❌ Disc"</formula>
    </cfRule>
    <cfRule type="expression" dxfId="629" priority="14">
      <formula>M5="⚠ Check"</formula>
    </cfRule>
  </conditionalFormatting>
  <conditionalFormatting sqref="N5:N67">
    <cfRule type="expression" dxfId="628" priority="1">
      <formula>MOD(ROW(),2)=0</formula>
    </cfRule>
  </conditionalFormatting>
  <conditionalFormatting sqref="O5:AW67 A5:M67">
    <cfRule type="expression" dxfId="627" priority="56">
      <formula>MOD(ROW(),2)=0</formula>
    </cfRule>
  </conditionalFormatting>
  <conditionalFormatting sqref="P5:P67">
    <cfRule type="expression" dxfId="626" priority="6">
      <formula>P5="Yes"</formula>
    </cfRule>
    <cfRule type="expression" dxfId="625" priority="7">
      <formula>P5="No"</formula>
    </cfRule>
    <cfRule type="expression" dxfId="624" priority="24">
      <formula>P5="Yes"</formula>
    </cfRule>
    <cfRule type="expression" dxfId="623" priority="25">
      <formula>P5="No"</formula>
    </cfRule>
  </conditionalFormatting>
  <conditionalFormatting sqref="Q5:Q67">
    <cfRule type="expression" dxfId="622" priority="8">
      <formula>Q5="Yes"</formula>
    </cfRule>
  </conditionalFormatting>
  <conditionalFormatting sqref="S5:S67">
    <cfRule type="expression" dxfId="621" priority="9">
      <formula>S5="Yes"</formula>
    </cfRule>
    <cfRule type="expression" dxfId="620" priority="10">
      <formula>S5="No"</formula>
    </cfRule>
    <cfRule type="expression" dxfId="619" priority="27">
      <formula>S5="Yes"</formula>
    </cfRule>
    <cfRule type="expression" dxfId="618" priority="28">
      <formula>S5="No"</formula>
    </cfRule>
  </conditionalFormatting>
  <conditionalFormatting sqref="V5:V67">
    <cfRule type="expression" dxfId="617" priority="2">
      <formula>V5="✓ OK"</formula>
    </cfRule>
    <cfRule type="expression" dxfId="616" priority="3">
      <formula>V5="❌ Disc"</formula>
    </cfRule>
    <cfRule type="expression" dxfId="615" priority="4">
      <formula>V5="⚠ Missing"</formula>
    </cfRule>
    <cfRule type="expression" dxfId="614" priority="5">
      <formula>V5="⚠ Check"</formula>
    </cfRule>
    <cfRule type="expression" dxfId="613" priority="20">
      <formula>V5="✓ OK"</formula>
    </cfRule>
    <cfRule type="expression" dxfId="612" priority="21">
      <formula>V5="❌ Disc"</formula>
    </cfRule>
    <cfRule type="expression" dxfId="611" priority="22">
      <formula>V5="⚠ Missing"</formula>
    </cfRule>
    <cfRule type="expression" dxfId="610" priority="23">
      <formula>V5="⚠ Check"</formula>
    </cfRule>
  </conditionalFormatting>
  <conditionalFormatting sqref="Y5:Y67">
    <cfRule type="expression" dxfId="609" priority="33">
      <formula>Y5="Yes"</formula>
    </cfRule>
    <cfRule type="expression" dxfId="608" priority="34">
      <formula>Y5="No"</formula>
    </cfRule>
  </conditionalFormatting>
  <conditionalFormatting sqref="Z5:Z67">
    <cfRule type="expression" dxfId="607" priority="35">
      <formula>Z5="Yes"</formula>
    </cfRule>
  </conditionalFormatting>
  <conditionalFormatting sqref="AB5:AB67">
    <cfRule type="expression" dxfId="606" priority="36">
      <formula>AB5="Yes"</formula>
    </cfRule>
    <cfRule type="expression" dxfId="605" priority="37">
      <formula>AB5="No"</formula>
    </cfRule>
  </conditionalFormatting>
  <conditionalFormatting sqref="AE5:AE67">
    <cfRule type="expression" dxfId="604" priority="30">
      <formula>AE5="❌ Disc"</formula>
    </cfRule>
    <cfRule type="expression" dxfId="603" priority="31">
      <formula>AE5="⚠ Missing"</formula>
    </cfRule>
    <cfRule type="expression" dxfId="602" priority="29">
      <formula>AE5="✓ OK"</formula>
    </cfRule>
    <cfRule type="expression" dxfId="601" priority="32">
      <formula>AE5="⚠ Check"</formula>
    </cfRule>
  </conditionalFormatting>
  <conditionalFormatting sqref="AH5:AH67">
    <cfRule type="expression" dxfId="600" priority="42">
      <formula>AH5="Yes"</formula>
    </cfRule>
    <cfRule type="expression" dxfId="599" priority="43">
      <formula>AH5="No"</formula>
    </cfRule>
  </conditionalFormatting>
  <conditionalFormatting sqref="AI5:AI67">
    <cfRule type="expression" dxfId="598" priority="44">
      <formula>AI5="Yes"</formula>
    </cfRule>
  </conditionalFormatting>
  <conditionalFormatting sqref="AK5:AK67">
    <cfRule type="expression" dxfId="597" priority="45">
      <formula>AK5="Yes"</formula>
    </cfRule>
    <cfRule type="expression" dxfId="596" priority="46">
      <formula>AK5="No"</formula>
    </cfRule>
  </conditionalFormatting>
  <conditionalFormatting sqref="AN5:AN67">
    <cfRule type="expression" dxfId="595" priority="38">
      <formula>AN5="✓ OK"</formula>
    </cfRule>
    <cfRule type="expression" dxfId="594" priority="39">
      <formula>AN5="❌ Disc"</formula>
    </cfRule>
    <cfRule type="expression" dxfId="593" priority="40">
      <formula>AN5="⚠ Missing"</formula>
    </cfRule>
    <cfRule type="expression" dxfId="592" priority="41">
      <formula>AN5="⚠ Check"</formula>
    </cfRule>
  </conditionalFormatting>
  <conditionalFormatting sqref="AQ5:AQ67">
    <cfRule type="expression" dxfId="591" priority="51">
      <formula>AQ5="Yes"</formula>
    </cfRule>
    <cfRule type="expression" dxfId="590" priority="52">
      <formula>AQ5="No"</formula>
    </cfRule>
  </conditionalFormatting>
  <conditionalFormatting sqref="AR5:AR67">
    <cfRule type="expression" dxfId="589" priority="53">
      <formula>AR5="Yes"</formula>
    </cfRule>
  </conditionalFormatting>
  <conditionalFormatting sqref="AT5:AT67">
    <cfRule type="expression" dxfId="588" priority="54">
      <formula>AT5="Yes"</formula>
    </cfRule>
    <cfRule type="expression" dxfId="587" priority="55">
      <formula>AT5="No"</formula>
    </cfRule>
  </conditionalFormatting>
  <conditionalFormatting sqref="AW5:AW67">
    <cfRule type="expression" dxfId="586" priority="47">
      <formula>AW5="✓ OK"</formula>
    </cfRule>
    <cfRule type="expression" dxfId="585" priority="48">
      <formula>AW5="❌ Disc"</formula>
    </cfRule>
    <cfRule type="expression" dxfId="584" priority="49">
      <formula>AW5="⚠ Missing"</formula>
    </cfRule>
    <cfRule type="expression" dxfId="583" priority="50">
      <formula>AW5="⚠ Check"</formula>
    </cfRule>
  </conditionalFormatting>
  <dataValidations count="2">
    <dataValidation type="list" allowBlank="1" sqref="G5:H67 J5:J67 P5:Q67 S5:S67 Y5:Z67 AB5:AB67 AH5:AI67 AK5:AK67 AQ5:AR67 AT5:AT67" xr:uid="{00000000-0002-0000-0200-000000000000}">
      <formula1>"Yes,No"</formula1>
    </dataValidation>
    <dataValidation type="list" allowBlank="1" sqref="I5:I67 R5:R67 AA5:AA67 AJ5:AJ67 AS5:AS67" xr:uid="{00000000-0002-0000-02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AG6" activePane="bottomRight" state="frozen"/>
      <selection pane="topRight" activeCell="H13" sqref="H13"/>
      <selection pane="bottomLeft" activeCell="H13" sqref="H13"/>
      <selection pane="bottomRight" activeCell="AI6" sqref="AI6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827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828</v>
      </c>
      <c r="C5" s="25" t="s">
        <v>829</v>
      </c>
      <c r="D5" s="23" t="s">
        <v>830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184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46193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184</v>
      </c>
      <c r="U5" s="28" t="s">
        <v>56</v>
      </c>
      <c r="V5" s="29" t="str">
        <f t="shared" ref="V5:V36" si="1"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/>
      <c r="AA5" s="30" t="s">
        <v>58</v>
      </c>
      <c r="AB5" s="30" t="s">
        <v>57</v>
      </c>
      <c r="AC5" s="27" t="s">
        <v>184</v>
      </c>
      <c r="AD5" s="31" t="s">
        <v>56</v>
      </c>
      <c r="AE5" s="32" t="str">
        <f t="shared" ref="AE5:AE36" si="2">IF(W5="","",IF(Z5="Yes","❌ Disc",IF(Y5="No","⚠ Missing",IF(AB5="Yes","✓ OK","⚠ Check"))))</f>
        <v>⚠ Check</v>
      </c>
      <c r="AF5" s="33" t="s">
        <v>61</v>
      </c>
      <c r="AG5" s="33" t="s">
        <v>55</v>
      </c>
      <c r="AH5" s="33" t="s">
        <v>56</v>
      </c>
      <c r="AI5" s="33"/>
      <c r="AJ5" s="33" t="s">
        <v>58</v>
      </c>
      <c r="AK5" s="33" t="s">
        <v>56</v>
      </c>
      <c r="AL5" s="27" t="s">
        <v>184</v>
      </c>
      <c r="AM5" s="34" t="s">
        <v>57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831</v>
      </c>
      <c r="C6" s="41" t="s">
        <v>832</v>
      </c>
      <c r="D6" s="39" t="s">
        <v>830</v>
      </c>
      <c r="E6" s="42">
        <v>46128</v>
      </c>
      <c r="F6" s="26" t="s">
        <v>55</v>
      </c>
      <c r="G6" s="44" t="s">
        <v>833</v>
      </c>
      <c r="H6" s="26" t="s">
        <v>57</v>
      </c>
      <c r="I6" s="44" t="s">
        <v>833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46193</v>
      </c>
      <c r="O6" s="26" t="s">
        <v>55</v>
      </c>
      <c r="P6" s="44" t="s">
        <v>833</v>
      </c>
      <c r="Q6" s="26" t="s">
        <v>57</v>
      </c>
      <c r="R6" s="44" t="s">
        <v>833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833</v>
      </c>
      <c r="Z6" s="30"/>
      <c r="AA6" s="30" t="s">
        <v>833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833</v>
      </c>
      <c r="AI6" s="33"/>
      <c r="AJ6" s="33" t="s">
        <v>833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834</v>
      </c>
      <c r="C7" s="25" t="s">
        <v>835</v>
      </c>
      <c r="D7" s="23" t="s">
        <v>830</v>
      </c>
      <c r="E7" s="42">
        <v>46128</v>
      </c>
      <c r="F7" s="26" t="s">
        <v>55</v>
      </c>
      <c r="G7" s="26" t="s">
        <v>57</v>
      </c>
      <c r="H7" s="26" t="s">
        <v>57</v>
      </c>
      <c r="I7" s="26" t="s">
        <v>90</v>
      </c>
      <c r="J7" s="26" t="s">
        <v>57</v>
      </c>
      <c r="K7" s="27" t="s">
        <v>91</v>
      </c>
      <c r="L7" s="28" t="s">
        <v>56</v>
      </c>
      <c r="M7" s="29" t="str">
        <f t="shared" si="0"/>
        <v>⚠ Missing</v>
      </c>
      <c r="N7" s="42">
        <v>46193</v>
      </c>
      <c r="O7" s="26" t="s">
        <v>55</v>
      </c>
      <c r="P7" s="26" t="s">
        <v>57</v>
      </c>
      <c r="Q7" s="26" t="s">
        <v>57</v>
      </c>
      <c r="R7" s="26" t="s">
        <v>90</v>
      </c>
      <c r="S7" s="26" t="s">
        <v>57</v>
      </c>
      <c r="T7" s="27" t="s">
        <v>91</v>
      </c>
      <c r="U7" s="28" t="s">
        <v>56</v>
      </c>
      <c r="V7" s="29" t="str">
        <f t="shared" si="1"/>
        <v>⚠ Missing</v>
      </c>
      <c r="W7" s="70">
        <v>46248</v>
      </c>
      <c r="X7" s="30" t="s">
        <v>55</v>
      </c>
      <c r="Y7" s="30" t="s">
        <v>57</v>
      </c>
      <c r="Z7" s="30"/>
      <c r="AA7" s="30" t="s">
        <v>90</v>
      </c>
      <c r="AB7" s="30" t="s">
        <v>57</v>
      </c>
      <c r="AC7" s="27" t="s">
        <v>91</v>
      </c>
      <c r="AD7" s="31" t="s">
        <v>56</v>
      </c>
      <c r="AE7" s="32" t="str">
        <f t="shared" si="2"/>
        <v>⚠ Missing</v>
      </c>
      <c r="AF7" s="33" t="s">
        <v>61</v>
      </c>
      <c r="AG7" s="33" t="s">
        <v>55</v>
      </c>
      <c r="AH7" s="33" t="s">
        <v>57</v>
      </c>
      <c r="AI7" s="33"/>
      <c r="AJ7" s="33" t="s">
        <v>90</v>
      </c>
      <c r="AK7" s="33" t="s">
        <v>57</v>
      </c>
      <c r="AL7" s="27" t="s">
        <v>91</v>
      </c>
      <c r="AM7" s="34" t="s">
        <v>56</v>
      </c>
      <c r="AN7" s="35" t="str">
        <f t="shared" si="3"/>
        <v>⚠ Missing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836</v>
      </c>
      <c r="C8" s="41" t="s">
        <v>837</v>
      </c>
      <c r="D8" s="39" t="s">
        <v>830</v>
      </c>
      <c r="E8" s="42">
        <v>46128</v>
      </c>
      <c r="F8" s="26" t="s">
        <v>55</v>
      </c>
      <c r="G8" s="26" t="s">
        <v>57</v>
      </c>
      <c r="H8" s="26" t="s">
        <v>57</v>
      </c>
      <c r="I8" s="26" t="s">
        <v>90</v>
      </c>
      <c r="J8" s="26" t="s">
        <v>57</v>
      </c>
      <c r="K8" s="27" t="s">
        <v>91</v>
      </c>
      <c r="L8" s="28" t="s">
        <v>56</v>
      </c>
      <c r="M8" s="29" t="str">
        <f t="shared" si="0"/>
        <v>⚠ Missing</v>
      </c>
      <c r="N8" s="42">
        <v>46193</v>
      </c>
      <c r="O8" s="26" t="s">
        <v>55</v>
      </c>
      <c r="P8" s="26" t="s">
        <v>57</v>
      </c>
      <c r="Q8" s="26" t="s">
        <v>57</v>
      </c>
      <c r="R8" s="26" t="s">
        <v>90</v>
      </c>
      <c r="S8" s="26" t="s">
        <v>57</v>
      </c>
      <c r="T8" s="27" t="s">
        <v>91</v>
      </c>
      <c r="U8" s="28" t="s">
        <v>56</v>
      </c>
      <c r="V8" s="29" t="str">
        <f t="shared" si="1"/>
        <v>⚠ Missing</v>
      </c>
      <c r="W8" s="70">
        <v>46248</v>
      </c>
      <c r="X8" s="30" t="s">
        <v>55</v>
      </c>
      <c r="Y8" s="30" t="s">
        <v>57</v>
      </c>
      <c r="Z8" s="30"/>
      <c r="AA8" s="30" t="s">
        <v>90</v>
      </c>
      <c r="AB8" s="30" t="s">
        <v>57</v>
      </c>
      <c r="AC8" s="27" t="s">
        <v>91</v>
      </c>
      <c r="AD8" s="31" t="s">
        <v>56</v>
      </c>
      <c r="AE8" s="32" t="str">
        <f t="shared" si="2"/>
        <v>⚠ Missing</v>
      </c>
      <c r="AF8" s="33" t="s">
        <v>61</v>
      </c>
      <c r="AG8" s="33" t="s">
        <v>55</v>
      </c>
      <c r="AH8" s="33" t="s">
        <v>57</v>
      </c>
      <c r="AI8" s="33"/>
      <c r="AJ8" s="33" t="s">
        <v>90</v>
      </c>
      <c r="AK8" s="33" t="s">
        <v>57</v>
      </c>
      <c r="AL8" s="27" t="s">
        <v>91</v>
      </c>
      <c r="AM8" s="34" t="s">
        <v>56</v>
      </c>
      <c r="AN8" s="35" t="str">
        <f t="shared" si="3"/>
        <v>⚠ Missing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838</v>
      </c>
      <c r="C9" s="25" t="s">
        <v>839</v>
      </c>
      <c r="D9" s="23" t="s">
        <v>830</v>
      </c>
      <c r="E9" s="42">
        <v>46128</v>
      </c>
      <c r="F9" s="26" t="s">
        <v>55</v>
      </c>
      <c r="G9" s="44" t="s">
        <v>833</v>
      </c>
      <c r="H9" s="26" t="s">
        <v>57</v>
      </c>
      <c r="I9" s="44" t="s">
        <v>833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46193</v>
      </c>
      <c r="O9" s="26" t="s">
        <v>55</v>
      </c>
      <c r="P9" s="44" t="s">
        <v>833</v>
      </c>
      <c r="Q9" s="26" t="s">
        <v>57</v>
      </c>
      <c r="R9" s="44" t="s">
        <v>833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833</v>
      </c>
      <c r="Z9" s="30"/>
      <c r="AA9" s="30" t="s">
        <v>833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833</v>
      </c>
      <c r="AI9" s="33"/>
      <c r="AJ9" s="33" t="s">
        <v>833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840</v>
      </c>
      <c r="C10" s="41" t="s">
        <v>841</v>
      </c>
      <c r="D10" s="39" t="s">
        <v>830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46193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/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/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842</v>
      </c>
      <c r="C11" s="25" t="s">
        <v>843</v>
      </c>
      <c r="D11" s="23" t="s">
        <v>830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844</v>
      </c>
      <c r="L11" s="28" t="s">
        <v>57</v>
      </c>
      <c r="M11" s="29" t="str">
        <f t="shared" si="0"/>
        <v>✓ OK</v>
      </c>
      <c r="N11" s="42">
        <v>46193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844</v>
      </c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/>
      <c r="AA11" s="30" t="s">
        <v>58</v>
      </c>
      <c r="AB11" s="30" t="s">
        <v>56</v>
      </c>
      <c r="AC11" s="27" t="s">
        <v>844</v>
      </c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/>
      <c r="AJ11" s="33" t="s">
        <v>58</v>
      </c>
      <c r="AK11" s="33" t="s">
        <v>56</v>
      </c>
      <c r="AL11" s="27" t="s">
        <v>844</v>
      </c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845</v>
      </c>
      <c r="C12" s="41" t="s">
        <v>846</v>
      </c>
      <c r="D12" s="39" t="s">
        <v>830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46193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/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/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847</v>
      </c>
      <c r="C13" s="25" t="s">
        <v>848</v>
      </c>
      <c r="D13" s="23" t="s">
        <v>830</v>
      </c>
      <c r="E13" s="42">
        <v>46128</v>
      </c>
      <c r="F13" s="26" t="s">
        <v>55</v>
      </c>
      <c r="G13" s="44" t="s">
        <v>833</v>
      </c>
      <c r="H13" s="26" t="s">
        <v>57</v>
      </c>
      <c r="I13" s="44" t="s">
        <v>833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46193</v>
      </c>
      <c r="O13" s="26" t="s">
        <v>55</v>
      </c>
      <c r="P13" s="44" t="s">
        <v>833</v>
      </c>
      <c r="Q13" s="26" t="s">
        <v>57</v>
      </c>
      <c r="R13" s="44" t="s">
        <v>833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833</v>
      </c>
      <c r="Z13" s="30"/>
      <c r="AA13" s="30" t="s">
        <v>833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833</v>
      </c>
      <c r="AI13" s="33"/>
      <c r="AJ13" s="33" t="s">
        <v>833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849</v>
      </c>
      <c r="C14" s="41" t="s">
        <v>850</v>
      </c>
      <c r="D14" s="39" t="s">
        <v>830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851</v>
      </c>
      <c r="L14" s="28" t="s">
        <v>57</v>
      </c>
      <c r="M14" s="29" t="str">
        <f t="shared" si="0"/>
        <v>✓ OK</v>
      </c>
      <c r="N14" s="42">
        <v>46193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851</v>
      </c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/>
      <c r="AA14" s="30" t="s">
        <v>58</v>
      </c>
      <c r="AB14" s="30" t="s">
        <v>56</v>
      </c>
      <c r="AC14" s="27" t="s">
        <v>851</v>
      </c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/>
      <c r="AJ14" s="33" t="s">
        <v>58</v>
      </c>
      <c r="AK14" s="33" t="s">
        <v>56</v>
      </c>
      <c r="AL14" s="27" t="s">
        <v>851</v>
      </c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852</v>
      </c>
      <c r="C15" s="25" t="s">
        <v>853</v>
      </c>
      <c r="D15" s="23" t="s">
        <v>830</v>
      </c>
      <c r="E15" s="42">
        <v>46128</v>
      </c>
      <c r="F15" s="26" t="s">
        <v>55</v>
      </c>
      <c r="G15" s="44" t="s">
        <v>833</v>
      </c>
      <c r="H15" s="26" t="s">
        <v>57</v>
      </c>
      <c r="I15" s="44" t="s">
        <v>833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46193</v>
      </c>
      <c r="O15" s="26" t="s">
        <v>55</v>
      </c>
      <c r="P15" s="44" t="s">
        <v>833</v>
      </c>
      <c r="Q15" s="26" t="s">
        <v>57</v>
      </c>
      <c r="R15" s="44" t="s">
        <v>833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833</v>
      </c>
      <c r="Z15" s="30"/>
      <c r="AA15" s="30" t="s">
        <v>833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833</v>
      </c>
      <c r="AI15" s="33"/>
      <c r="AJ15" s="33" t="s">
        <v>833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854</v>
      </c>
      <c r="C16" s="41" t="s">
        <v>855</v>
      </c>
      <c r="D16" s="39" t="s">
        <v>830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844</v>
      </c>
      <c r="L16" s="28" t="s">
        <v>57</v>
      </c>
      <c r="M16" s="29" t="str">
        <f t="shared" si="0"/>
        <v>✓ OK</v>
      </c>
      <c r="N16" s="42">
        <v>46193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844</v>
      </c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/>
      <c r="AA16" s="30" t="s">
        <v>58</v>
      </c>
      <c r="AB16" s="30" t="s">
        <v>56</v>
      </c>
      <c r="AC16" s="27" t="s">
        <v>844</v>
      </c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/>
      <c r="AJ16" s="33" t="s">
        <v>58</v>
      </c>
      <c r="AK16" s="33" t="s">
        <v>56</v>
      </c>
      <c r="AL16" s="27" t="s">
        <v>844</v>
      </c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856</v>
      </c>
      <c r="C17" s="25" t="s">
        <v>857</v>
      </c>
      <c r="D17" s="23" t="s">
        <v>830</v>
      </c>
      <c r="E17" s="42">
        <v>46128</v>
      </c>
      <c r="F17" s="26" t="s">
        <v>55</v>
      </c>
      <c r="G17" s="44" t="s">
        <v>833</v>
      </c>
      <c r="H17" s="26" t="s">
        <v>57</v>
      </c>
      <c r="I17" s="44" t="s">
        <v>833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46193</v>
      </c>
      <c r="O17" s="26" t="s">
        <v>55</v>
      </c>
      <c r="P17" s="44" t="s">
        <v>833</v>
      </c>
      <c r="Q17" s="26" t="s">
        <v>57</v>
      </c>
      <c r="R17" s="44" t="s">
        <v>833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833</v>
      </c>
      <c r="Z17" s="30"/>
      <c r="AA17" s="30" t="s">
        <v>833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833</v>
      </c>
      <c r="AI17" s="33"/>
      <c r="AJ17" s="33" t="s">
        <v>833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858</v>
      </c>
      <c r="C18" s="41" t="s">
        <v>859</v>
      </c>
      <c r="D18" s="39" t="s">
        <v>830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46193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/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/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860</v>
      </c>
      <c r="C19" s="25" t="s">
        <v>861</v>
      </c>
      <c r="D19" s="23" t="s">
        <v>830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862</v>
      </c>
      <c r="L19" s="28" t="s">
        <v>57</v>
      </c>
      <c r="M19" s="29" t="str">
        <f t="shared" si="0"/>
        <v>✓ OK</v>
      </c>
      <c r="N19" s="42">
        <v>46193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862</v>
      </c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/>
      <c r="AA19" s="30" t="s">
        <v>58</v>
      </c>
      <c r="AB19" s="30" t="s">
        <v>56</v>
      </c>
      <c r="AC19" s="27" t="s">
        <v>862</v>
      </c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/>
      <c r="AJ19" s="33" t="s">
        <v>58</v>
      </c>
      <c r="AK19" s="33" t="s">
        <v>56</v>
      </c>
      <c r="AL19" s="27" t="s">
        <v>862</v>
      </c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863</v>
      </c>
      <c r="C20" s="41" t="s">
        <v>864</v>
      </c>
      <c r="D20" s="39" t="s">
        <v>830</v>
      </c>
      <c r="E20" s="42">
        <v>46128</v>
      </c>
      <c r="F20" s="26" t="s">
        <v>55</v>
      </c>
      <c r="G20" s="44" t="s">
        <v>833</v>
      </c>
      <c r="H20" s="26" t="s">
        <v>57</v>
      </c>
      <c r="I20" s="44" t="s">
        <v>833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46193</v>
      </c>
      <c r="O20" s="26" t="s">
        <v>55</v>
      </c>
      <c r="P20" s="44" t="s">
        <v>833</v>
      </c>
      <c r="Q20" s="26" t="s">
        <v>57</v>
      </c>
      <c r="R20" s="44" t="s">
        <v>833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833</v>
      </c>
      <c r="Z20" s="30"/>
      <c r="AA20" s="30" t="s">
        <v>833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833</v>
      </c>
      <c r="AI20" s="33"/>
      <c r="AJ20" s="33" t="s">
        <v>833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865</v>
      </c>
      <c r="C21" s="25" t="s">
        <v>866</v>
      </c>
      <c r="D21" s="23" t="s">
        <v>830</v>
      </c>
      <c r="E21" s="42">
        <v>46128</v>
      </c>
      <c r="F21" s="26" t="s">
        <v>55</v>
      </c>
      <c r="G21" s="44" t="s">
        <v>833</v>
      </c>
      <c r="H21" s="26" t="s">
        <v>57</v>
      </c>
      <c r="I21" s="44" t="s">
        <v>833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46193</v>
      </c>
      <c r="O21" s="26" t="s">
        <v>55</v>
      </c>
      <c r="P21" s="44" t="s">
        <v>833</v>
      </c>
      <c r="Q21" s="26" t="s">
        <v>57</v>
      </c>
      <c r="R21" s="44" t="s">
        <v>833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833</v>
      </c>
      <c r="Z21" s="30"/>
      <c r="AA21" s="30" t="s">
        <v>833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833</v>
      </c>
      <c r="AI21" s="33"/>
      <c r="AJ21" s="33" t="s">
        <v>833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867</v>
      </c>
      <c r="C22" s="41" t="s">
        <v>868</v>
      </c>
      <c r="D22" s="39" t="s">
        <v>830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46193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/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/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869</v>
      </c>
      <c r="C23" s="25" t="s">
        <v>870</v>
      </c>
      <c r="D23" s="23" t="s">
        <v>830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844</v>
      </c>
      <c r="L23" s="28" t="s">
        <v>57</v>
      </c>
      <c r="M23" s="29" t="str">
        <f t="shared" si="0"/>
        <v>✓ OK</v>
      </c>
      <c r="N23" s="42">
        <v>46193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844</v>
      </c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/>
      <c r="AA23" s="30" t="s">
        <v>58</v>
      </c>
      <c r="AB23" s="30" t="s">
        <v>56</v>
      </c>
      <c r="AC23" s="27" t="s">
        <v>844</v>
      </c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/>
      <c r="AJ23" s="33" t="s">
        <v>58</v>
      </c>
      <c r="AK23" s="33" t="s">
        <v>56</v>
      </c>
      <c r="AL23" s="27" t="s">
        <v>844</v>
      </c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871</v>
      </c>
      <c r="C24" s="41" t="s">
        <v>872</v>
      </c>
      <c r="D24" s="39" t="s">
        <v>830</v>
      </c>
      <c r="E24" s="42">
        <v>46128</v>
      </c>
      <c r="F24" s="26" t="s">
        <v>55</v>
      </c>
      <c r="G24" s="44" t="s">
        <v>833</v>
      </c>
      <c r="H24" s="26" t="s">
        <v>57</v>
      </c>
      <c r="I24" s="44" t="s">
        <v>833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46193</v>
      </c>
      <c r="O24" s="26" t="s">
        <v>55</v>
      </c>
      <c r="P24" s="44" t="s">
        <v>833</v>
      </c>
      <c r="Q24" s="26" t="s">
        <v>57</v>
      </c>
      <c r="R24" s="44" t="s">
        <v>833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833</v>
      </c>
      <c r="Z24" s="30"/>
      <c r="AA24" s="30" t="s">
        <v>833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833</v>
      </c>
      <c r="AI24" s="33"/>
      <c r="AJ24" s="33" t="s">
        <v>833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873</v>
      </c>
      <c r="C25" s="25" t="s">
        <v>874</v>
      </c>
      <c r="D25" s="23" t="s">
        <v>830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46193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/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/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875</v>
      </c>
      <c r="C26" s="41" t="s">
        <v>876</v>
      </c>
      <c r="D26" s="39" t="s">
        <v>830</v>
      </c>
      <c r="E26" s="42">
        <v>46128</v>
      </c>
      <c r="F26" s="26" t="s">
        <v>55</v>
      </c>
      <c r="G26" s="44" t="s">
        <v>833</v>
      </c>
      <c r="H26" s="26" t="s">
        <v>57</v>
      </c>
      <c r="I26" s="44" t="s">
        <v>833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46193</v>
      </c>
      <c r="O26" s="26" t="s">
        <v>55</v>
      </c>
      <c r="P26" s="44" t="s">
        <v>833</v>
      </c>
      <c r="Q26" s="26" t="s">
        <v>57</v>
      </c>
      <c r="R26" s="44" t="s">
        <v>833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833</v>
      </c>
      <c r="Z26" s="30"/>
      <c r="AA26" s="30" t="s">
        <v>833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833</v>
      </c>
      <c r="AI26" s="33"/>
      <c r="AJ26" s="33" t="s">
        <v>833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877</v>
      </c>
      <c r="C27" s="25" t="s">
        <v>878</v>
      </c>
      <c r="D27" s="23" t="s">
        <v>830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46193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/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56</v>
      </c>
      <c r="AI27" s="33"/>
      <c r="AJ27" s="33" t="s">
        <v>58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879</v>
      </c>
      <c r="C28" s="41" t="s">
        <v>880</v>
      </c>
      <c r="D28" s="39" t="s">
        <v>830</v>
      </c>
      <c r="E28" s="42">
        <v>46128</v>
      </c>
      <c r="F28" s="26" t="s">
        <v>55</v>
      </c>
      <c r="G28" s="44" t="s">
        <v>833</v>
      </c>
      <c r="H28" s="26" t="s">
        <v>57</v>
      </c>
      <c r="I28" s="44" t="s">
        <v>833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46193</v>
      </c>
      <c r="O28" s="26" t="s">
        <v>55</v>
      </c>
      <c r="P28" s="44" t="s">
        <v>833</v>
      </c>
      <c r="Q28" s="26" t="s">
        <v>57</v>
      </c>
      <c r="R28" s="44" t="s">
        <v>833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833</v>
      </c>
      <c r="Z28" s="30"/>
      <c r="AA28" s="30" t="s">
        <v>833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833</v>
      </c>
      <c r="AI28" s="33"/>
      <c r="AJ28" s="33" t="s">
        <v>833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881</v>
      </c>
      <c r="C29" s="25" t="s">
        <v>882</v>
      </c>
      <c r="D29" s="23" t="s">
        <v>830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851</v>
      </c>
      <c r="L29" s="28" t="s">
        <v>57</v>
      </c>
      <c r="M29" s="29" t="str">
        <f t="shared" si="0"/>
        <v>✓ OK</v>
      </c>
      <c r="N29" s="42">
        <v>46193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851</v>
      </c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/>
      <c r="AA29" s="30" t="s">
        <v>58</v>
      </c>
      <c r="AB29" s="30" t="s">
        <v>56</v>
      </c>
      <c r="AC29" s="27" t="s">
        <v>851</v>
      </c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/>
      <c r="AJ29" s="33" t="s">
        <v>58</v>
      </c>
      <c r="AK29" s="33" t="s">
        <v>56</v>
      </c>
      <c r="AL29" s="27" t="s">
        <v>851</v>
      </c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883</v>
      </c>
      <c r="C30" s="41" t="s">
        <v>884</v>
      </c>
      <c r="D30" s="39" t="s">
        <v>830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46193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/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/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885</v>
      </c>
      <c r="C31" s="25" t="s">
        <v>886</v>
      </c>
      <c r="D31" s="23" t="s">
        <v>887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46193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/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56</v>
      </c>
      <c r="AI31" s="33"/>
      <c r="AJ31" s="33" t="s">
        <v>58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888</v>
      </c>
      <c r="C32" s="41" t="s">
        <v>889</v>
      </c>
      <c r="D32" s="39" t="s">
        <v>887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46193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/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/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890</v>
      </c>
      <c r="C33" s="25" t="s">
        <v>891</v>
      </c>
      <c r="D33" s="23" t="s">
        <v>887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46193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/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/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892</v>
      </c>
      <c r="C34" s="41" t="s">
        <v>893</v>
      </c>
      <c r="D34" s="39" t="s">
        <v>887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46193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/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/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894</v>
      </c>
      <c r="C35" s="25" t="s">
        <v>895</v>
      </c>
      <c r="D35" s="23" t="s">
        <v>887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46193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/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56</v>
      </c>
      <c r="AI35" s="33"/>
      <c r="AJ35" s="33" t="s">
        <v>58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896</v>
      </c>
      <c r="C36" s="41" t="s">
        <v>897</v>
      </c>
      <c r="D36" s="39" t="s">
        <v>887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46193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/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/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898</v>
      </c>
      <c r="C37" s="25" t="s">
        <v>899</v>
      </c>
      <c r="D37" s="23" t="s">
        <v>887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46193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/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68" si="7">IF(W37="","",IF(Z37="Yes","❌ Disc",IF(Y37="No","⚠ Missing",IF(AB37="Yes","✓ OK","⚠ Check"))))</f>
        <v>✓ OK</v>
      </c>
      <c r="AF37" s="33" t="s">
        <v>61</v>
      </c>
      <c r="AG37" s="33" t="s">
        <v>55</v>
      </c>
      <c r="AH37" s="33" t="s">
        <v>56</v>
      </c>
      <c r="AI37" s="33"/>
      <c r="AJ37" s="33" t="s">
        <v>58</v>
      </c>
      <c r="AK37" s="33" t="s">
        <v>56</v>
      </c>
      <c r="AL37" s="27"/>
      <c r="AM37" s="34" t="s">
        <v>57</v>
      </c>
      <c r="AN37" s="35" t="str">
        <f t="shared" ref="AN37:AN68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900</v>
      </c>
      <c r="C38" s="41" t="s">
        <v>901</v>
      </c>
      <c r="D38" s="39" t="s">
        <v>887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46193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/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 t="s">
        <v>61</v>
      </c>
      <c r="AG38" s="33" t="s">
        <v>55</v>
      </c>
      <c r="AH38" s="33" t="s">
        <v>56</v>
      </c>
      <c r="AI38" s="33"/>
      <c r="AJ38" s="33" t="s">
        <v>58</v>
      </c>
      <c r="AK38" s="33" t="s">
        <v>56</v>
      </c>
      <c r="AL38" s="27"/>
      <c r="AM38" s="34" t="s">
        <v>57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902</v>
      </c>
      <c r="C39" s="25" t="s">
        <v>903</v>
      </c>
      <c r="D39" s="23" t="s">
        <v>887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46193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56</v>
      </c>
      <c r="Z39" s="30"/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 t="s">
        <v>61</v>
      </c>
      <c r="AG39" s="33" t="s">
        <v>55</v>
      </c>
      <c r="AH39" s="33" t="s">
        <v>56</v>
      </c>
      <c r="AI39" s="33"/>
      <c r="AJ39" s="33" t="s">
        <v>58</v>
      </c>
      <c r="AK39" s="33" t="s">
        <v>56</v>
      </c>
      <c r="AL39" s="27"/>
      <c r="AM39" s="34" t="s">
        <v>57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904</v>
      </c>
      <c r="C40" s="41" t="s">
        <v>905</v>
      </c>
      <c r="D40" s="39" t="s">
        <v>887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46193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/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 t="s">
        <v>61</v>
      </c>
      <c r="AG40" s="33" t="s">
        <v>55</v>
      </c>
      <c r="AH40" s="33" t="s">
        <v>56</v>
      </c>
      <c r="AI40" s="33"/>
      <c r="AJ40" s="33" t="s">
        <v>58</v>
      </c>
      <c r="AK40" s="33" t="s">
        <v>56</v>
      </c>
      <c r="AL40" s="27"/>
      <c r="AM40" s="34" t="s">
        <v>57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906</v>
      </c>
      <c r="C41" s="25" t="s">
        <v>907</v>
      </c>
      <c r="D41" s="23" t="s">
        <v>887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46193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/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 t="s">
        <v>61</v>
      </c>
      <c r="AG41" s="33" t="s">
        <v>55</v>
      </c>
      <c r="AH41" s="33" t="s">
        <v>56</v>
      </c>
      <c r="AI41" s="33"/>
      <c r="AJ41" s="33" t="s">
        <v>58</v>
      </c>
      <c r="AK41" s="33" t="s">
        <v>56</v>
      </c>
      <c r="AL41" s="27"/>
      <c r="AM41" s="34" t="s">
        <v>57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908</v>
      </c>
      <c r="C42" s="41" t="s">
        <v>909</v>
      </c>
      <c r="D42" s="39" t="s">
        <v>887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46193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/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 t="s">
        <v>61</v>
      </c>
      <c r="AG42" s="33" t="s">
        <v>55</v>
      </c>
      <c r="AH42" s="33" t="s">
        <v>56</v>
      </c>
      <c r="AI42" s="33"/>
      <c r="AJ42" s="33" t="s">
        <v>58</v>
      </c>
      <c r="AK42" s="33" t="s">
        <v>56</v>
      </c>
      <c r="AL42" s="27"/>
      <c r="AM42" s="34" t="s">
        <v>57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910</v>
      </c>
      <c r="C43" s="25" t="s">
        <v>911</v>
      </c>
      <c r="D43" s="23" t="s">
        <v>887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46193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/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 t="s">
        <v>61</v>
      </c>
      <c r="AG43" s="33" t="s">
        <v>55</v>
      </c>
      <c r="AH43" s="33" t="s">
        <v>56</v>
      </c>
      <c r="AI43" s="33"/>
      <c r="AJ43" s="33" t="s">
        <v>58</v>
      </c>
      <c r="AK43" s="33" t="s">
        <v>56</v>
      </c>
      <c r="AL43" s="27"/>
      <c r="AM43" s="34" t="s">
        <v>57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912</v>
      </c>
      <c r="C44" s="41" t="s">
        <v>913</v>
      </c>
      <c r="D44" s="39" t="s">
        <v>887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46193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/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 t="s">
        <v>61</v>
      </c>
      <c r="AG44" s="33" t="s">
        <v>55</v>
      </c>
      <c r="AH44" s="33" t="s">
        <v>56</v>
      </c>
      <c r="AI44" s="33"/>
      <c r="AJ44" s="33" t="s">
        <v>58</v>
      </c>
      <c r="AK44" s="33" t="s">
        <v>56</v>
      </c>
      <c r="AL44" s="27"/>
      <c r="AM44" s="34" t="s">
        <v>57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914</v>
      </c>
      <c r="C45" s="25" t="s">
        <v>915</v>
      </c>
      <c r="D45" s="23" t="s">
        <v>887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46193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/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 t="s">
        <v>61</v>
      </c>
      <c r="AG45" s="33" t="s">
        <v>55</v>
      </c>
      <c r="AH45" s="33" t="s">
        <v>56</v>
      </c>
      <c r="AI45" s="33"/>
      <c r="AJ45" s="33" t="s">
        <v>58</v>
      </c>
      <c r="AK45" s="33" t="s">
        <v>56</v>
      </c>
      <c r="AL45" s="27"/>
      <c r="AM45" s="34" t="s">
        <v>57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916</v>
      </c>
      <c r="C46" s="41" t="s">
        <v>917</v>
      </c>
      <c r="D46" s="39" t="s">
        <v>887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46193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/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 t="s">
        <v>61</v>
      </c>
      <c r="AG46" s="33" t="s">
        <v>55</v>
      </c>
      <c r="AH46" s="33" t="s">
        <v>56</v>
      </c>
      <c r="AI46" s="33"/>
      <c r="AJ46" s="33" t="s">
        <v>58</v>
      </c>
      <c r="AK46" s="33" t="s">
        <v>56</v>
      </c>
      <c r="AL46" s="27"/>
      <c r="AM46" s="34" t="s">
        <v>57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918</v>
      </c>
      <c r="C47" s="25" t="s">
        <v>919</v>
      </c>
      <c r="D47" s="23" t="s">
        <v>887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46193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56</v>
      </c>
      <c r="Z47" s="30"/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 t="s">
        <v>61</v>
      </c>
      <c r="AG47" s="33" t="s">
        <v>55</v>
      </c>
      <c r="AH47" s="33" t="s">
        <v>56</v>
      </c>
      <c r="AI47" s="33"/>
      <c r="AJ47" s="33" t="s">
        <v>58</v>
      </c>
      <c r="AK47" s="33" t="s">
        <v>56</v>
      </c>
      <c r="AL47" s="27"/>
      <c r="AM47" s="34" t="s">
        <v>57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920</v>
      </c>
      <c r="C48" s="41" t="s">
        <v>921</v>
      </c>
      <c r="D48" s="39" t="s">
        <v>887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46193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/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 t="s">
        <v>61</v>
      </c>
      <c r="AG48" s="33" t="s">
        <v>55</v>
      </c>
      <c r="AH48" s="33" t="s">
        <v>56</v>
      </c>
      <c r="AI48" s="33"/>
      <c r="AJ48" s="33" t="s">
        <v>58</v>
      </c>
      <c r="AK48" s="33" t="s">
        <v>56</v>
      </c>
      <c r="AL48" s="27"/>
      <c r="AM48" s="34" t="s">
        <v>57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922</v>
      </c>
      <c r="C49" s="25" t="s">
        <v>923</v>
      </c>
      <c r="D49" s="23" t="s">
        <v>887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46193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56</v>
      </c>
      <c r="Z49" s="30"/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 t="s">
        <v>61</v>
      </c>
      <c r="AG49" s="33" t="s">
        <v>55</v>
      </c>
      <c r="AH49" s="33" t="s">
        <v>56</v>
      </c>
      <c r="AI49" s="33"/>
      <c r="AJ49" s="33" t="s">
        <v>58</v>
      </c>
      <c r="AK49" s="33" t="s">
        <v>56</v>
      </c>
      <c r="AL49" s="27"/>
      <c r="AM49" s="34" t="s">
        <v>57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924</v>
      </c>
      <c r="C50" s="41" t="s">
        <v>925</v>
      </c>
      <c r="D50" s="39" t="s">
        <v>887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46193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/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 t="s">
        <v>61</v>
      </c>
      <c r="AG50" s="33" t="s">
        <v>55</v>
      </c>
      <c r="AH50" s="33" t="s">
        <v>56</v>
      </c>
      <c r="AI50" s="33"/>
      <c r="AJ50" s="33" t="s">
        <v>58</v>
      </c>
      <c r="AK50" s="33" t="s">
        <v>56</v>
      </c>
      <c r="AL50" s="27"/>
      <c r="AM50" s="34" t="s">
        <v>57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926</v>
      </c>
      <c r="C51" s="25" t="s">
        <v>927</v>
      </c>
      <c r="D51" s="23" t="s">
        <v>887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46193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/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 t="s">
        <v>61</v>
      </c>
      <c r="AG51" s="33" t="s">
        <v>55</v>
      </c>
      <c r="AH51" s="33" t="s">
        <v>56</v>
      </c>
      <c r="AI51" s="33"/>
      <c r="AJ51" s="33" t="s">
        <v>58</v>
      </c>
      <c r="AK51" s="33" t="s">
        <v>56</v>
      </c>
      <c r="AL51" s="27"/>
      <c r="AM51" s="34" t="s">
        <v>57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928</v>
      </c>
      <c r="C52" s="41" t="s">
        <v>929</v>
      </c>
      <c r="D52" s="39" t="s">
        <v>887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184</v>
      </c>
      <c r="L52" s="28" t="s">
        <v>56</v>
      </c>
      <c r="M52" s="29" t="str">
        <f t="shared" si="5"/>
        <v>⚠ Check</v>
      </c>
      <c r="N52" s="42">
        <v>46193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57</v>
      </c>
      <c r="T52" s="27" t="s">
        <v>184</v>
      </c>
      <c r="U52" s="28" t="s">
        <v>56</v>
      </c>
      <c r="V52" s="29" t="str">
        <f t="shared" si="6"/>
        <v>⚠ Check</v>
      </c>
      <c r="W52" s="70">
        <v>46248</v>
      </c>
      <c r="X52" s="30" t="s">
        <v>55</v>
      </c>
      <c r="Y52" s="30" t="s">
        <v>56</v>
      </c>
      <c r="Z52" s="30"/>
      <c r="AA52" s="30" t="s">
        <v>58</v>
      </c>
      <c r="AB52" s="30" t="s">
        <v>57</v>
      </c>
      <c r="AC52" s="27" t="s">
        <v>184</v>
      </c>
      <c r="AD52" s="31" t="s">
        <v>56</v>
      </c>
      <c r="AE52" s="32" t="str">
        <f t="shared" si="7"/>
        <v>⚠ Check</v>
      </c>
      <c r="AF52" s="33" t="s">
        <v>61</v>
      </c>
      <c r="AG52" s="33" t="s">
        <v>55</v>
      </c>
      <c r="AH52" s="33" t="s">
        <v>56</v>
      </c>
      <c r="AI52" s="33"/>
      <c r="AJ52" s="33" t="s">
        <v>58</v>
      </c>
      <c r="AK52" s="33" t="s">
        <v>56</v>
      </c>
      <c r="AL52" s="27" t="s">
        <v>184</v>
      </c>
      <c r="AM52" s="34" t="s">
        <v>57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930</v>
      </c>
      <c r="C53" s="25" t="s">
        <v>931</v>
      </c>
      <c r="D53" s="23" t="s">
        <v>887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46193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56</v>
      </c>
      <c r="Z53" s="30"/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 t="s">
        <v>61</v>
      </c>
      <c r="AG53" s="33" t="s">
        <v>55</v>
      </c>
      <c r="AH53" s="33" t="s">
        <v>56</v>
      </c>
      <c r="AI53" s="33"/>
      <c r="AJ53" s="33" t="s">
        <v>58</v>
      </c>
      <c r="AK53" s="33" t="s">
        <v>56</v>
      </c>
      <c r="AL53" s="27"/>
      <c r="AM53" s="34" t="s">
        <v>57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932</v>
      </c>
      <c r="C54" s="41" t="s">
        <v>933</v>
      </c>
      <c r="D54" s="39" t="s">
        <v>887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46193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/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 t="s">
        <v>61</v>
      </c>
      <c r="AG54" s="33" t="s">
        <v>55</v>
      </c>
      <c r="AH54" s="33" t="s">
        <v>56</v>
      </c>
      <c r="AI54" s="33"/>
      <c r="AJ54" s="33" t="s">
        <v>58</v>
      </c>
      <c r="AK54" s="33" t="s">
        <v>56</v>
      </c>
      <c r="AL54" s="27"/>
      <c r="AM54" s="34" t="s">
        <v>57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934</v>
      </c>
      <c r="C55" s="25" t="s">
        <v>934</v>
      </c>
      <c r="D55" s="23" t="s">
        <v>887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46193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56</v>
      </c>
      <c r="Z55" s="30"/>
      <c r="AA55" s="30" t="s">
        <v>58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 t="s">
        <v>61</v>
      </c>
      <c r="AG55" s="33" t="s">
        <v>55</v>
      </c>
      <c r="AH55" s="33" t="s">
        <v>56</v>
      </c>
      <c r="AI55" s="33"/>
      <c r="AJ55" s="33" t="s">
        <v>58</v>
      </c>
      <c r="AK55" s="33" t="s">
        <v>56</v>
      </c>
      <c r="AL55" s="27"/>
      <c r="AM55" s="34" t="s">
        <v>57</v>
      </c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935</v>
      </c>
      <c r="C56" s="41" t="s">
        <v>936</v>
      </c>
      <c r="D56" s="39" t="s">
        <v>887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46193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/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 t="s">
        <v>61</v>
      </c>
      <c r="AG56" s="33" t="s">
        <v>55</v>
      </c>
      <c r="AH56" s="33" t="s">
        <v>56</v>
      </c>
      <c r="AI56" s="33"/>
      <c r="AJ56" s="33" t="s">
        <v>58</v>
      </c>
      <c r="AK56" s="33" t="s">
        <v>56</v>
      </c>
      <c r="AL56" s="27"/>
      <c r="AM56" s="34" t="s">
        <v>57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937</v>
      </c>
      <c r="C57" s="25" t="s">
        <v>938</v>
      </c>
      <c r="D57" s="23" t="s">
        <v>887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184</v>
      </c>
      <c r="L57" s="28" t="s">
        <v>56</v>
      </c>
      <c r="M57" s="29" t="str">
        <f t="shared" si="5"/>
        <v>⚠ Check</v>
      </c>
      <c r="N57" s="42">
        <v>46193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57</v>
      </c>
      <c r="T57" s="27" t="s">
        <v>184</v>
      </c>
      <c r="U57" s="28" t="s">
        <v>56</v>
      </c>
      <c r="V57" s="29" t="str">
        <f t="shared" si="6"/>
        <v>⚠ Check</v>
      </c>
      <c r="W57" s="70">
        <v>46248</v>
      </c>
      <c r="X57" s="30" t="s">
        <v>55</v>
      </c>
      <c r="Y57" s="30" t="s">
        <v>56</v>
      </c>
      <c r="Z57" s="30"/>
      <c r="AA57" s="30" t="s">
        <v>58</v>
      </c>
      <c r="AB57" s="30" t="s">
        <v>57</v>
      </c>
      <c r="AC57" s="27" t="s">
        <v>184</v>
      </c>
      <c r="AD57" s="31" t="s">
        <v>56</v>
      </c>
      <c r="AE57" s="32" t="str">
        <f t="shared" si="7"/>
        <v>⚠ Check</v>
      </c>
      <c r="AF57" s="33" t="s">
        <v>61</v>
      </c>
      <c r="AG57" s="33" t="s">
        <v>55</v>
      </c>
      <c r="AH57" s="33" t="s">
        <v>56</v>
      </c>
      <c r="AI57" s="33"/>
      <c r="AJ57" s="33" t="s">
        <v>58</v>
      </c>
      <c r="AK57" s="33" t="s">
        <v>56</v>
      </c>
      <c r="AL57" s="27" t="s">
        <v>184</v>
      </c>
      <c r="AM57" s="34" t="s">
        <v>57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939</v>
      </c>
      <c r="C58" s="41" t="s">
        <v>940</v>
      </c>
      <c r="D58" s="39" t="s">
        <v>887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46193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/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 t="s">
        <v>61</v>
      </c>
      <c r="AG58" s="33" t="s">
        <v>55</v>
      </c>
      <c r="AH58" s="33" t="s">
        <v>56</v>
      </c>
      <c r="AI58" s="33"/>
      <c r="AJ58" s="33" t="s">
        <v>58</v>
      </c>
      <c r="AK58" s="33" t="s">
        <v>56</v>
      </c>
      <c r="AL58" s="27"/>
      <c r="AM58" s="34" t="s">
        <v>57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941</v>
      </c>
      <c r="C59" s="25" t="s">
        <v>942</v>
      </c>
      <c r="D59" s="23" t="s">
        <v>887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46193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/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 t="s">
        <v>61</v>
      </c>
      <c r="AG59" s="33" t="s">
        <v>55</v>
      </c>
      <c r="AH59" s="33" t="s">
        <v>56</v>
      </c>
      <c r="AI59" s="33"/>
      <c r="AJ59" s="33" t="s">
        <v>58</v>
      </c>
      <c r="AK59" s="33" t="s">
        <v>56</v>
      </c>
      <c r="AL59" s="27"/>
      <c r="AM59" s="34" t="s">
        <v>57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943</v>
      </c>
      <c r="C60" s="41" t="s">
        <v>944</v>
      </c>
      <c r="D60" s="39" t="s">
        <v>887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184</v>
      </c>
      <c r="L60" s="28" t="s">
        <v>56</v>
      </c>
      <c r="M60" s="29" t="str">
        <f t="shared" si="5"/>
        <v>⚠ Check</v>
      </c>
      <c r="N60" s="42">
        <v>46193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57</v>
      </c>
      <c r="T60" s="27" t="s">
        <v>184</v>
      </c>
      <c r="U60" s="28" t="s">
        <v>56</v>
      </c>
      <c r="V60" s="29" t="str">
        <f t="shared" si="6"/>
        <v>⚠ Check</v>
      </c>
      <c r="W60" s="70">
        <v>46248</v>
      </c>
      <c r="X60" s="30" t="s">
        <v>55</v>
      </c>
      <c r="Y60" s="30" t="s">
        <v>56</v>
      </c>
      <c r="Z60" s="30"/>
      <c r="AA60" s="30" t="s">
        <v>58</v>
      </c>
      <c r="AB60" s="30" t="s">
        <v>57</v>
      </c>
      <c r="AC60" s="27" t="s">
        <v>184</v>
      </c>
      <c r="AD60" s="31" t="s">
        <v>56</v>
      </c>
      <c r="AE60" s="32" t="str">
        <f t="shared" si="7"/>
        <v>⚠ Check</v>
      </c>
      <c r="AF60" s="33" t="s">
        <v>61</v>
      </c>
      <c r="AG60" s="33" t="s">
        <v>55</v>
      </c>
      <c r="AH60" s="33" t="s">
        <v>56</v>
      </c>
      <c r="AI60" s="33"/>
      <c r="AJ60" s="33" t="s">
        <v>58</v>
      </c>
      <c r="AK60" s="33" t="s">
        <v>56</v>
      </c>
      <c r="AL60" s="27" t="s">
        <v>184</v>
      </c>
      <c r="AM60" s="34" t="s">
        <v>57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945</v>
      </c>
      <c r="C61" s="25" t="s">
        <v>946</v>
      </c>
      <c r="D61" s="23" t="s">
        <v>887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46193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56</v>
      </c>
      <c r="Z61" s="30"/>
      <c r="AA61" s="30" t="s">
        <v>58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 t="s">
        <v>61</v>
      </c>
      <c r="AG61" s="33" t="s">
        <v>55</v>
      </c>
      <c r="AH61" s="33" t="s">
        <v>56</v>
      </c>
      <c r="AI61" s="33"/>
      <c r="AJ61" s="33" t="s">
        <v>58</v>
      </c>
      <c r="AK61" s="33" t="s">
        <v>56</v>
      </c>
      <c r="AL61" s="27"/>
      <c r="AM61" s="34" t="s">
        <v>57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947</v>
      </c>
      <c r="C62" s="41" t="s">
        <v>948</v>
      </c>
      <c r="D62" s="39" t="s">
        <v>887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46193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/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 t="s">
        <v>61</v>
      </c>
      <c r="AG62" s="33" t="s">
        <v>55</v>
      </c>
      <c r="AH62" s="33" t="s">
        <v>56</v>
      </c>
      <c r="AI62" s="33"/>
      <c r="AJ62" s="33" t="s">
        <v>58</v>
      </c>
      <c r="AK62" s="33" t="s">
        <v>56</v>
      </c>
      <c r="AL62" s="27"/>
      <c r="AM62" s="34" t="s">
        <v>57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949</v>
      </c>
      <c r="C63" s="25" t="s">
        <v>950</v>
      </c>
      <c r="D63" s="23" t="s">
        <v>887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184</v>
      </c>
      <c r="L63" s="28" t="s">
        <v>56</v>
      </c>
      <c r="M63" s="29" t="str">
        <f t="shared" si="5"/>
        <v>⚠ Check</v>
      </c>
      <c r="N63" s="42">
        <v>46193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184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/>
      <c r="AA63" s="30" t="s">
        <v>58</v>
      </c>
      <c r="AB63" s="30" t="s">
        <v>57</v>
      </c>
      <c r="AC63" s="27" t="s">
        <v>184</v>
      </c>
      <c r="AD63" s="31" t="s">
        <v>56</v>
      </c>
      <c r="AE63" s="32" t="str">
        <f t="shared" si="7"/>
        <v>⚠ Check</v>
      </c>
      <c r="AF63" s="33" t="s">
        <v>61</v>
      </c>
      <c r="AG63" s="33" t="s">
        <v>55</v>
      </c>
      <c r="AH63" s="33" t="s">
        <v>56</v>
      </c>
      <c r="AI63" s="33"/>
      <c r="AJ63" s="33" t="s">
        <v>58</v>
      </c>
      <c r="AK63" s="33" t="s">
        <v>56</v>
      </c>
      <c r="AL63" s="27" t="s">
        <v>184</v>
      </c>
      <c r="AM63" s="34" t="s">
        <v>57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951</v>
      </c>
      <c r="C64" s="41" t="s">
        <v>952</v>
      </c>
      <c r="D64" s="39" t="s">
        <v>887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46193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/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 t="s">
        <v>61</v>
      </c>
      <c r="AG64" s="33" t="s">
        <v>55</v>
      </c>
      <c r="AH64" s="33" t="s">
        <v>56</v>
      </c>
      <c r="AI64" s="33"/>
      <c r="AJ64" s="33" t="s">
        <v>58</v>
      </c>
      <c r="AK64" s="33" t="s">
        <v>56</v>
      </c>
      <c r="AL64" s="27"/>
      <c r="AM64" s="34" t="s">
        <v>57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953</v>
      </c>
      <c r="C65" s="25" t="s">
        <v>953</v>
      </c>
      <c r="D65" s="23" t="s">
        <v>887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46193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/>
      <c r="AA65" s="30" t="s">
        <v>58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 t="s">
        <v>61</v>
      </c>
      <c r="AG65" s="33" t="s">
        <v>55</v>
      </c>
      <c r="AH65" s="33" t="s">
        <v>56</v>
      </c>
      <c r="AI65" s="33"/>
      <c r="AJ65" s="33" t="s">
        <v>58</v>
      </c>
      <c r="AK65" s="33" t="s">
        <v>56</v>
      </c>
      <c r="AL65" s="27"/>
      <c r="AM65" s="34" t="s">
        <v>57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954</v>
      </c>
      <c r="C66" s="41" t="s">
        <v>955</v>
      </c>
      <c r="D66" s="39" t="s">
        <v>887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46193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/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 t="s">
        <v>61</v>
      </c>
      <c r="AG66" s="33" t="s">
        <v>55</v>
      </c>
      <c r="AH66" s="33" t="s">
        <v>56</v>
      </c>
      <c r="AI66" s="33"/>
      <c r="AJ66" s="33" t="s">
        <v>58</v>
      </c>
      <c r="AK66" s="33" t="s">
        <v>56</v>
      </c>
      <c r="AL66" s="27"/>
      <c r="AM66" s="34" t="s">
        <v>57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956</v>
      </c>
      <c r="C67" s="25" t="s">
        <v>957</v>
      </c>
      <c r="D67" s="23" t="s">
        <v>887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46193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/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 t="s">
        <v>61</v>
      </c>
      <c r="AG67" s="33" t="s">
        <v>55</v>
      </c>
      <c r="AH67" s="33" t="s">
        <v>56</v>
      </c>
      <c r="AI67" s="33"/>
      <c r="AJ67" s="33" t="s">
        <v>58</v>
      </c>
      <c r="AK67" s="33" t="s">
        <v>56</v>
      </c>
      <c r="AL67" s="27"/>
      <c r="AM67" s="34" t="s">
        <v>57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958</v>
      </c>
      <c r="C68" s="41" t="s">
        <v>959</v>
      </c>
      <c r="D68" s="39" t="s">
        <v>887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184</v>
      </c>
      <c r="L68" s="28" t="s">
        <v>56</v>
      </c>
      <c r="M68" s="29" t="str">
        <f t="shared" si="5"/>
        <v>⚠ Check</v>
      </c>
      <c r="N68" s="42">
        <v>46193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57</v>
      </c>
      <c r="T68" s="27" t="s">
        <v>184</v>
      </c>
      <c r="U68" s="28" t="s">
        <v>56</v>
      </c>
      <c r="V68" s="29" t="str">
        <f t="shared" si="6"/>
        <v>⚠ Check</v>
      </c>
      <c r="W68" s="70">
        <v>46248</v>
      </c>
      <c r="X68" s="30" t="s">
        <v>55</v>
      </c>
      <c r="Y68" s="30" t="s">
        <v>56</v>
      </c>
      <c r="Z68" s="30"/>
      <c r="AA68" s="30" t="s">
        <v>58</v>
      </c>
      <c r="AB68" s="30" t="s">
        <v>57</v>
      </c>
      <c r="AC68" s="27" t="s">
        <v>184</v>
      </c>
      <c r="AD68" s="31" t="s">
        <v>56</v>
      </c>
      <c r="AE68" s="32" t="str">
        <f t="shared" si="7"/>
        <v>⚠ Check</v>
      </c>
      <c r="AF68" s="33" t="s">
        <v>61</v>
      </c>
      <c r="AG68" s="33" t="s">
        <v>55</v>
      </c>
      <c r="AH68" s="33" t="s">
        <v>56</v>
      </c>
      <c r="AI68" s="33"/>
      <c r="AJ68" s="33" t="s">
        <v>58</v>
      </c>
      <c r="AK68" s="33" t="s">
        <v>56</v>
      </c>
      <c r="AL68" s="27" t="s">
        <v>184</v>
      </c>
      <c r="AM68" s="34" t="s">
        <v>57</v>
      </c>
      <c r="AN68" s="35" t="str">
        <f t="shared" si="8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960</v>
      </c>
      <c r="C69" s="25" t="s">
        <v>961</v>
      </c>
      <c r="D69" s="23" t="s">
        <v>887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10">IF(E69="","",IF(H69="Yes","❌ Disc",IF(G69="No","⚠ Missing",IF(J69="Yes","✓ OK","⚠ Check"))))</f>
        <v>✓ OK</v>
      </c>
      <c r="N69" s="42">
        <v>46193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/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85" si="12">IF(W69="","",IF(Z69="Yes","❌ Disc",IF(Y69="No","⚠ Missing",IF(AB69="Yes","✓ OK","⚠ Check"))))</f>
        <v>✓ OK</v>
      </c>
      <c r="AF69" s="33" t="s">
        <v>61</v>
      </c>
      <c r="AG69" s="33" t="s">
        <v>55</v>
      </c>
      <c r="AH69" s="33" t="s">
        <v>56</v>
      </c>
      <c r="AI69" s="33"/>
      <c r="AJ69" s="33" t="s">
        <v>58</v>
      </c>
      <c r="AK69" s="33" t="s">
        <v>56</v>
      </c>
      <c r="AL69" s="27"/>
      <c r="AM69" s="34" t="s">
        <v>57</v>
      </c>
      <c r="AN69" s="35" t="str">
        <f t="shared" ref="AN69:AN85" si="13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962</v>
      </c>
      <c r="C70" s="41" t="s">
        <v>963</v>
      </c>
      <c r="D70" s="39" t="s">
        <v>887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42">
        <v>46193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1"/>
        <v>✓ OK</v>
      </c>
      <c r="W70" s="70">
        <v>46248</v>
      </c>
      <c r="X70" s="30" t="s">
        <v>55</v>
      </c>
      <c r="Y70" s="30" t="s">
        <v>56</v>
      </c>
      <c r="Z70" s="30"/>
      <c r="AA70" s="30" t="s">
        <v>58</v>
      </c>
      <c r="AB70" s="30" t="s">
        <v>56</v>
      </c>
      <c r="AC70" s="27"/>
      <c r="AD70" s="31" t="s">
        <v>57</v>
      </c>
      <c r="AE70" s="32" t="str">
        <f t="shared" si="12"/>
        <v>✓ OK</v>
      </c>
      <c r="AF70" s="33" t="s">
        <v>61</v>
      </c>
      <c r="AG70" s="33" t="s">
        <v>55</v>
      </c>
      <c r="AH70" s="33" t="s">
        <v>56</v>
      </c>
      <c r="AI70" s="33"/>
      <c r="AJ70" s="33" t="s">
        <v>58</v>
      </c>
      <c r="AK70" s="33" t="s">
        <v>56</v>
      </c>
      <c r="AL70" s="27"/>
      <c r="AM70" s="34" t="s">
        <v>57</v>
      </c>
      <c r="AN70" s="35" t="str">
        <f t="shared" si="13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964</v>
      </c>
      <c r="C71" s="25" t="s">
        <v>965</v>
      </c>
      <c r="D71" s="23" t="s">
        <v>887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46193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/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 t="s">
        <v>61</v>
      </c>
      <c r="AG71" s="33" t="s">
        <v>55</v>
      </c>
      <c r="AH71" s="33" t="s">
        <v>56</v>
      </c>
      <c r="AI71" s="33"/>
      <c r="AJ71" s="33" t="s">
        <v>58</v>
      </c>
      <c r="AK71" s="33" t="s">
        <v>56</v>
      </c>
      <c r="AL71" s="27"/>
      <c r="AM71" s="34" t="s">
        <v>57</v>
      </c>
      <c r="AN71" s="35" t="str">
        <f t="shared" si="13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966</v>
      </c>
      <c r="C72" s="41" t="s">
        <v>967</v>
      </c>
      <c r="D72" s="39" t="s">
        <v>887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46193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/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 t="s">
        <v>61</v>
      </c>
      <c r="AG72" s="33" t="s">
        <v>55</v>
      </c>
      <c r="AH72" s="33" t="s">
        <v>56</v>
      </c>
      <c r="AI72" s="33"/>
      <c r="AJ72" s="33" t="s">
        <v>58</v>
      </c>
      <c r="AK72" s="33" t="s">
        <v>56</v>
      </c>
      <c r="AL72" s="27"/>
      <c r="AM72" s="34" t="s">
        <v>57</v>
      </c>
      <c r="AN72" s="35" t="str">
        <f t="shared" si="13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968</v>
      </c>
      <c r="C73" s="25" t="s">
        <v>969</v>
      </c>
      <c r="D73" s="23" t="s">
        <v>887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2">
        <v>46193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1"/>
        <v>✓ OK</v>
      </c>
      <c r="W73" s="70">
        <v>46248</v>
      </c>
      <c r="X73" s="30" t="s">
        <v>55</v>
      </c>
      <c r="Y73" s="30" t="s">
        <v>56</v>
      </c>
      <c r="Z73" s="30"/>
      <c r="AA73" s="30" t="s">
        <v>58</v>
      </c>
      <c r="AB73" s="30" t="s">
        <v>56</v>
      </c>
      <c r="AC73" s="27"/>
      <c r="AD73" s="31" t="s">
        <v>57</v>
      </c>
      <c r="AE73" s="32" t="str">
        <f t="shared" si="12"/>
        <v>✓ OK</v>
      </c>
      <c r="AF73" s="33" t="s">
        <v>61</v>
      </c>
      <c r="AG73" s="33" t="s">
        <v>55</v>
      </c>
      <c r="AH73" s="33" t="s">
        <v>56</v>
      </c>
      <c r="AI73" s="33"/>
      <c r="AJ73" s="33" t="s">
        <v>58</v>
      </c>
      <c r="AK73" s="33" t="s">
        <v>56</v>
      </c>
      <c r="AL73" s="27"/>
      <c r="AM73" s="34" t="s">
        <v>57</v>
      </c>
      <c r="AN73" s="35" t="str">
        <f t="shared" si="13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970</v>
      </c>
      <c r="C74" s="41" t="s">
        <v>971</v>
      </c>
      <c r="D74" s="39" t="s">
        <v>887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184</v>
      </c>
      <c r="L74" s="28" t="s">
        <v>56</v>
      </c>
      <c r="M74" s="29" t="str">
        <f t="shared" si="10"/>
        <v>⚠ Check</v>
      </c>
      <c r="N74" s="42">
        <v>46193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57</v>
      </c>
      <c r="T74" s="27" t="s">
        <v>184</v>
      </c>
      <c r="U74" s="28" t="s">
        <v>56</v>
      </c>
      <c r="V74" s="29" t="str">
        <f t="shared" si="11"/>
        <v>⚠ Check</v>
      </c>
      <c r="W74" s="70">
        <v>46248</v>
      </c>
      <c r="X74" s="30" t="s">
        <v>55</v>
      </c>
      <c r="Y74" s="30" t="s">
        <v>56</v>
      </c>
      <c r="Z74" s="30"/>
      <c r="AA74" s="30" t="s">
        <v>58</v>
      </c>
      <c r="AB74" s="30" t="s">
        <v>57</v>
      </c>
      <c r="AC74" s="27" t="s">
        <v>184</v>
      </c>
      <c r="AD74" s="31" t="s">
        <v>56</v>
      </c>
      <c r="AE74" s="32" t="str">
        <f t="shared" si="12"/>
        <v>⚠ Check</v>
      </c>
      <c r="AF74" s="33" t="s">
        <v>61</v>
      </c>
      <c r="AG74" s="33" t="s">
        <v>55</v>
      </c>
      <c r="AH74" s="33" t="s">
        <v>56</v>
      </c>
      <c r="AI74" s="33"/>
      <c r="AJ74" s="33" t="s">
        <v>58</v>
      </c>
      <c r="AK74" s="33" t="s">
        <v>56</v>
      </c>
      <c r="AL74" s="27" t="s">
        <v>184</v>
      </c>
      <c r="AM74" s="34" t="s">
        <v>57</v>
      </c>
      <c r="AN74" s="35" t="str">
        <f t="shared" si="13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972</v>
      </c>
      <c r="C75" s="25" t="s">
        <v>972</v>
      </c>
      <c r="D75" s="23" t="s">
        <v>887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46193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/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 t="s">
        <v>61</v>
      </c>
      <c r="AG75" s="33" t="s">
        <v>55</v>
      </c>
      <c r="AH75" s="33" t="s">
        <v>56</v>
      </c>
      <c r="AI75" s="33"/>
      <c r="AJ75" s="33" t="s">
        <v>58</v>
      </c>
      <c r="AK75" s="33" t="s">
        <v>56</v>
      </c>
      <c r="AL75" s="27"/>
      <c r="AM75" s="34" t="s">
        <v>57</v>
      </c>
      <c r="AN75" s="35" t="str">
        <f t="shared" si="13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973</v>
      </c>
      <c r="C76" s="41" t="s">
        <v>974</v>
      </c>
      <c r="D76" s="39" t="s">
        <v>887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46193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56</v>
      </c>
      <c r="Z76" s="30"/>
      <c r="AA76" s="30" t="s">
        <v>58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 t="s">
        <v>61</v>
      </c>
      <c r="AG76" s="33" t="s">
        <v>55</v>
      </c>
      <c r="AH76" s="33" t="s">
        <v>56</v>
      </c>
      <c r="AI76" s="33"/>
      <c r="AJ76" s="33" t="s">
        <v>58</v>
      </c>
      <c r="AK76" s="33" t="s">
        <v>56</v>
      </c>
      <c r="AL76" s="27"/>
      <c r="AM76" s="34" t="s">
        <v>57</v>
      </c>
      <c r="AN76" s="35" t="str">
        <f t="shared" si="13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975</v>
      </c>
      <c r="C77" s="25" t="s">
        <v>976</v>
      </c>
      <c r="D77" s="23" t="s">
        <v>887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46193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56</v>
      </c>
      <c r="Z77" s="30"/>
      <c r="AA77" s="30" t="s">
        <v>58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 t="s">
        <v>61</v>
      </c>
      <c r="AG77" s="33" t="s">
        <v>55</v>
      </c>
      <c r="AH77" s="33" t="s">
        <v>56</v>
      </c>
      <c r="AI77" s="33"/>
      <c r="AJ77" s="33" t="s">
        <v>58</v>
      </c>
      <c r="AK77" s="33" t="s">
        <v>56</v>
      </c>
      <c r="AL77" s="27"/>
      <c r="AM77" s="34" t="s">
        <v>57</v>
      </c>
      <c r="AN77" s="35" t="str">
        <f t="shared" si="13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40" t="s">
        <v>977</v>
      </c>
      <c r="C78" s="41" t="s">
        <v>978</v>
      </c>
      <c r="D78" s="39" t="s">
        <v>887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2">
        <v>46193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1"/>
        <v>✓ OK</v>
      </c>
      <c r="W78" s="70">
        <v>46248</v>
      </c>
      <c r="X78" s="30" t="s">
        <v>55</v>
      </c>
      <c r="Y78" s="30" t="s">
        <v>56</v>
      </c>
      <c r="Z78" s="30"/>
      <c r="AA78" s="30" t="s">
        <v>58</v>
      </c>
      <c r="AB78" s="30" t="s">
        <v>56</v>
      </c>
      <c r="AC78" s="27"/>
      <c r="AD78" s="31" t="s">
        <v>57</v>
      </c>
      <c r="AE78" s="32" t="str">
        <f t="shared" si="12"/>
        <v>✓ OK</v>
      </c>
      <c r="AF78" s="33" t="s">
        <v>61</v>
      </c>
      <c r="AG78" s="33" t="s">
        <v>55</v>
      </c>
      <c r="AH78" s="33" t="s">
        <v>56</v>
      </c>
      <c r="AI78" s="33"/>
      <c r="AJ78" s="33" t="s">
        <v>58</v>
      </c>
      <c r="AK78" s="33" t="s">
        <v>56</v>
      </c>
      <c r="AL78" s="27"/>
      <c r="AM78" s="34" t="s">
        <v>57</v>
      </c>
      <c r="AN78" s="35" t="str">
        <f t="shared" si="13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979</v>
      </c>
      <c r="C79" s="25" t="s">
        <v>980</v>
      </c>
      <c r="D79" s="23" t="s">
        <v>887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2">
        <v>46193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1"/>
        <v>✓ OK</v>
      </c>
      <c r="W79" s="70">
        <v>46248</v>
      </c>
      <c r="X79" s="30" t="s">
        <v>55</v>
      </c>
      <c r="Y79" s="30" t="s">
        <v>56</v>
      </c>
      <c r="Z79" s="30"/>
      <c r="AA79" s="30" t="s">
        <v>58</v>
      </c>
      <c r="AB79" s="30" t="s">
        <v>56</v>
      </c>
      <c r="AC79" s="27"/>
      <c r="AD79" s="31" t="s">
        <v>57</v>
      </c>
      <c r="AE79" s="32" t="str">
        <f t="shared" si="12"/>
        <v>✓ OK</v>
      </c>
      <c r="AF79" s="33" t="s">
        <v>61</v>
      </c>
      <c r="AG79" s="33" t="s">
        <v>55</v>
      </c>
      <c r="AH79" s="33" t="s">
        <v>56</v>
      </c>
      <c r="AI79" s="33"/>
      <c r="AJ79" s="33" t="s">
        <v>58</v>
      </c>
      <c r="AK79" s="33" t="s">
        <v>56</v>
      </c>
      <c r="AL79" s="27"/>
      <c r="AM79" s="34" t="s">
        <v>57</v>
      </c>
      <c r="AN79" s="35" t="str">
        <f t="shared" si="13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981</v>
      </c>
      <c r="C80" s="41" t="s">
        <v>982</v>
      </c>
      <c r="D80" s="39" t="s">
        <v>887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2">
        <v>46193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1"/>
        <v>✓ OK</v>
      </c>
      <c r="W80" s="70">
        <v>46248</v>
      </c>
      <c r="X80" s="30" t="s">
        <v>55</v>
      </c>
      <c r="Y80" s="30" t="s">
        <v>56</v>
      </c>
      <c r="Z80" s="30"/>
      <c r="AA80" s="30" t="s">
        <v>58</v>
      </c>
      <c r="AB80" s="30" t="s">
        <v>56</v>
      </c>
      <c r="AC80" s="27"/>
      <c r="AD80" s="31" t="s">
        <v>57</v>
      </c>
      <c r="AE80" s="32" t="str">
        <f t="shared" si="12"/>
        <v>✓ OK</v>
      </c>
      <c r="AF80" s="33" t="s">
        <v>61</v>
      </c>
      <c r="AG80" s="33" t="s">
        <v>55</v>
      </c>
      <c r="AH80" s="33" t="s">
        <v>56</v>
      </c>
      <c r="AI80" s="33"/>
      <c r="AJ80" s="33" t="s">
        <v>58</v>
      </c>
      <c r="AK80" s="33" t="s">
        <v>56</v>
      </c>
      <c r="AL80" s="27"/>
      <c r="AM80" s="34" t="s">
        <v>57</v>
      </c>
      <c r="AN80" s="35" t="str">
        <f t="shared" si="13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8" customHeight="1" x14ac:dyDescent="0.3">
      <c r="A81" s="23">
        <v>77</v>
      </c>
      <c r="B81" s="24" t="s">
        <v>983</v>
      </c>
      <c r="C81" s="25" t="s">
        <v>984</v>
      </c>
      <c r="D81" s="23" t="s">
        <v>887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42">
        <v>46193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1"/>
        <v>✓ OK</v>
      </c>
      <c r="W81" s="70">
        <v>46248</v>
      </c>
      <c r="X81" s="30" t="s">
        <v>55</v>
      </c>
      <c r="Y81" s="30" t="s">
        <v>56</v>
      </c>
      <c r="Z81" s="30"/>
      <c r="AA81" s="30" t="s">
        <v>58</v>
      </c>
      <c r="AB81" s="30" t="s">
        <v>56</v>
      </c>
      <c r="AC81" s="27"/>
      <c r="AD81" s="31" t="s">
        <v>57</v>
      </c>
      <c r="AE81" s="32" t="str">
        <f t="shared" si="12"/>
        <v>✓ OK</v>
      </c>
      <c r="AF81" s="33" t="s">
        <v>61</v>
      </c>
      <c r="AG81" s="33" t="s">
        <v>55</v>
      </c>
      <c r="AH81" s="33" t="s">
        <v>56</v>
      </c>
      <c r="AI81" s="33"/>
      <c r="AJ81" s="33" t="s">
        <v>58</v>
      </c>
      <c r="AK81" s="33" t="s">
        <v>56</v>
      </c>
      <c r="AL81" s="27"/>
      <c r="AM81" s="34" t="s">
        <v>57</v>
      </c>
      <c r="AN81" s="35" t="str">
        <f t="shared" si="13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8" customHeight="1" x14ac:dyDescent="0.3">
      <c r="A82" s="39">
        <v>78</v>
      </c>
      <c r="B82" s="40" t="s">
        <v>985</v>
      </c>
      <c r="C82" s="41" t="s">
        <v>986</v>
      </c>
      <c r="D82" s="39" t="s">
        <v>887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42">
        <v>46193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1"/>
        <v>✓ OK</v>
      </c>
      <c r="W82" s="70">
        <v>46248</v>
      </c>
      <c r="X82" s="30" t="s">
        <v>55</v>
      </c>
      <c r="Y82" s="30" t="s">
        <v>56</v>
      </c>
      <c r="Z82" s="30"/>
      <c r="AA82" s="30" t="s">
        <v>58</v>
      </c>
      <c r="AB82" s="30" t="s">
        <v>56</v>
      </c>
      <c r="AC82" s="27"/>
      <c r="AD82" s="31" t="s">
        <v>57</v>
      </c>
      <c r="AE82" s="32" t="str">
        <f t="shared" si="12"/>
        <v>✓ OK</v>
      </c>
      <c r="AF82" s="33" t="s">
        <v>61</v>
      </c>
      <c r="AG82" s="33" t="s">
        <v>55</v>
      </c>
      <c r="AH82" s="33" t="s">
        <v>56</v>
      </c>
      <c r="AI82" s="33"/>
      <c r="AJ82" s="33" t="s">
        <v>58</v>
      </c>
      <c r="AK82" s="33" t="s">
        <v>56</v>
      </c>
      <c r="AL82" s="27"/>
      <c r="AM82" s="34" t="s">
        <v>57</v>
      </c>
      <c r="AN82" s="35" t="str">
        <f t="shared" si="13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8" customHeight="1" x14ac:dyDescent="0.3">
      <c r="A83" s="23">
        <v>79</v>
      </c>
      <c r="B83" s="24" t="s">
        <v>987</v>
      </c>
      <c r="C83" s="25" t="s">
        <v>988</v>
      </c>
      <c r="D83" s="23" t="s">
        <v>887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42">
        <v>46193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1"/>
        <v>✓ OK</v>
      </c>
      <c r="W83" s="70">
        <v>46248</v>
      </c>
      <c r="X83" s="30" t="s">
        <v>55</v>
      </c>
      <c r="Y83" s="30" t="s">
        <v>56</v>
      </c>
      <c r="Z83" s="30"/>
      <c r="AA83" s="30" t="s">
        <v>58</v>
      </c>
      <c r="AB83" s="30" t="s">
        <v>56</v>
      </c>
      <c r="AC83" s="27"/>
      <c r="AD83" s="31" t="s">
        <v>57</v>
      </c>
      <c r="AE83" s="32" t="str">
        <f t="shared" si="12"/>
        <v>✓ OK</v>
      </c>
      <c r="AF83" s="33" t="s">
        <v>61</v>
      </c>
      <c r="AG83" s="33" t="s">
        <v>55</v>
      </c>
      <c r="AH83" s="33" t="s">
        <v>56</v>
      </c>
      <c r="AI83" s="33"/>
      <c r="AJ83" s="33" t="s">
        <v>58</v>
      </c>
      <c r="AK83" s="33" t="s">
        <v>56</v>
      </c>
      <c r="AL83" s="27"/>
      <c r="AM83" s="34" t="s">
        <v>57</v>
      </c>
      <c r="AN83" s="35" t="str">
        <f t="shared" si="13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8" customHeight="1" x14ac:dyDescent="0.3">
      <c r="A84" s="39">
        <v>80</v>
      </c>
      <c r="B84" s="40" t="s">
        <v>989</v>
      </c>
      <c r="C84" s="41" t="s">
        <v>990</v>
      </c>
      <c r="D84" s="39" t="s">
        <v>887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42">
        <v>46193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1"/>
        <v>✓ OK</v>
      </c>
      <c r="W84" s="70">
        <v>46248</v>
      </c>
      <c r="X84" s="30" t="s">
        <v>55</v>
      </c>
      <c r="Y84" s="30" t="s">
        <v>56</v>
      </c>
      <c r="Z84" s="30"/>
      <c r="AA84" s="30" t="s">
        <v>58</v>
      </c>
      <c r="AB84" s="30" t="s">
        <v>56</v>
      </c>
      <c r="AC84" s="27"/>
      <c r="AD84" s="31" t="s">
        <v>57</v>
      </c>
      <c r="AE84" s="32" t="str">
        <f t="shared" si="12"/>
        <v>✓ OK</v>
      </c>
      <c r="AF84" s="33" t="s">
        <v>61</v>
      </c>
      <c r="AG84" s="33" t="s">
        <v>55</v>
      </c>
      <c r="AH84" s="33" t="s">
        <v>56</v>
      </c>
      <c r="AI84" s="33"/>
      <c r="AJ84" s="33" t="s">
        <v>58</v>
      </c>
      <c r="AK84" s="33" t="s">
        <v>56</v>
      </c>
      <c r="AL84" s="27"/>
      <c r="AM84" s="34" t="s">
        <v>57</v>
      </c>
      <c r="AN84" s="35" t="str">
        <f t="shared" si="13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8" customHeight="1" x14ac:dyDescent="0.3">
      <c r="A85" s="23">
        <v>81</v>
      </c>
      <c r="B85" s="24" t="s">
        <v>991</v>
      </c>
      <c r="C85" s="25" t="s">
        <v>992</v>
      </c>
      <c r="D85" s="23" t="s">
        <v>887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42">
        <v>46193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1"/>
        <v>✓ OK</v>
      </c>
      <c r="W85" s="70">
        <v>46248</v>
      </c>
      <c r="X85" s="30" t="s">
        <v>55</v>
      </c>
      <c r="Y85" s="30" t="s">
        <v>56</v>
      </c>
      <c r="Z85" s="30"/>
      <c r="AA85" s="30" t="s">
        <v>58</v>
      </c>
      <c r="AB85" s="30" t="s">
        <v>56</v>
      </c>
      <c r="AC85" s="27"/>
      <c r="AD85" s="31" t="s">
        <v>57</v>
      </c>
      <c r="AE85" s="32" t="str">
        <f t="shared" si="12"/>
        <v>✓ OK</v>
      </c>
      <c r="AF85" s="33" t="s">
        <v>61</v>
      </c>
      <c r="AG85" s="33" t="s">
        <v>55</v>
      </c>
      <c r="AH85" s="33" t="s">
        <v>56</v>
      </c>
      <c r="AI85" s="33"/>
      <c r="AJ85" s="33" t="s">
        <v>58</v>
      </c>
      <c r="AK85" s="33" t="s">
        <v>56</v>
      </c>
      <c r="AL85" s="27"/>
      <c r="AM85" s="34" t="s">
        <v>57</v>
      </c>
      <c r="AN85" s="35" t="str">
        <f t="shared" si="13"/>
        <v>✓ OK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autoFilter ref="A4:AW4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 G16 G18:G19 G22:G23 G25 G27 G29:G85">
    <cfRule type="expression" dxfId="582" priority="140">
      <formula>G5="Yes"</formula>
    </cfRule>
    <cfRule type="expression" dxfId="581" priority="141">
      <formula>G5="No"</formula>
    </cfRule>
  </conditionalFormatting>
  <conditionalFormatting sqref="G6">
    <cfRule type="expression" dxfId="580" priority="132">
      <formula>G6="Yes"</formula>
    </cfRule>
    <cfRule type="expression" dxfId="579" priority="134">
      <formula>MOD(ROW(),2)=0</formula>
    </cfRule>
    <cfRule type="expression" dxfId="578" priority="133">
      <formula>G6="No"</formula>
    </cfRule>
  </conditionalFormatting>
  <conditionalFormatting sqref="G9">
    <cfRule type="expression" dxfId="577" priority="126">
      <formula>MOD(ROW(),2)=0</formula>
    </cfRule>
    <cfRule type="expression" dxfId="576" priority="125">
      <formula>G9="No"</formula>
    </cfRule>
    <cfRule type="expression" dxfId="575" priority="124">
      <formula>G9="Yes"</formula>
    </cfRule>
  </conditionalFormatting>
  <conditionalFormatting sqref="G13">
    <cfRule type="expression" dxfId="574" priority="118">
      <formula>MOD(ROW(),2)=0</formula>
    </cfRule>
    <cfRule type="expression" dxfId="573" priority="117">
      <formula>G13="No"</formula>
    </cfRule>
    <cfRule type="expression" dxfId="572" priority="116">
      <formula>G13="Yes"</formula>
    </cfRule>
  </conditionalFormatting>
  <conditionalFormatting sqref="G15">
    <cfRule type="expression" dxfId="571" priority="108">
      <formula>G15="Yes"</formula>
    </cfRule>
    <cfRule type="expression" dxfId="570" priority="110">
      <formula>MOD(ROW(),2)=0</formula>
    </cfRule>
    <cfRule type="expression" dxfId="569" priority="109">
      <formula>G15="No"</formula>
    </cfRule>
  </conditionalFormatting>
  <conditionalFormatting sqref="G17">
    <cfRule type="expression" dxfId="568" priority="102">
      <formula>MOD(ROW(),2)=0</formula>
    </cfRule>
    <cfRule type="expression" dxfId="567" priority="101">
      <formula>G17="No"</formula>
    </cfRule>
    <cfRule type="expression" dxfId="566" priority="100">
      <formula>G17="Yes"</formula>
    </cfRule>
  </conditionalFormatting>
  <conditionalFormatting sqref="G20:G21">
    <cfRule type="expression" dxfId="565" priority="84">
      <formula>G20="Yes"</formula>
    </cfRule>
    <cfRule type="expression" dxfId="564" priority="85">
      <formula>G20="No"</formula>
    </cfRule>
    <cfRule type="expression" dxfId="563" priority="86">
      <formula>MOD(ROW(),2)=0</formula>
    </cfRule>
  </conditionalFormatting>
  <conditionalFormatting sqref="G24">
    <cfRule type="expression" dxfId="562" priority="76">
      <formula>G24="Yes"</formula>
    </cfRule>
    <cfRule type="expression" dxfId="561" priority="77">
      <formula>G24="No"</formula>
    </cfRule>
    <cfRule type="expression" dxfId="560" priority="78">
      <formula>MOD(ROW(),2)=0</formula>
    </cfRule>
  </conditionalFormatting>
  <conditionalFormatting sqref="G26">
    <cfRule type="expression" dxfId="559" priority="70">
      <formula>MOD(ROW(),2)=0</formula>
    </cfRule>
    <cfRule type="expression" dxfId="558" priority="68">
      <formula>G26="Yes"</formula>
    </cfRule>
    <cfRule type="expression" dxfId="557" priority="69">
      <formula>G26="No"</formula>
    </cfRule>
  </conditionalFormatting>
  <conditionalFormatting sqref="G28">
    <cfRule type="expression" dxfId="556" priority="62">
      <formula>MOD(ROW(),2)=0</formula>
    </cfRule>
    <cfRule type="expression" dxfId="555" priority="61">
      <formula>G28="No"</formula>
    </cfRule>
    <cfRule type="expression" dxfId="554" priority="60">
      <formula>G28="Yes"</formula>
    </cfRule>
  </conditionalFormatting>
  <conditionalFormatting sqref="H5:H85">
    <cfRule type="expression" dxfId="553" priority="56">
      <formula>H5="Yes"</formula>
    </cfRule>
  </conditionalFormatting>
  <conditionalFormatting sqref="I6">
    <cfRule type="expression" dxfId="552" priority="131">
      <formula>MOD(ROW(),2)=0</formula>
    </cfRule>
  </conditionalFormatting>
  <conditionalFormatting sqref="I9">
    <cfRule type="expression" dxfId="551" priority="123">
      <formula>MOD(ROW(),2)=0</formula>
    </cfRule>
  </conditionalFormatting>
  <conditionalFormatting sqref="I13">
    <cfRule type="expression" dxfId="550" priority="115">
      <formula>MOD(ROW(),2)=0</formula>
    </cfRule>
  </conditionalFormatting>
  <conditionalFormatting sqref="I15">
    <cfRule type="expression" dxfId="549" priority="107">
      <formula>MOD(ROW(),2)=0</formula>
    </cfRule>
  </conditionalFormatting>
  <conditionalFormatting sqref="I17">
    <cfRule type="expression" dxfId="548" priority="99">
      <formula>MOD(ROW(),2)=0</formula>
    </cfRule>
  </conditionalFormatting>
  <conditionalFormatting sqref="I20:I21">
    <cfRule type="expression" dxfId="547" priority="83">
      <formula>MOD(ROW(),2)=0</formula>
    </cfRule>
  </conditionalFormatting>
  <conditionalFormatting sqref="I24">
    <cfRule type="expression" dxfId="546" priority="75">
      <formula>MOD(ROW(),2)=0</formula>
    </cfRule>
  </conditionalFormatting>
  <conditionalFormatting sqref="I26">
    <cfRule type="expression" dxfId="545" priority="67">
      <formula>MOD(ROW(),2)=0</formula>
    </cfRule>
  </conditionalFormatting>
  <conditionalFormatting sqref="I28">
    <cfRule type="expression" dxfId="544" priority="59">
      <formula>MOD(ROW(),2)=0</formula>
    </cfRule>
  </conditionalFormatting>
  <conditionalFormatting sqref="J5:J85">
    <cfRule type="expression" dxfId="543" priority="57">
      <formula>J5="Yes"</formula>
    </cfRule>
    <cfRule type="expression" dxfId="542" priority="58">
      <formula>J5="No"</formula>
    </cfRule>
  </conditionalFormatting>
  <conditionalFormatting sqref="J6:L6">
    <cfRule type="expression" dxfId="541" priority="135">
      <formula>MOD(ROW(),2)=0</formula>
    </cfRule>
  </conditionalFormatting>
  <conditionalFormatting sqref="J9:L9 H6:H9">
    <cfRule type="expression" dxfId="540" priority="127">
      <formula>MOD(ROW(),2)=0</formula>
    </cfRule>
  </conditionalFormatting>
  <conditionalFormatting sqref="J13:L13 H13">
    <cfRule type="expression" dxfId="539" priority="119">
      <formula>MOD(ROW(),2)=0</formula>
    </cfRule>
  </conditionalFormatting>
  <conditionalFormatting sqref="J15:L15 H15">
    <cfRule type="expression" dxfId="538" priority="111">
      <formula>MOD(ROW(),2)=0</formula>
    </cfRule>
  </conditionalFormatting>
  <conditionalFormatting sqref="J17:L17 H17">
    <cfRule type="expression" dxfId="537" priority="103">
      <formula>MOD(ROW(),2)=0</formula>
    </cfRule>
  </conditionalFormatting>
  <conditionalFormatting sqref="J20:L21 H20:H21">
    <cfRule type="expression" dxfId="536" priority="87">
      <formula>MOD(ROW(),2)=0</formula>
    </cfRule>
  </conditionalFormatting>
  <conditionalFormatting sqref="J24:L24 H24">
    <cfRule type="expression" dxfId="535" priority="79">
      <formula>MOD(ROW(),2)=0</formula>
    </cfRule>
  </conditionalFormatting>
  <conditionalFormatting sqref="J26:L26 H26">
    <cfRule type="expression" dxfId="534" priority="71">
      <formula>MOD(ROW(),2)=0</formula>
    </cfRule>
  </conditionalFormatting>
  <conditionalFormatting sqref="J28:L28 H28">
    <cfRule type="expression" dxfId="533" priority="63">
      <formula>MOD(ROW(),2)=0</formula>
    </cfRule>
  </conditionalFormatting>
  <conditionalFormatting sqref="M5:M85">
    <cfRule type="expression" dxfId="532" priority="136">
      <formula>M5="✓ OK"</formula>
    </cfRule>
    <cfRule type="expression" dxfId="531" priority="137">
      <formula>M5="❌ Disc"</formula>
    </cfRule>
    <cfRule type="expression" dxfId="530" priority="138">
      <formula>M5="⚠ Missing"</formula>
    </cfRule>
    <cfRule type="expression" dxfId="529" priority="139">
      <formula>M5="⚠ Check"</formula>
    </cfRule>
  </conditionalFormatting>
  <conditionalFormatting sqref="N5:N85">
    <cfRule type="expression" dxfId="528" priority="1">
      <formula>MOD(ROW(),2)=0</formula>
    </cfRule>
  </conditionalFormatting>
  <conditionalFormatting sqref="P5 P7:P8 P10:P12 P14 P16 P18:P19 P22:P23 P25 P27 P29:P85">
    <cfRule type="expression" dxfId="527" priority="54">
      <formula>P5="Yes"</formula>
    </cfRule>
    <cfRule type="expression" dxfId="526" priority="55">
      <formula>P5="No"</formula>
    </cfRule>
  </conditionalFormatting>
  <conditionalFormatting sqref="P6">
    <cfRule type="expression" dxfId="525" priority="48">
      <formula>MOD(ROW(),2)=0</formula>
    </cfRule>
    <cfRule type="expression" dxfId="524" priority="46">
      <formula>P6="Yes"</formula>
    </cfRule>
    <cfRule type="expression" dxfId="523" priority="47">
      <formula>P6="No"</formula>
    </cfRule>
  </conditionalFormatting>
  <conditionalFormatting sqref="P9">
    <cfRule type="expression" dxfId="522" priority="43">
      <formula>MOD(ROW(),2)=0</formula>
    </cfRule>
    <cfRule type="expression" dxfId="521" priority="42">
      <formula>P9="No"</formula>
    </cfRule>
    <cfRule type="expression" dxfId="520" priority="41">
      <formula>P9="Yes"</formula>
    </cfRule>
  </conditionalFormatting>
  <conditionalFormatting sqref="P13">
    <cfRule type="expression" dxfId="519" priority="38">
      <formula>MOD(ROW(),2)=0</formula>
    </cfRule>
    <cfRule type="expression" dxfId="518" priority="36">
      <formula>P13="Yes"</formula>
    </cfRule>
    <cfRule type="expression" dxfId="517" priority="37">
      <formula>P13="No"</formula>
    </cfRule>
  </conditionalFormatting>
  <conditionalFormatting sqref="P15">
    <cfRule type="expression" dxfId="516" priority="32">
      <formula>P15="No"</formula>
    </cfRule>
    <cfRule type="expression" dxfId="515" priority="31">
      <formula>P15="Yes"</formula>
    </cfRule>
    <cfRule type="expression" dxfId="514" priority="33">
      <formula>MOD(ROW(),2)=0</formula>
    </cfRule>
  </conditionalFormatting>
  <conditionalFormatting sqref="P17">
    <cfRule type="expression" dxfId="513" priority="28">
      <formula>MOD(ROW(),2)=0</formula>
    </cfRule>
    <cfRule type="expression" dxfId="512" priority="27">
      <formula>P17="No"</formula>
    </cfRule>
    <cfRule type="expression" dxfId="511" priority="26">
      <formula>P17="Yes"</formula>
    </cfRule>
  </conditionalFormatting>
  <conditionalFormatting sqref="P20:P21">
    <cfRule type="expression" dxfId="510" priority="21">
      <formula>P20="Yes"</formula>
    </cfRule>
    <cfRule type="expression" dxfId="509" priority="23">
      <formula>MOD(ROW(),2)=0</formula>
    </cfRule>
    <cfRule type="expression" dxfId="508" priority="22">
      <formula>P20="No"</formula>
    </cfRule>
  </conditionalFormatting>
  <conditionalFormatting sqref="P24">
    <cfRule type="expression" dxfId="507" priority="16">
      <formula>P24="Yes"</formula>
    </cfRule>
    <cfRule type="expression" dxfId="506" priority="17">
      <formula>P24="No"</formula>
    </cfRule>
    <cfRule type="expression" dxfId="505" priority="18">
      <formula>MOD(ROW(),2)=0</formula>
    </cfRule>
  </conditionalFormatting>
  <conditionalFormatting sqref="P26">
    <cfRule type="expression" dxfId="504" priority="13">
      <formula>MOD(ROW(),2)=0</formula>
    </cfRule>
    <cfRule type="expression" dxfId="503" priority="12">
      <formula>P26="No"</formula>
    </cfRule>
    <cfRule type="expression" dxfId="502" priority="11">
      <formula>P26="Yes"</formula>
    </cfRule>
  </conditionalFormatting>
  <conditionalFormatting sqref="P28">
    <cfRule type="expression" dxfId="501" priority="8">
      <formula>MOD(ROW(),2)=0</formula>
    </cfRule>
    <cfRule type="expression" dxfId="500" priority="7">
      <formula>P28="No"</formula>
    </cfRule>
    <cfRule type="expression" dxfId="499" priority="6">
      <formula>P28="Yes"</formula>
    </cfRule>
  </conditionalFormatting>
  <conditionalFormatting sqref="Q5:Q85">
    <cfRule type="expression" dxfId="498" priority="2">
      <formula>Q5="Yes"</formula>
    </cfRule>
  </conditionalFormatting>
  <conditionalFormatting sqref="R6">
    <cfRule type="expression" dxfId="497" priority="45">
      <formula>MOD(ROW(),2)=0</formula>
    </cfRule>
  </conditionalFormatting>
  <conditionalFormatting sqref="R9">
    <cfRule type="expression" dxfId="496" priority="40">
      <formula>MOD(ROW(),2)=0</formula>
    </cfRule>
  </conditionalFormatting>
  <conditionalFormatting sqref="R13">
    <cfRule type="expression" dxfId="495" priority="35">
      <formula>MOD(ROW(),2)=0</formula>
    </cfRule>
  </conditionalFormatting>
  <conditionalFormatting sqref="R15">
    <cfRule type="expression" dxfId="494" priority="30">
      <formula>MOD(ROW(),2)=0</formula>
    </cfRule>
  </conditionalFormatting>
  <conditionalFormatting sqref="R17">
    <cfRule type="expression" dxfId="493" priority="25">
      <formula>MOD(ROW(),2)=0</formula>
    </cfRule>
  </conditionalFormatting>
  <conditionalFormatting sqref="R20:R21">
    <cfRule type="expression" dxfId="492" priority="20">
      <formula>MOD(ROW(),2)=0</formula>
    </cfRule>
  </conditionalFormatting>
  <conditionalFormatting sqref="R24">
    <cfRule type="expression" dxfId="491" priority="15">
      <formula>MOD(ROW(),2)=0</formula>
    </cfRule>
  </conditionalFormatting>
  <conditionalFormatting sqref="R26">
    <cfRule type="expression" dxfId="490" priority="10">
      <formula>MOD(ROW(),2)=0</formula>
    </cfRule>
  </conditionalFormatting>
  <conditionalFormatting sqref="R28">
    <cfRule type="expression" dxfId="489" priority="5">
      <formula>MOD(ROW(),2)=0</formula>
    </cfRule>
  </conditionalFormatting>
  <conditionalFormatting sqref="S5:S85">
    <cfRule type="expression" dxfId="488" priority="4">
      <formula>S5="No"</formula>
    </cfRule>
    <cfRule type="expression" dxfId="487" priority="3">
      <formula>S5="Yes"</formula>
    </cfRule>
  </conditionalFormatting>
  <conditionalFormatting sqref="S6:U6">
    <cfRule type="expression" dxfId="486" priority="49">
      <formula>MOD(ROW(),2)=0</formula>
    </cfRule>
  </conditionalFormatting>
  <conditionalFormatting sqref="S9:U9 Q6:Q9">
    <cfRule type="expression" dxfId="485" priority="44">
      <formula>MOD(ROW(),2)=0</formula>
    </cfRule>
  </conditionalFormatting>
  <conditionalFormatting sqref="S13:U13 Q13">
    <cfRule type="expression" dxfId="484" priority="39">
      <formula>MOD(ROW(),2)=0</formula>
    </cfRule>
  </conditionalFormatting>
  <conditionalFormatting sqref="S15:U15 Q15">
    <cfRule type="expression" dxfId="483" priority="34">
      <formula>MOD(ROW(),2)=0</formula>
    </cfRule>
  </conditionalFormatting>
  <conditionalFormatting sqref="S17:U17 Q17">
    <cfRule type="expression" dxfId="482" priority="29">
      <formula>MOD(ROW(),2)=0</formula>
    </cfRule>
  </conditionalFormatting>
  <conditionalFormatting sqref="S20:U21 Q20:Q21">
    <cfRule type="expression" dxfId="481" priority="24">
      <formula>MOD(ROW(),2)=0</formula>
    </cfRule>
  </conditionalFormatting>
  <conditionalFormatting sqref="S24:U24 Q24">
    <cfRule type="expression" dxfId="480" priority="19">
      <formula>MOD(ROW(),2)=0</formula>
    </cfRule>
  </conditionalFormatting>
  <conditionalFormatting sqref="S26:U26 Q26">
    <cfRule type="expression" dxfId="479" priority="14">
      <formula>MOD(ROW(),2)=0</formula>
    </cfRule>
  </conditionalFormatting>
  <conditionalFormatting sqref="S28:U28 Q28">
    <cfRule type="expression" dxfId="478" priority="9">
      <formula>MOD(ROW(),2)=0</formula>
    </cfRule>
  </conditionalFormatting>
  <conditionalFormatting sqref="V5:V85">
    <cfRule type="expression" dxfId="477" priority="51">
      <formula>V5="❌ Disc"</formula>
    </cfRule>
    <cfRule type="expression" dxfId="476" priority="50">
      <formula>V5="✓ OK"</formula>
    </cfRule>
    <cfRule type="expression" dxfId="475" priority="53">
      <formula>V5="⚠ Check"</formula>
    </cfRule>
    <cfRule type="expression" dxfId="474" priority="52">
      <formula>V5="⚠ Missing"</formula>
    </cfRule>
  </conditionalFormatting>
  <conditionalFormatting sqref="W5:AW85 A5:M5 A7:G7 G8 A10:M12 A14:M14 A16:M16 A18:M19 A22:M23 A25:M25 A27:M27 A29:M85 M6 I7:M7 M8:M9 M13 M15 M17 M20:M21 M24 M26 M28 I8:L8 O5:V5 O7:P7 P8 O10:V12 O14:V14 O16:V16 O18:V19 O22:V23 O25:V25 O27:V27 O29:V85 V6 R7:V7 V8:V9 V13 V15 V17 V20:V21 V24 V26 V28 R8:U8 A6:F6 O6 A8:F9 O8:O9 A13:F13 O13 A15:F15 O15 A17:F17 O17 A20:F21 O20:O21 A24:F24 O24 A26:F26 O26 A28:F28 O28">
    <cfRule type="expression" dxfId="473" priority="181">
      <formula>MOD(ROW(),2)=0</formula>
    </cfRule>
  </conditionalFormatting>
  <conditionalFormatting sqref="Y5:Y85">
    <cfRule type="expression" dxfId="472" priority="158">
      <formula>Y5="Yes"</formula>
    </cfRule>
    <cfRule type="expression" dxfId="471" priority="159">
      <formula>Y5="No"</formula>
    </cfRule>
  </conditionalFormatting>
  <conditionalFormatting sqref="Z5:Z85">
    <cfRule type="expression" dxfId="470" priority="160">
      <formula>Z5="Yes"</formula>
    </cfRule>
  </conditionalFormatting>
  <conditionalFormatting sqref="AB5:AB85">
    <cfRule type="expression" dxfId="469" priority="161">
      <formula>AB5="Yes"</formula>
    </cfRule>
    <cfRule type="expression" dxfId="468" priority="162">
      <formula>AB5="No"</formula>
    </cfRule>
  </conditionalFormatting>
  <conditionalFormatting sqref="AE5:AE85">
    <cfRule type="expression" dxfId="467" priority="154">
      <formula>AE5="✓ OK"</formula>
    </cfRule>
    <cfRule type="expression" dxfId="466" priority="155">
      <formula>AE5="❌ Disc"</formula>
    </cfRule>
    <cfRule type="expression" dxfId="465" priority="156">
      <formula>AE5="⚠ Missing"</formula>
    </cfRule>
    <cfRule type="expression" dxfId="464" priority="157">
      <formula>AE5="⚠ Check"</formula>
    </cfRule>
  </conditionalFormatting>
  <conditionalFormatting sqref="AH5:AH85">
    <cfRule type="expression" dxfId="463" priority="167">
      <formula>AH5="Yes"</formula>
    </cfRule>
    <cfRule type="expression" dxfId="462" priority="168">
      <formula>AH5="No"</formula>
    </cfRule>
  </conditionalFormatting>
  <conditionalFormatting sqref="AI5:AI85">
    <cfRule type="expression" dxfId="461" priority="169">
      <formula>AI5="Yes"</formula>
    </cfRule>
  </conditionalFormatting>
  <conditionalFormatting sqref="AK5:AK85">
    <cfRule type="expression" dxfId="460" priority="170">
      <formula>AK5="Yes"</formula>
    </cfRule>
    <cfRule type="expression" dxfId="459" priority="171">
      <formula>AK5="No"</formula>
    </cfRule>
  </conditionalFormatting>
  <conditionalFormatting sqref="AN5:AN85">
    <cfRule type="expression" dxfId="458" priority="163">
      <formula>AN5="✓ OK"</formula>
    </cfRule>
    <cfRule type="expression" dxfId="457" priority="165">
      <formula>AN5="⚠ Missing"</formula>
    </cfRule>
    <cfRule type="expression" dxfId="456" priority="166">
      <formula>AN5="⚠ Check"</formula>
    </cfRule>
    <cfRule type="expression" dxfId="455" priority="164">
      <formula>AN5="❌ Disc"</formula>
    </cfRule>
  </conditionalFormatting>
  <conditionalFormatting sqref="AQ5:AQ85">
    <cfRule type="expression" dxfId="454" priority="176">
      <formula>AQ5="Yes"</formula>
    </cfRule>
    <cfRule type="expression" dxfId="453" priority="177">
      <formula>AQ5="No"</formula>
    </cfRule>
  </conditionalFormatting>
  <conditionalFormatting sqref="AR5:AR85">
    <cfRule type="expression" dxfId="452" priority="178">
      <formula>AR5="Yes"</formula>
    </cfRule>
  </conditionalFormatting>
  <conditionalFormatting sqref="AT5:AT85">
    <cfRule type="expression" dxfId="451" priority="179">
      <formula>AT5="Yes"</formula>
    </cfRule>
    <cfRule type="expression" dxfId="450" priority="180">
      <formula>AT5="No"</formula>
    </cfRule>
  </conditionalFormatting>
  <conditionalFormatting sqref="AW5:AW85">
    <cfRule type="expression" dxfId="449" priority="172">
      <formula>AW5="✓ OK"</formula>
    </cfRule>
    <cfRule type="expression" dxfId="448" priority="173">
      <formula>AW5="❌ Disc"</formula>
    </cfRule>
    <cfRule type="expression" dxfId="447" priority="175">
      <formula>AW5="⚠ Check"</formula>
    </cfRule>
    <cfRule type="expression" dxfId="446" priority="174">
      <formula>AW5="⚠ Missing"</formula>
    </cfRule>
  </conditionalFormatting>
  <dataValidations count="4">
    <dataValidation type="list" allowBlank="1" sqref="G5:H5 G7:G8 G10:H12 G14:H14 G16:H16 G18:H19 G22:H23 G25:H25 G27:H27 G29:H85 H6:H9 H13 H15 H17 H20:H21 H24 H26 H28 J5:J85 P5:Q5 P7:P8 P10:Q12 P14:Q14 P16:Q16 P18:Q19 P22:Q23 P25:Q25 P27:Q27 P29:Q85 Q6:Q9 Q13 Q15 Q17 Q20:Q21 Q24 Q26 Q28 S5:S85 Y5:Z85 AB5:AB85 AH5:AI85 AK5:AK85 AQ5:AR85 AT5:AT85" xr:uid="{00000000-0002-0000-0300-000000000000}">
      <formula1>"Yes,No"</formula1>
    </dataValidation>
    <dataValidation type="list" allowBlank="1" sqref="I5 I7:I8 I10:I12 I14 I16 I18:I19 I22:I23 I25 I27 I29:I85 R5 R7:R8 R10:R12 R14 R16 R18:R19 R22:R23 R25 R27 R29:R85 AA5:AA85 AJ5:AJ85 AS5:AS85" xr:uid="{00000000-0002-0000-0300-000001000000}">
      <formula1>"Good finish,Minor defect,Major defect,Discontinued,Not Available"</formula1>
    </dataValidation>
    <dataValidation type="list" allowBlank="1" sqref="I6 I9 I13 I15 I17 I20:I21 I24 I26 I28 R6 R9 R13 R15 R17 R20:R21 R24 R26 R28" xr:uid="{00000000-0002-0000-0300-000002000000}">
      <formula1>"Represented by Sample,Good finish,Minor defect,Major defect,Discontinued,Not Available"</formula1>
    </dataValidation>
    <dataValidation type="list" allowBlank="1" sqref="G6 G9 G13 G15 G17 G20:G21 G24 G26 G28 P6 P9 P13 P15 P17 P20:P21 P24 P26 P28" xr:uid="{00000000-0002-0000-0300-000003000000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AE5" activePane="bottomRight" state="frozen"/>
      <selection pane="topRight" activeCell="H13" sqref="H13"/>
      <selection pane="bottomLeft" activeCell="H13" sqref="H13"/>
      <selection pane="bottomRight" activeCell="AJ5" sqref="AJ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993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994</v>
      </c>
      <c r="C5" s="25" t="s">
        <v>995</v>
      </c>
      <c r="D5" s="23" t="s">
        <v>996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997</v>
      </c>
      <c r="C6" s="41" t="s">
        <v>998</v>
      </c>
      <c r="D6" s="39" t="s">
        <v>996</v>
      </c>
      <c r="E6" s="42">
        <v>46132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999</v>
      </c>
      <c r="C7" s="25" t="s">
        <v>1000</v>
      </c>
      <c r="D7" s="23" t="s">
        <v>996</v>
      </c>
      <c r="E7" s="42">
        <v>46132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1001</v>
      </c>
      <c r="C8" s="41" t="s">
        <v>1002</v>
      </c>
      <c r="D8" s="39" t="s">
        <v>996</v>
      </c>
      <c r="E8" s="42">
        <v>46132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1003</v>
      </c>
      <c r="C9" s="25" t="s">
        <v>1004</v>
      </c>
      <c r="D9" s="23" t="s">
        <v>996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1005</v>
      </c>
      <c r="C10" s="41" t="s">
        <v>1006</v>
      </c>
      <c r="D10" s="39" t="s">
        <v>996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1007</v>
      </c>
      <c r="C11" s="25" t="s">
        <v>1008</v>
      </c>
      <c r="D11" s="23" t="s">
        <v>996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1009</v>
      </c>
      <c r="C12" s="41" t="s">
        <v>1010</v>
      </c>
      <c r="D12" s="39" t="s">
        <v>996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1011</v>
      </c>
      <c r="C13" s="25" t="s">
        <v>1012</v>
      </c>
      <c r="D13" s="23" t="s">
        <v>996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1013</v>
      </c>
      <c r="C14" s="41" t="s">
        <v>1014</v>
      </c>
      <c r="D14" s="39" t="s">
        <v>996</v>
      </c>
      <c r="E14" s="42">
        <v>46132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1015</v>
      </c>
      <c r="C15" s="25" t="s">
        <v>1016</v>
      </c>
      <c r="D15" s="23" t="s">
        <v>996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278</v>
      </c>
      <c r="J15" s="26" t="s">
        <v>57</v>
      </c>
      <c r="K15" s="27" t="s">
        <v>1017</v>
      </c>
      <c r="L15" s="28" t="s">
        <v>57</v>
      </c>
      <c r="M15" s="29" t="str">
        <f t="shared" si="0"/>
        <v>⚠ Check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278</v>
      </c>
      <c r="S15" s="26" t="s">
        <v>57</v>
      </c>
      <c r="T15" s="27" t="s">
        <v>1017</v>
      </c>
      <c r="U15" s="28" t="s">
        <v>57</v>
      </c>
      <c r="V15" s="29" t="str">
        <f t="shared" si="1"/>
        <v>⚠ Check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278</v>
      </c>
      <c r="AB15" s="30" t="s">
        <v>57</v>
      </c>
      <c r="AC15" s="27" t="s">
        <v>1017</v>
      </c>
      <c r="AD15" s="31" t="s">
        <v>57</v>
      </c>
      <c r="AE15" s="32" t="str">
        <f t="shared" si="2"/>
        <v>⚠ Check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278</v>
      </c>
      <c r="AK15" s="33" t="s">
        <v>57</v>
      </c>
      <c r="AL15" s="27" t="s">
        <v>1017</v>
      </c>
      <c r="AM15" s="34" t="s">
        <v>57</v>
      </c>
      <c r="AN15" s="35" t="str">
        <f t="shared" si="3"/>
        <v>⚠ Check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1018</v>
      </c>
      <c r="C16" s="41" t="s">
        <v>1019</v>
      </c>
      <c r="D16" s="39" t="s">
        <v>996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46185</v>
      </c>
      <c r="O16" s="26" t="s">
        <v>55</v>
      </c>
      <c r="P16" s="26" t="s">
        <v>57</v>
      </c>
      <c r="Q16" s="26" t="s">
        <v>56</v>
      </c>
      <c r="R16" s="26" t="s">
        <v>60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70">
        <v>46248</v>
      </c>
      <c r="X16" s="30" t="s">
        <v>55</v>
      </c>
      <c r="Y16" s="30" t="s">
        <v>57</v>
      </c>
      <c r="Z16" s="30" t="s">
        <v>56</v>
      </c>
      <c r="AA16" s="30" t="s">
        <v>60</v>
      </c>
      <c r="AB16" s="30" t="s">
        <v>57</v>
      </c>
      <c r="AC16" s="27"/>
      <c r="AD16" s="31" t="s">
        <v>57</v>
      </c>
      <c r="AE16" s="32" t="str">
        <f t="shared" si="2"/>
        <v>❌ Disc</v>
      </c>
      <c r="AF16" s="33" t="s">
        <v>61</v>
      </c>
      <c r="AG16" s="33" t="s">
        <v>62</v>
      </c>
      <c r="AH16" s="33" t="s">
        <v>57</v>
      </c>
      <c r="AI16" s="33" t="s">
        <v>56</v>
      </c>
      <c r="AJ16" s="33" t="s">
        <v>60</v>
      </c>
      <c r="AK16" s="33" t="s">
        <v>57</v>
      </c>
      <c r="AL16" s="27"/>
      <c r="AM16" s="34" t="s">
        <v>57</v>
      </c>
      <c r="AN16" s="35" t="str">
        <f t="shared" si="3"/>
        <v>❌ Disc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1020</v>
      </c>
      <c r="C17" s="25" t="s">
        <v>1021</v>
      </c>
      <c r="D17" s="23" t="s">
        <v>996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1022</v>
      </c>
      <c r="C18" s="41" t="s">
        <v>1023</v>
      </c>
      <c r="D18" s="39" t="s">
        <v>996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1024</v>
      </c>
      <c r="C19" s="25" t="s">
        <v>1025</v>
      </c>
      <c r="D19" s="23" t="s">
        <v>996</v>
      </c>
      <c r="E19" s="42">
        <v>46132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1026</v>
      </c>
      <c r="C20" s="41" t="s">
        <v>1027</v>
      </c>
      <c r="D20" s="39" t="s">
        <v>996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1028</v>
      </c>
      <c r="C21" s="25" t="s">
        <v>1029</v>
      </c>
      <c r="D21" s="23" t="s">
        <v>996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1030</v>
      </c>
      <c r="C22" s="41" t="s">
        <v>1031</v>
      </c>
      <c r="D22" s="39" t="s">
        <v>996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1032</v>
      </c>
      <c r="C23" s="25" t="s">
        <v>1033</v>
      </c>
      <c r="D23" s="23" t="s">
        <v>996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1034</v>
      </c>
      <c r="C24" s="41" t="s">
        <v>1035</v>
      </c>
      <c r="D24" s="39" t="s">
        <v>996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1036</v>
      </c>
      <c r="C25" s="25" t="s">
        <v>1037</v>
      </c>
      <c r="D25" s="23" t="s">
        <v>996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1038</v>
      </c>
      <c r="C26" s="41" t="s">
        <v>1039</v>
      </c>
      <c r="D26" s="39" t="s">
        <v>996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58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1040</v>
      </c>
      <c r="C27" s="25" t="s">
        <v>1041</v>
      </c>
      <c r="D27" s="23" t="s">
        <v>996</v>
      </c>
      <c r="E27" s="42">
        <v>46129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56</v>
      </c>
      <c r="AI27" s="33" t="s">
        <v>57</v>
      </c>
      <c r="AJ27" s="33" t="s">
        <v>58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1042</v>
      </c>
      <c r="C28" s="41" t="s">
        <v>1043</v>
      </c>
      <c r="D28" s="39" t="s">
        <v>996</v>
      </c>
      <c r="E28" s="42">
        <v>46129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56</v>
      </c>
      <c r="AI28" s="33" t="s">
        <v>57</v>
      </c>
      <c r="AJ28" s="33" t="s">
        <v>58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1044</v>
      </c>
      <c r="C29" s="25" t="s">
        <v>1045</v>
      </c>
      <c r="D29" s="23" t="s">
        <v>996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 t="s">
        <v>57</v>
      </c>
      <c r="AJ29" s="33" t="s">
        <v>58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1046</v>
      </c>
      <c r="C30" s="41" t="s">
        <v>1047</v>
      </c>
      <c r="D30" s="39" t="s">
        <v>996</v>
      </c>
      <c r="E30" s="42">
        <v>46132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1048</v>
      </c>
      <c r="C31" s="25" t="s">
        <v>1049</v>
      </c>
      <c r="D31" s="23" t="s">
        <v>996</v>
      </c>
      <c r="E31" s="42">
        <v>46129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56</v>
      </c>
      <c r="AI31" s="33" t="s">
        <v>57</v>
      </c>
      <c r="AJ31" s="33" t="s">
        <v>58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1050</v>
      </c>
      <c r="C32" s="41" t="s">
        <v>1051</v>
      </c>
      <c r="D32" s="39" t="s">
        <v>996</v>
      </c>
      <c r="E32" s="42">
        <v>46132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 t="s">
        <v>57</v>
      </c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1052</v>
      </c>
      <c r="C33" s="25" t="s">
        <v>1053</v>
      </c>
      <c r="D33" s="23" t="s">
        <v>996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1054</v>
      </c>
      <c r="C34" s="41" t="s">
        <v>1055</v>
      </c>
      <c r="D34" s="39" t="s">
        <v>996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1056</v>
      </c>
      <c r="C35" s="25" t="s">
        <v>1057</v>
      </c>
      <c r="D35" s="23" t="s">
        <v>996</v>
      </c>
      <c r="E35" s="42">
        <v>46129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56</v>
      </c>
      <c r="AI35" s="33" t="s">
        <v>57</v>
      </c>
      <c r="AJ35" s="33" t="s">
        <v>58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1058</v>
      </c>
      <c r="C36" s="41" t="s">
        <v>1059</v>
      </c>
      <c r="D36" s="39" t="s">
        <v>996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 t="s">
        <v>57</v>
      </c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1060</v>
      </c>
      <c r="C37" s="25" t="s">
        <v>1061</v>
      </c>
      <c r="D37" s="23" t="s">
        <v>996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ref="AE37:AE59" si="7">IF(W37="","",IF(Z37="Yes","❌ Disc",IF(Y37="No","⚠ Missing",IF(AB37="Yes","✓ OK","⚠ Check"))))</f>
        <v>✓ OK</v>
      </c>
      <c r="AF37" s="33" t="s">
        <v>61</v>
      </c>
      <c r="AG37" s="33" t="s">
        <v>55</v>
      </c>
      <c r="AH37" s="33" t="s">
        <v>56</v>
      </c>
      <c r="AI37" s="33" t="s">
        <v>57</v>
      </c>
      <c r="AJ37" s="33" t="s">
        <v>58</v>
      </c>
      <c r="AK37" s="33" t="s">
        <v>56</v>
      </c>
      <c r="AL37" s="27"/>
      <c r="AM37" s="34" t="s">
        <v>57</v>
      </c>
      <c r="AN37" s="35" t="str">
        <f t="shared" ref="AN37:AN59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1062</v>
      </c>
      <c r="C38" s="41" t="s">
        <v>1063</v>
      </c>
      <c r="D38" s="39" t="s">
        <v>996</v>
      </c>
      <c r="E38" s="42">
        <v>46129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 t="s">
        <v>61</v>
      </c>
      <c r="AG38" s="33" t="s">
        <v>55</v>
      </c>
      <c r="AH38" s="33" t="s">
        <v>56</v>
      </c>
      <c r="AI38" s="33" t="s">
        <v>57</v>
      </c>
      <c r="AJ38" s="33" t="s">
        <v>58</v>
      </c>
      <c r="AK38" s="33" t="s">
        <v>56</v>
      </c>
      <c r="AL38" s="27"/>
      <c r="AM38" s="34" t="s">
        <v>57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1064</v>
      </c>
      <c r="C39" s="25" t="s">
        <v>1065</v>
      </c>
      <c r="D39" s="23" t="s">
        <v>996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1066</v>
      </c>
      <c r="C40" s="41" t="s">
        <v>1067</v>
      </c>
      <c r="D40" s="39" t="s">
        <v>996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 t="s">
        <v>61</v>
      </c>
      <c r="AG40" s="33" t="s">
        <v>55</v>
      </c>
      <c r="AH40" s="33" t="s">
        <v>56</v>
      </c>
      <c r="AI40" s="33" t="s">
        <v>57</v>
      </c>
      <c r="AJ40" s="33" t="s">
        <v>58</v>
      </c>
      <c r="AK40" s="33" t="s">
        <v>56</v>
      </c>
      <c r="AL40" s="27"/>
      <c r="AM40" s="34" t="s">
        <v>57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1068</v>
      </c>
      <c r="C41" s="25" t="s">
        <v>1069</v>
      </c>
      <c r="D41" s="23" t="s">
        <v>996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 t="s">
        <v>61</v>
      </c>
      <c r="AG41" s="33" t="s">
        <v>55</v>
      </c>
      <c r="AH41" s="33" t="s">
        <v>56</v>
      </c>
      <c r="AI41" s="33" t="s">
        <v>57</v>
      </c>
      <c r="AJ41" s="33" t="s">
        <v>58</v>
      </c>
      <c r="AK41" s="33" t="s">
        <v>56</v>
      </c>
      <c r="AL41" s="27"/>
      <c r="AM41" s="34" t="s">
        <v>57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1070</v>
      </c>
      <c r="C42" s="41" t="s">
        <v>1071</v>
      </c>
      <c r="D42" s="39" t="s">
        <v>996</v>
      </c>
      <c r="E42" s="42">
        <v>46129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 t="s">
        <v>61</v>
      </c>
      <c r="AG42" s="33" t="s">
        <v>55</v>
      </c>
      <c r="AH42" s="33" t="s">
        <v>56</v>
      </c>
      <c r="AI42" s="33" t="s">
        <v>57</v>
      </c>
      <c r="AJ42" s="33" t="s">
        <v>58</v>
      </c>
      <c r="AK42" s="33" t="s">
        <v>56</v>
      </c>
      <c r="AL42" s="27"/>
      <c r="AM42" s="34" t="s">
        <v>57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1072</v>
      </c>
      <c r="C43" s="25" t="s">
        <v>1073</v>
      </c>
      <c r="D43" s="23" t="s">
        <v>996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1074</v>
      </c>
      <c r="C44" s="41" t="s">
        <v>1075</v>
      </c>
      <c r="D44" s="39" t="s">
        <v>996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1076</v>
      </c>
      <c r="C45" s="25" t="s">
        <v>1077</v>
      </c>
      <c r="D45" s="23" t="s">
        <v>996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1078</v>
      </c>
      <c r="C46" s="41" t="s">
        <v>1079</v>
      </c>
      <c r="D46" s="39" t="s">
        <v>996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1080</v>
      </c>
      <c r="C47" s="25" t="s">
        <v>1081</v>
      </c>
      <c r="D47" s="23" t="s">
        <v>996</v>
      </c>
      <c r="E47" s="42">
        <v>46132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 t="s">
        <v>61</v>
      </c>
      <c r="AG47" s="33" t="s">
        <v>55</v>
      </c>
      <c r="AH47" s="33" t="s">
        <v>56</v>
      </c>
      <c r="AI47" s="33" t="s">
        <v>57</v>
      </c>
      <c r="AJ47" s="33" t="s">
        <v>58</v>
      </c>
      <c r="AK47" s="33" t="s">
        <v>56</v>
      </c>
      <c r="AL47" s="27"/>
      <c r="AM47" s="34" t="s">
        <v>57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1082</v>
      </c>
      <c r="C48" s="41" t="s">
        <v>1083</v>
      </c>
      <c r="D48" s="39" t="s">
        <v>996</v>
      </c>
      <c r="E48" s="42">
        <v>46129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 t="s">
        <v>61</v>
      </c>
      <c r="AG48" s="33" t="s">
        <v>55</v>
      </c>
      <c r="AH48" s="33" t="s">
        <v>56</v>
      </c>
      <c r="AI48" s="33" t="s">
        <v>57</v>
      </c>
      <c r="AJ48" s="33" t="s">
        <v>58</v>
      </c>
      <c r="AK48" s="33" t="s">
        <v>56</v>
      </c>
      <c r="AL48" s="27"/>
      <c r="AM48" s="34" t="s">
        <v>57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1084</v>
      </c>
      <c r="C49" s="25" t="s">
        <v>1085</v>
      </c>
      <c r="D49" s="23" t="s">
        <v>996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 t="s">
        <v>61</v>
      </c>
      <c r="AG49" s="33" t="s">
        <v>55</v>
      </c>
      <c r="AH49" s="33" t="s">
        <v>56</v>
      </c>
      <c r="AI49" s="33" t="s">
        <v>57</v>
      </c>
      <c r="AJ49" s="33" t="s">
        <v>58</v>
      </c>
      <c r="AK49" s="33" t="s">
        <v>56</v>
      </c>
      <c r="AL49" s="27"/>
      <c r="AM49" s="34" t="s">
        <v>57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1086</v>
      </c>
      <c r="C50" s="41" t="s">
        <v>1087</v>
      </c>
      <c r="D50" s="39" t="s">
        <v>996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 t="s">
        <v>61</v>
      </c>
      <c r="AG50" s="33" t="s">
        <v>55</v>
      </c>
      <c r="AH50" s="33" t="s">
        <v>56</v>
      </c>
      <c r="AI50" s="33" t="s">
        <v>57</v>
      </c>
      <c r="AJ50" s="33" t="s">
        <v>58</v>
      </c>
      <c r="AK50" s="33" t="s">
        <v>56</v>
      </c>
      <c r="AL50" s="27"/>
      <c r="AM50" s="34" t="s">
        <v>57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1088</v>
      </c>
      <c r="C51" s="25" t="s">
        <v>1089</v>
      </c>
      <c r="D51" s="23" t="s">
        <v>996</v>
      </c>
      <c r="E51" s="42">
        <v>46132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1090</v>
      </c>
      <c r="C52" s="41" t="s">
        <v>1091</v>
      </c>
      <c r="D52" s="39" t="s">
        <v>996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 t="s">
        <v>61</v>
      </c>
      <c r="AG52" s="33" t="s">
        <v>55</v>
      </c>
      <c r="AH52" s="33" t="s">
        <v>56</v>
      </c>
      <c r="AI52" s="33" t="s">
        <v>57</v>
      </c>
      <c r="AJ52" s="33" t="s">
        <v>58</v>
      </c>
      <c r="AK52" s="33" t="s">
        <v>56</v>
      </c>
      <c r="AL52" s="27"/>
      <c r="AM52" s="34" t="s">
        <v>57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1092</v>
      </c>
      <c r="C53" s="25" t="s">
        <v>1093</v>
      </c>
      <c r="D53" s="23" t="s">
        <v>996</v>
      </c>
      <c r="E53" s="42">
        <v>46132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 t="s">
        <v>61</v>
      </c>
      <c r="AG53" s="33" t="s">
        <v>55</v>
      </c>
      <c r="AH53" s="33" t="s">
        <v>56</v>
      </c>
      <c r="AI53" s="33" t="s">
        <v>57</v>
      </c>
      <c r="AJ53" s="33" t="s">
        <v>58</v>
      </c>
      <c r="AK53" s="33" t="s">
        <v>56</v>
      </c>
      <c r="AL53" s="27"/>
      <c r="AM53" s="34" t="s">
        <v>57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1094</v>
      </c>
      <c r="C54" s="41" t="s">
        <v>1095</v>
      </c>
      <c r="D54" s="39" t="s">
        <v>1096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 t="s">
        <v>61</v>
      </c>
      <c r="AG54" s="33" t="s">
        <v>55</v>
      </c>
      <c r="AH54" s="33" t="s">
        <v>56</v>
      </c>
      <c r="AI54" s="33" t="s">
        <v>57</v>
      </c>
      <c r="AJ54" s="33" t="s">
        <v>58</v>
      </c>
      <c r="AK54" s="33" t="s">
        <v>56</v>
      </c>
      <c r="AL54" s="27"/>
      <c r="AM54" s="34" t="s">
        <v>57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1097</v>
      </c>
      <c r="C55" s="25" t="s">
        <v>1098</v>
      </c>
      <c r="D55" s="23" t="s">
        <v>1096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 t="s">
        <v>61</v>
      </c>
      <c r="AG55" s="33" t="s">
        <v>55</v>
      </c>
      <c r="AH55" s="33" t="s">
        <v>56</v>
      </c>
      <c r="AI55" s="33" t="s">
        <v>57</v>
      </c>
      <c r="AJ55" s="33" t="s">
        <v>58</v>
      </c>
      <c r="AK55" s="33" t="s">
        <v>56</v>
      </c>
      <c r="AL55" s="27"/>
      <c r="AM55" s="34" t="s">
        <v>57</v>
      </c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1099</v>
      </c>
      <c r="C56" s="41" t="s">
        <v>1100</v>
      </c>
      <c r="D56" s="39" t="s">
        <v>1096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 t="s">
        <v>61</v>
      </c>
      <c r="AG56" s="33" t="s">
        <v>55</v>
      </c>
      <c r="AH56" s="33" t="s">
        <v>56</v>
      </c>
      <c r="AI56" s="33" t="s">
        <v>57</v>
      </c>
      <c r="AJ56" s="33" t="s">
        <v>58</v>
      </c>
      <c r="AK56" s="33" t="s">
        <v>56</v>
      </c>
      <c r="AL56" s="27"/>
      <c r="AM56" s="34" t="s">
        <v>57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1101</v>
      </c>
      <c r="C57" s="25" t="s">
        <v>1102</v>
      </c>
      <c r="D57" s="23" t="s">
        <v>1096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 t="s">
        <v>61</v>
      </c>
      <c r="AG57" s="33" t="s">
        <v>55</v>
      </c>
      <c r="AH57" s="33" t="s">
        <v>56</v>
      </c>
      <c r="AI57" s="33" t="s">
        <v>57</v>
      </c>
      <c r="AJ57" s="33" t="s">
        <v>58</v>
      </c>
      <c r="AK57" s="33" t="s">
        <v>56</v>
      </c>
      <c r="AL57" s="27"/>
      <c r="AM57" s="34" t="s">
        <v>57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1103</v>
      </c>
      <c r="C58" s="41" t="s">
        <v>1104</v>
      </c>
      <c r="D58" s="39" t="s">
        <v>1096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 t="s">
        <v>61</v>
      </c>
      <c r="AG58" s="33" t="s">
        <v>55</v>
      </c>
      <c r="AH58" s="33" t="s">
        <v>56</v>
      </c>
      <c r="AI58" s="33" t="s">
        <v>57</v>
      </c>
      <c r="AJ58" s="33" t="s">
        <v>58</v>
      </c>
      <c r="AK58" s="33" t="s">
        <v>56</v>
      </c>
      <c r="AL58" s="27"/>
      <c r="AM58" s="34" t="s">
        <v>57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1105</v>
      </c>
      <c r="C59" s="25" t="s">
        <v>1106</v>
      </c>
      <c r="D59" s="23" t="s">
        <v>1096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 t="s">
        <v>61</v>
      </c>
      <c r="AG59" s="33" t="s">
        <v>55</v>
      </c>
      <c r="AH59" s="33" t="s">
        <v>56</v>
      </c>
      <c r="AI59" s="33" t="s">
        <v>57</v>
      </c>
      <c r="AJ59" s="33" t="s">
        <v>58</v>
      </c>
      <c r="AK59" s="33" t="s">
        <v>56</v>
      </c>
      <c r="AL59" s="27"/>
      <c r="AM59" s="34" t="s">
        <v>57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45">
        <v>56</v>
      </c>
      <c r="B60" s="45" t="s">
        <v>1107</v>
      </c>
      <c r="C60" s="46" t="s">
        <v>1108</v>
      </c>
      <c r="D60" s="23" t="s">
        <v>1096</v>
      </c>
      <c r="E60" s="42">
        <v>46128</v>
      </c>
      <c r="F60" s="26" t="s">
        <v>55</v>
      </c>
      <c r="G60" s="26" t="s">
        <v>57</v>
      </c>
      <c r="H60" s="26" t="s">
        <v>57</v>
      </c>
      <c r="I60" s="26" t="s">
        <v>60</v>
      </c>
      <c r="J60" s="26" t="s">
        <v>57</v>
      </c>
      <c r="K60" s="48" t="s">
        <v>1109</v>
      </c>
      <c r="L60" s="47" t="s">
        <v>57</v>
      </c>
      <c r="M60" s="29" t="str">
        <f t="shared" si="5"/>
        <v>⚠ Missing</v>
      </c>
      <c r="N60" s="42">
        <v>46185</v>
      </c>
      <c r="O60" s="26" t="s">
        <v>55</v>
      </c>
      <c r="P60" s="26" t="s">
        <v>57</v>
      </c>
      <c r="Q60" s="26" t="s">
        <v>56</v>
      </c>
      <c r="R60" s="26" t="s">
        <v>60</v>
      </c>
      <c r="S60" s="26" t="s">
        <v>57</v>
      </c>
      <c r="T60" s="48"/>
      <c r="U60" s="28" t="s">
        <v>57</v>
      </c>
      <c r="V60" s="29" t="str">
        <f t="shared" si="6"/>
        <v>❌ Disc</v>
      </c>
      <c r="W60" s="71">
        <v>46248</v>
      </c>
      <c r="X60" s="30" t="s">
        <v>55</v>
      </c>
      <c r="Y60" s="49" t="s">
        <v>57</v>
      </c>
      <c r="Z60" s="49" t="s">
        <v>56</v>
      </c>
      <c r="AA60" s="49" t="s">
        <v>60</v>
      </c>
      <c r="AB60" s="49" t="s">
        <v>57</v>
      </c>
      <c r="AC60" s="48"/>
      <c r="AD60" s="49" t="s">
        <v>57</v>
      </c>
      <c r="AE60" s="50" t="s">
        <v>1110</v>
      </c>
      <c r="AF60" s="51" t="s">
        <v>61</v>
      </c>
      <c r="AG60" s="51" t="s">
        <v>62</v>
      </c>
      <c r="AH60" s="51" t="s">
        <v>57</v>
      </c>
      <c r="AI60" s="51" t="s">
        <v>56</v>
      </c>
      <c r="AJ60" s="51" t="s">
        <v>60</v>
      </c>
      <c r="AK60" s="51" t="s">
        <v>57</v>
      </c>
      <c r="AL60" s="48"/>
      <c r="AM60" s="51" t="s">
        <v>57</v>
      </c>
      <c r="AN60" s="52" t="s">
        <v>1110</v>
      </c>
      <c r="AO60" s="53" t="s">
        <v>1110</v>
      </c>
      <c r="AP60" s="53" t="s">
        <v>1110</v>
      </c>
      <c r="AQ60" s="53" t="s">
        <v>1110</v>
      </c>
      <c r="AR60" s="53" t="s">
        <v>1110</v>
      </c>
      <c r="AS60" s="53" t="s">
        <v>1110</v>
      </c>
      <c r="AT60" s="53" t="s">
        <v>1110</v>
      </c>
      <c r="AU60" s="48" t="s">
        <v>1110</v>
      </c>
      <c r="AV60" s="53" t="s">
        <v>1110</v>
      </c>
      <c r="AW60" s="54" t="s">
        <v>1110</v>
      </c>
    </row>
    <row r="61" spans="1:49" ht="18" customHeight="1" x14ac:dyDescent="0.3">
      <c r="A61" s="55">
        <v>57</v>
      </c>
      <c r="B61" s="56" t="s">
        <v>1111</v>
      </c>
      <c r="C61" s="57" t="s">
        <v>1112</v>
      </c>
      <c r="D61" s="23" t="s">
        <v>1096</v>
      </c>
      <c r="E61" s="42">
        <v>46128</v>
      </c>
      <c r="F61" s="26" t="s">
        <v>55</v>
      </c>
      <c r="G61" s="26" t="s">
        <v>57</v>
      </c>
      <c r="H61" s="26" t="s">
        <v>57</v>
      </c>
      <c r="I61" s="26" t="s">
        <v>60</v>
      </c>
      <c r="J61" s="26" t="s">
        <v>57</v>
      </c>
      <c r="K61" s="48" t="s">
        <v>1109</v>
      </c>
      <c r="L61" s="59" t="s">
        <v>57</v>
      </c>
      <c r="M61" s="29" t="str">
        <f t="shared" si="5"/>
        <v>⚠ Missing</v>
      </c>
      <c r="N61" s="42">
        <v>46185</v>
      </c>
      <c r="O61" s="26" t="s">
        <v>55</v>
      </c>
      <c r="P61" s="26" t="s">
        <v>57</v>
      </c>
      <c r="Q61" s="26" t="s">
        <v>56</v>
      </c>
      <c r="R61" s="26" t="s">
        <v>60</v>
      </c>
      <c r="S61" s="26" t="s">
        <v>57</v>
      </c>
      <c r="T61" s="48"/>
      <c r="U61" s="28" t="s">
        <v>57</v>
      </c>
      <c r="V61" s="29" t="str">
        <f t="shared" si="6"/>
        <v>❌ Disc</v>
      </c>
      <c r="W61" s="72">
        <v>46248</v>
      </c>
      <c r="X61" s="30" t="s">
        <v>55</v>
      </c>
      <c r="Y61" s="60" t="s">
        <v>57</v>
      </c>
      <c r="Z61" s="60" t="s">
        <v>56</v>
      </c>
      <c r="AA61" s="60" t="s">
        <v>60</v>
      </c>
      <c r="AB61" s="60" t="s">
        <v>57</v>
      </c>
      <c r="AC61" s="58"/>
      <c r="AD61" s="61" t="s">
        <v>57</v>
      </c>
      <c r="AE61" s="62" t="s">
        <v>1110</v>
      </c>
      <c r="AF61" s="63" t="s">
        <v>61</v>
      </c>
      <c r="AG61" s="63" t="s">
        <v>62</v>
      </c>
      <c r="AH61" s="63" t="s">
        <v>57</v>
      </c>
      <c r="AI61" s="63" t="s">
        <v>56</v>
      </c>
      <c r="AJ61" s="63" t="s">
        <v>60</v>
      </c>
      <c r="AK61" s="63" t="s">
        <v>57</v>
      </c>
      <c r="AL61" s="58"/>
      <c r="AM61" s="64" t="s">
        <v>57</v>
      </c>
      <c r="AN61" s="65" t="s">
        <v>1110</v>
      </c>
      <c r="AO61" s="66" t="s">
        <v>1110</v>
      </c>
      <c r="AP61" s="66" t="s">
        <v>1110</v>
      </c>
      <c r="AQ61" s="66" t="s">
        <v>1110</v>
      </c>
      <c r="AR61" s="66" t="s">
        <v>1110</v>
      </c>
      <c r="AS61" s="66" t="s">
        <v>1110</v>
      </c>
      <c r="AT61" s="66" t="s">
        <v>1110</v>
      </c>
      <c r="AU61" s="58" t="s">
        <v>1110</v>
      </c>
      <c r="AV61" s="67" t="s">
        <v>1110</v>
      </c>
      <c r="AW61" s="68" t="s">
        <v>1110</v>
      </c>
    </row>
    <row r="62" spans="1:49" ht="18" customHeight="1" x14ac:dyDescent="0.3">
      <c r="A62" s="45">
        <v>58</v>
      </c>
      <c r="B62" s="45" t="s">
        <v>1113</v>
      </c>
      <c r="C62" s="46" t="s">
        <v>1114</v>
      </c>
      <c r="D62" s="23" t="s">
        <v>1096</v>
      </c>
      <c r="E62" s="42">
        <v>46128</v>
      </c>
      <c r="F62" s="26" t="s">
        <v>55</v>
      </c>
      <c r="G62" s="26" t="s">
        <v>57</v>
      </c>
      <c r="H62" s="26" t="s">
        <v>57</v>
      </c>
      <c r="I62" s="26" t="s">
        <v>60</v>
      </c>
      <c r="J62" s="26" t="s">
        <v>57</v>
      </c>
      <c r="K62" s="48" t="s">
        <v>1109</v>
      </c>
      <c r="L62" s="47" t="s">
        <v>57</v>
      </c>
      <c r="M62" s="29" t="str">
        <f t="shared" si="5"/>
        <v>⚠ Missing</v>
      </c>
      <c r="N62" s="42">
        <v>46185</v>
      </c>
      <c r="O62" s="26" t="s">
        <v>55</v>
      </c>
      <c r="P62" s="26" t="s">
        <v>57</v>
      </c>
      <c r="Q62" s="26" t="s">
        <v>56</v>
      </c>
      <c r="R62" s="26" t="s">
        <v>60</v>
      </c>
      <c r="S62" s="26" t="s">
        <v>57</v>
      </c>
      <c r="T62" s="48"/>
      <c r="U62" s="28" t="s">
        <v>57</v>
      </c>
      <c r="V62" s="29" t="str">
        <f t="shared" si="6"/>
        <v>❌ Disc</v>
      </c>
      <c r="W62" s="71">
        <v>46248</v>
      </c>
      <c r="X62" s="30" t="s">
        <v>55</v>
      </c>
      <c r="Y62" s="49" t="s">
        <v>57</v>
      </c>
      <c r="Z62" s="49" t="s">
        <v>56</v>
      </c>
      <c r="AA62" s="49" t="s">
        <v>60</v>
      </c>
      <c r="AB62" s="49" t="s">
        <v>57</v>
      </c>
      <c r="AC62" s="48"/>
      <c r="AD62" s="49" t="s">
        <v>57</v>
      </c>
      <c r="AE62" s="50" t="s">
        <v>1110</v>
      </c>
      <c r="AF62" s="51" t="s">
        <v>61</v>
      </c>
      <c r="AG62" s="51" t="s">
        <v>62</v>
      </c>
      <c r="AH62" s="51" t="s">
        <v>57</v>
      </c>
      <c r="AI62" s="51" t="s">
        <v>56</v>
      </c>
      <c r="AJ62" s="51" t="s">
        <v>60</v>
      </c>
      <c r="AK62" s="51" t="s">
        <v>57</v>
      </c>
      <c r="AL62" s="48"/>
      <c r="AM62" s="51" t="s">
        <v>57</v>
      </c>
      <c r="AN62" s="52" t="s">
        <v>1110</v>
      </c>
      <c r="AO62" s="53" t="s">
        <v>1110</v>
      </c>
      <c r="AP62" s="53" t="s">
        <v>1110</v>
      </c>
      <c r="AQ62" s="53" t="s">
        <v>1110</v>
      </c>
      <c r="AR62" s="53" t="s">
        <v>1110</v>
      </c>
      <c r="AS62" s="53" t="s">
        <v>1110</v>
      </c>
      <c r="AT62" s="53" t="s">
        <v>1110</v>
      </c>
      <c r="AU62" s="48" t="s">
        <v>1110</v>
      </c>
      <c r="AV62" s="53" t="s">
        <v>1110</v>
      </c>
      <c r="AW62" s="54" t="s">
        <v>1110</v>
      </c>
    </row>
    <row r="63" spans="1:49" ht="18" customHeight="1" x14ac:dyDescent="0.3">
      <c r="A63" s="23">
        <v>59</v>
      </c>
      <c r="B63" s="24" t="s">
        <v>1115</v>
      </c>
      <c r="C63" s="25" t="s">
        <v>1116</v>
      </c>
      <c r="D63" s="23" t="s">
        <v>1096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278</v>
      </c>
      <c r="J63" s="26" t="s">
        <v>57</v>
      </c>
      <c r="K63" s="27" t="s">
        <v>1117</v>
      </c>
      <c r="L63" s="28" t="s">
        <v>56</v>
      </c>
      <c r="M63" s="29" t="str">
        <f t="shared" si="5"/>
        <v>⚠ Check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278</v>
      </c>
      <c r="S63" s="26" t="s">
        <v>57</v>
      </c>
      <c r="T63" s="27" t="s">
        <v>1117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278</v>
      </c>
      <c r="AB63" s="30" t="s">
        <v>57</v>
      </c>
      <c r="AC63" s="27" t="s">
        <v>1117</v>
      </c>
      <c r="AD63" s="31" t="s">
        <v>56</v>
      </c>
      <c r="AE63" s="32" t="str">
        <f t="shared" ref="AE63:AE94" si="10">IF(W63="","",IF(Z63="Yes","❌ Disc",IF(Y63="No","⚠ Missing",IF(AB63="Yes","✓ OK","⚠ Check"))))</f>
        <v>⚠ Check</v>
      </c>
      <c r="AF63" s="33" t="s">
        <v>61</v>
      </c>
      <c r="AG63" s="33" t="s">
        <v>62</v>
      </c>
      <c r="AH63" s="33" t="s">
        <v>57</v>
      </c>
      <c r="AI63" s="33" t="s">
        <v>56</v>
      </c>
      <c r="AJ63" s="33" t="s">
        <v>60</v>
      </c>
      <c r="AK63" s="33" t="s">
        <v>57</v>
      </c>
      <c r="AL63" s="27"/>
      <c r="AM63" s="34" t="s">
        <v>57</v>
      </c>
      <c r="AN63" s="35" t="str">
        <f t="shared" ref="AN63:AN94" si="11">IF(AF63="","",IF(AI63="Yes","❌ Disc",IF(AH63="No","⚠ Missing",IF(AK63="Yes","✓ OK","⚠ Check"))))</f>
        <v>❌ Disc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8" customHeight="1" x14ac:dyDescent="0.3">
      <c r="A64" s="39">
        <v>60</v>
      </c>
      <c r="B64" s="40" t="s">
        <v>1118</v>
      </c>
      <c r="C64" s="41" t="s">
        <v>1119</v>
      </c>
      <c r="D64" s="39" t="s">
        <v>1096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10"/>
        <v>✓ OK</v>
      </c>
      <c r="AF64" s="33" t="s">
        <v>61</v>
      </c>
      <c r="AG64" s="33" t="s">
        <v>55</v>
      </c>
      <c r="AH64" s="33" t="s">
        <v>56</v>
      </c>
      <c r="AI64" s="33" t="s">
        <v>57</v>
      </c>
      <c r="AJ64" s="33" t="s">
        <v>58</v>
      </c>
      <c r="AK64" s="33" t="s">
        <v>56</v>
      </c>
      <c r="AL64" s="27"/>
      <c r="AM64" s="34" t="s">
        <v>57</v>
      </c>
      <c r="AN64" s="35" t="str">
        <f t="shared" si="11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8" customHeight="1" x14ac:dyDescent="0.3">
      <c r="A65" s="23">
        <v>61</v>
      </c>
      <c r="B65" s="24" t="s">
        <v>1120</v>
      </c>
      <c r="C65" s="25" t="s">
        <v>1121</v>
      </c>
      <c r="D65" s="23" t="s">
        <v>1096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10"/>
        <v>✓ OK</v>
      </c>
      <c r="AF65" s="33" t="s">
        <v>61</v>
      </c>
      <c r="AG65" s="33" t="s">
        <v>55</v>
      </c>
      <c r="AH65" s="33" t="s">
        <v>56</v>
      </c>
      <c r="AI65" s="33" t="s">
        <v>57</v>
      </c>
      <c r="AJ65" s="33" t="s">
        <v>58</v>
      </c>
      <c r="AK65" s="33" t="s">
        <v>56</v>
      </c>
      <c r="AL65" s="27"/>
      <c r="AM65" s="34" t="s">
        <v>57</v>
      </c>
      <c r="AN65" s="35" t="str">
        <f t="shared" si="11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8" customHeight="1" x14ac:dyDescent="0.3">
      <c r="A66" s="39">
        <v>62</v>
      </c>
      <c r="B66" s="40" t="s">
        <v>1122</v>
      </c>
      <c r="C66" s="41" t="s">
        <v>1123</v>
      </c>
      <c r="D66" s="39" t="s">
        <v>1096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10"/>
        <v>✓ OK</v>
      </c>
      <c r="AF66" s="33" t="s">
        <v>61</v>
      </c>
      <c r="AG66" s="33" t="s">
        <v>55</v>
      </c>
      <c r="AH66" s="33" t="s">
        <v>56</v>
      </c>
      <c r="AI66" s="33" t="s">
        <v>57</v>
      </c>
      <c r="AJ66" s="33" t="s">
        <v>58</v>
      </c>
      <c r="AK66" s="33" t="s">
        <v>56</v>
      </c>
      <c r="AL66" s="27"/>
      <c r="AM66" s="34" t="s">
        <v>57</v>
      </c>
      <c r="AN66" s="35" t="str">
        <f t="shared" si="11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8" customHeight="1" x14ac:dyDescent="0.3">
      <c r="A67" s="23">
        <v>63</v>
      </c>
      <c r="B67" s="24" t="s">
        <v>1124</v>
      </c>
      <c r="C67" s="25" t="s">
        <v>1125</v>
      </c>
      <c r="D67" s="23" t="s">
        <v>1096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10"/>
        <v>✓ OK</v>
      </c>
      <c r="AF67" s="33" t="s">
        <v>61</v>
      </c>
      <c r="AG67" s="33" t="s">
        <v>55</v>
      </c>
      <c r="AH67" s="33" t="s">
        <v>56</v>
      </c>
      <c r="AI67" s="33" t="s">
        <v>57</v>
      </c>
      <c r="AJ67" s="33" t="s">
        <v>58</v>
      </c>
      <c r="AK67" s="33" t="s">
        <v>56</v>
      </c>
      <c r="AL67" s="27"/>
      <c r="AM67" s="34" t="s">
        <v>57</v>
      </c>
      <c r="AN67" s="35" t="str">
        <f t="shared" si="11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8" customHeight="1" x14ac:dyDescent="0.3">
      <c r="A68" s="39">
        <v>64</v>
      </c>
      <c r="B68" s="40" t="s">
        <v>1126</v>
      </c>
      <c r="C68" s="41" t="s">
        <v>1127</v>
      </c>
      <c r="D68" s="39" t="s">
        <v>1096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10"/>
        <v>✓ OK</v>
      </c>
      <c r="AF68" s="33" t="s">
        <v>61</v>
      </c>
      <c r="AG68" s="33" t="s">
        <v>55</v>
      </c>
      <c r="AH68" s="33" t="s">
        <v>56</v>
      </c>
      <c r="AI68" s="33" t="s">
        <v>57</v>
      </c>
      <c r="AJ68" s="33" t="s">
        <v>58</v>
      </c>
      <c r="AK68" s="33" t="s">
        <v>56</v>
      </c>
      <c r="AL68" s="27"/>
      <c r="AM68" s="34" t="s">
        <v>57</v>
      </c>
      <c r="AN68" s="35" t="str">
        <f t="shared" si="11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8" customHeight="1" x14ac:dyDescent="0.3">
      <c r="A69" s="23">
        <v>65</v>
      </c>
      <c r="B69" s="24" t="s">
        <v>1128</v>
      </c>
      <c r="C69" s="25" t="s">
        <v>1129</v>
      </c>
      <c r="D69" s="23" t="s">
        <v>1096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13">IF(E69="","",IF(H69="Yes","❌ Disc",IF(G69="No","⚠ Missing",IF(J69="Yes","✓ OK","⚠ Check"))))</f>
        <v>✓ OK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00" si="14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si="10"/>
        <v>✓ OK</v>
      </c>
      <c r="AF69" s="33" t="s">
        <v>61</v>
      </c>
      <c r="AG69" s="33" t="s">
        <v>55</v>
      </c>
      <c r="AH69" s="33" t="s">
        <v>56</v>
      </c>
      <c r="AI69" s="33" t="s">
        <v>57</v>
      </c>
      <c r="AJ69" s="33" t="s">
        <v>58</v>
      </c>
      <c r="AK69" s="33" t="s">
        <v>56</v>
      </c>
      <c r="AL69" s="27"/>
      <c r="AM69" s="34" t="s">
        <v>57</v>
      </c>
      <c r="AN69" s="35" t="str">
        <f t="shared" si="11"/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8" customHeight="1" x14ac:dyDescent="0.3">
      <c r="A70" s="39">
        <v>66</v>
      </c>
      <c r="B70" s="40" t="s">
        <v>1130</v>
      </c>
      <c r="C70" s="41" t="s">
        <v>1131</v>
      </c>
      <c r="D70" s="39" t="s">
        <v>1096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1132</v>
      </c>
      <c r="J70" s="26" t="s">
        <v>57</v>
      </c>
      <c r="K70" s="27" t="s">
        <v>1117</v>
      </c>
      <c r="L70" s="28" t="s">
        <v>56</v>
      </c>
      <c r="M70" s="29" t="str">
        <f t="shared" si="13"/>
        <v>⚠ Check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1132</v>
      </c>
      <c r="S70" s="26" t="s">
        <v>57</v>
      </c>
      <c r="T70" s="27" t="s">
        <v>1117</v>
      </c>
      <c r="U70" s="28" t="s">
        <v>56</v>
      </c>
      <c r="V70" s="29" t="str">
        <f t="shared" si="14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1132</v>
      </c>
      <c r="AB70" s="30" t="s">
        <v>57</v>
      </c>
      <c r="AC70" s="27" t="s">
        <v>1117</v>
      </c>
      <c r="AD70" s="31" t="s">
        <v>56</v>
      </c>
      <c r="AE70" s="32" t="str">
        <f t="shared" si="10"/>
        <v>⚠ Check</v>
      </c>
      <c r="AF70" s="33" t="s">
        <v>61</v>
      </c>
      <c r="AG70" s="33" t="s">
        <v>55</v>
      </c>
      <c r="AH70" s="33" t="s">
        <v>56</v>
      </c>
      <c r="AI70" s="33" t="s">
        <v>57</v>
      </c>
      <c r="AJ70" s="33" t="s">
        <v>1132</v>
      </c>
      <c r="AK70" s="33" t="s">
        <v>57</v>
      </c>
      <c r="AL70" s="27" t="s">
        <v>1117</v>
      </c>
      <c r="AM70" s="34" t="s">
        <v>56</v>
      </c>
      <c r="AN70" s="35" t="str">
        <f t="shared" si="11"/>
        <v>⚠ Check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8" customHeight="1" x14ac:dyDescent="0.3">
      <c r="A71" s="23">
        <v>67</v>
      </c>
      <c r="B71" s="24" t="s">
        <v>1133</v>
      </c>
      <c r="C71" s="25" t="s">
        <v>1134</v>
      </c>
      <c r="D71" s="23" t="s">
        <v>1096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3"/>
        <v>✓ OK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4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0"/>
        <v>✓ OK</v>
      </c>
      <c r="AF71" s="33" t="s">
        <v>61</v>
      </c>
      <c r="AG71" s="33" t="s">
        <v>55</v>
      </c>
      <c r="AH71" s="33" t="s">
        <v>56</v>
      </c>
      <c r="AI71" s="33" t="s">
        <v>57</v>
      </c>
      <c r="AJ71" s="33" t="s">
        <v>58</v>
      </c>
      <c r="AK71" s="33" t="s">
        <v>56</v>
      </c>
      <c r="AL71" s="27"/>
      <c r="AM71" s="34" t="s">
        <v>57</v>
      </c>
      <c r="AN71" s="35" t="str">
        <f t="shared" si="11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8" customHeight="1" x14ac:dyDescent="0.3">
      <c r="A72" s="39">
        <v>68</v>
      </c>
      <c r="B72" s="40" t="s">
        <v>1135</v>
      </c>
      <c r="C72" s="41" t="s">
        <v>1136</v>
      </c>
      <c r="D72" s="39" t="s">
        <v>1096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3"/>
        <v>✓ OK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4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0"/>
        <v>✓ OK</v>
      </c>
      <c r="AF72" s="33" t="s">
        <v>61</v>
      </c>
      <c r="AG72" s="33" t="s">
        <v>55</v>
      </c>
      <c r="AH72" s="33" t="s">
        <v>56</v>
      </c>
      <c r="AI72" s="33" t="s">
        <v>57</v>
      </c>
      <c r="AJ72" s="33" t="s">
        <v>58</v>
      </c>
      <c r="AK72" s="33" t="s">
        <v>56</v>
      </c>
      <c r="AL72" s="27"/>
      <c r="AM72" s="34" t="s">
        <v>57</v>
      </c>
      <c r="AN72" s="35" t="str">
        <f t="shared" si="11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8" customHeight="1" x14ac:dyDescent="0.3">
      <c r="A73" s="23">
        <v>69</v>
      </c>
      <c r="B73" s="24" t="s">
        <v>1137</v>
      </c>
      <c r="C73" s="25" t="s">
        <v>1138</v>
      </c>
      <c r="D73" s="23" t="s">
        <v>1096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3"/>
        <v>✓ OK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4"/>
        <v>✓ OK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57</v>
      </c>
      <c r="AE73" s="32" t="str">
        <f t="shared" si="10"/>
        <v>✓ OK</v>
      </c>
      <c r="AF73" s="33" t="s">
        <v>61</v>
      </c>
      <c r="AG73" s="33" t="s">
        <v>55</v>
      </c>
      <c r="AH73" s="33" t="s">
        <v>56</v>
      </c>
      <c r="AI73" s="33" t="s">
        <v>57</v>
      </c>
      <c r="AJ73" s="33" t="s">
        <v>58</v>
      </c>
      <c r="AK73" s="33" t="s">
        <v>56</v>
      </c>
      <c r="AL73" s="27"/>
      <c r="AM73" s="34" t="s">
        <v>57</v>
      </c>
      <c r="AN73" s="35" t="str">
        <f t="shared" si="11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8" customHeight="1" x14ac:dyDescent="0.3">
      <c r="A74" s="39">
        <v>70</v>
      </c>
      <c r="B74" s="40" t="s">
        <v>1139</v>
      </c>
      <c r="C74" s="41" t="s">
        <v>1140</v>
      </c>
      <c r="D74" s="39" t="s">
        <v>1096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3"/>
        <v>✓ OK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4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10"/>
        <v>✓ OK</v>
      </c>
      <c r="AF74" s="33" t="s">
        <v>61</v>
      </c>
      <c r="AG74" s="33" t="s">
        <v>55</v>
      </c>
      <c r="AH74" s="33" t="s">
        <v>56</v>
      </c>
      <c r="AI74" s="33" t="s">
        <v>57</v>
      </c>
      <c r="AJ74" s="33" t="s">
        <v>58</v>
      </c>
      <c r="AK74" s="33" t="s">
        <v>56</v>
      </c>
      <c r="AL74" s="27"/>
      <c r="AM74" s="34" t="s">
        <v>57</v>
      </c>
      <c r="AN74" s="35" t="str">
        <f t="shared" si="11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8" customHeight="1" x14ac:dyDescent="0.3">
      <c r="A75" s="23">
        <v>71</v>
      </c>
      <c r="B75" s="24" t="s">
        <v>1141</v>
      </c>
      <c r="C75" s="25" t="s">
        <v>1142</v>
      </c>
      <c r="D75" s="23" t="s">
        <v>1096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3"/>
        <v>✓ OK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4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0"/>
        <v>✓ OK</v>
      </c>
      <c r="AF75" s="33" t="s">
        <v>61</v>
      </c>
      <c r="AG75" s="33" t="s">
        <v>55</v>
      </c>
      <c r="AH75" s="33" t="s">
        <v>56</v>
      </c>
      <c r="AI75" s="33" t="s">
        <v>57</v>
      </c>
      <c r="AJ75" s="33" t="s">
        <v>58</v>
      </c>
      <c r="AK75" s="33" t="s">
        <v>56</v>
      </c>
      <c r="AL75" s="27"/>
      <c r="AM75" s="34" t="s">
        <v>57</v>
      </c>
      <c r="AN75" s="35" t="str">
        <f t="shared" si="11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8" customHeight="1" x14ac:dyDescent="0.3">
      <c r="A76" s="39">
        <v>72</v>
      </c>
      <c r="B76" s="40" t="s">
        <v>1143</v>
      </c>
      <c r="C76" s="41" t="s">
        <v>1144</v>
      </c>
      <c r="D76" s="39" t="s">
        <v>1096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3"/>
        <v>✓ OK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4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10"/>
        <v>✓ OK</v>
      </c>
      <c r="AF76" s="33" t="s">
        <v>61</v>
      </c>
      <c r="AG76" s="33" t="s">
        <v>55</v>
      </c>
      <c r="AH76" s="33" t="s">
        <v>56</v>
      </c>
      <c r="AI76" s="33" t="s">
        <v>57</v>
      </c>
      <c r="AJ76" s="33" t="s">
        <v>58</v>
      </c>
      <c r="AK76" s="33" t="s">
        <v>56</v>
      </c>
      <c r="AL76" s="27"/>
      <c r="AM76" s="34" t="s">
        <v>57</v>
      </c>
      <c r="AN76" s="35" t="str">
        <f t="shared" si="11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8" customHeight="1" x14ac:dyDescent="0.3">
      <c r="A77" s="23">
        <v>73</v>
      </c>
      <c r="B77" s="24" t="s">
        <v>1145</v>
      </c>
      <c r="C77" s="25" t="s">
        <v>1146</v>
      </c>
      <c r="D77" s="23" t="s">
        <v>1096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3"/>
        <v>✓ OK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4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10"/>
        <v>✓ OK</v>
      </c>
      <c r="AF77" s="33" t="s">
        <v>61</v>
      </c>
      <c r="AG77" s="33" t="s">
        <v>55</v>
      </c>
      <c r="AH77" s="33" t="s">
        <v>56</v>
      </c>
      <c r="AI77" s="33" t="s">
        <v>57</v>
      </c>
      <c r="AJ77" s="33" t="s">
        <v>58</v>
      </c>
      <c r="AK77" s="33" t="s">
        <v>56</v>
      </c>
      <c r="AL77" s="27"/>
      <c r="AM77" s="34" t="s">
        <v>57</v>
      </c>
      <c r="AN77" s="35" t="str">
        <f t="shared" si="11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8" customHeight="1" x14ac:dyDescent="0.3">
      <c r="A78" s="39">
        <v>74</v>
      </c>
      <c r="B78" s="40" t="s">
        <v>1147</v>
      </c>
      <c r="C78" s="41" t="s">
        <v>1148</v>
      </c>
      <c r="D78" s="39" t="s">
        <v>1096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3"/>
        <v>✓ OK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4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10"/>
        <v>✓ OK</v>
      </c>
      <c r="AF78" s="33" t="s">
        <v>61</v>
      </c>
      <c r="AG78" s="33" t="s">
        <v>55</v>
      </c>
      <c r="AH78" s="33" t="s">
        <v>56</v>
      </c>
      <c r="AI78" s="33" t="s">
        <v>57</v>
      </c>
      <c r="AJ78" s="33" t="s">
        <v>58</v>
      </c>
      <c r="AK78" s="33" t="s">
        <v>56</v>
      </c>
      <c r="AL78" s="27"/>
      <c r="AM78" s="34" t="s">
        <v>57</v>
      </c>
      <c r="AN78" s="35" t="str">
        <f t="shared" si="11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8" customHeight="1" x14ac:dyDescent="0.3">
      <c r="A79" s="23">
        <v>75</v>
      </c>
      <c r="B79" s="24" t="s">
        <v>1149</v>
      </c>
      <c r="C79" s="25" t="s">
        <v>1150</v>
      </c>
      <c r="D79" s="23" t="s">
        <v>1096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3"/>
        <v>✓ OK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4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10"/>
        <v>✓ OK</v>
      </c>
      <c r="AF79" s="33" t="s">
        <v>61</v>
      </c>
      <c r="AG79" s="33" t="s">
        <v>55</v>
      </c>
      <c r="AH79" s="33" t="s">
        <v>56</v>
      </c>
      <c r="AI79" s="33" t="s">
        <v>57</v>
      </c>
      <c r="AJ79" s="33" t="s">
        <v>58</v>
      </c>
      <c r="AK79" s="33" t="s">
        <v>56</v>
      </c>
      <c r="AL79" s="27"/>
      <c r="AM79" s="34" t="s">
        <v>57</v>
      </c>
      <c r="AN79" s="35" t="str">
        <f t="shared" si="11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8" customHeight="1" x14ac:dyDescent="0.3">
      <c r="A80" s="39">
        <v>76</v>
      </c>
      <c r="B80" s="40" t="s">
        <v>1151</v>
      </c>
      <c r="C80" s="41" t="s">
        <v>1152</v>
      </c>
      <c r="D80" s="39" t="s">
        <v>1096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3"/>
        <v>✓ OK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4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10"/>
        <v>✓ OK</v>
      </c>
      <c r="AF80" s="33" t="s">
        <v>61</v>
      </c>
      <c r="AG80" s="33" t="s">
        <v>55</v>
      </c>
      <c r="AH80" s="33" t="s">
        <v>56</v>
      </c>
      <c r="AI80" s="33" t="s">
        <v>57</v>
      </c>
      <c r="AJ80" s="33" t="s">
        <v>58</v>
      </c>
      <c r="AK80" s="33" t="s">
        <v>56</v>
      </c>
      <c r="AL80" s="27"/>
      <c r="AM80" s="34" t="s">
        <v>57</v>
      </c>
      <c r="AN80" s="35" t="str">
        <f t="shared" si="11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8" customHeight="1" x14ac:dyDescent="0.3">
      <c r="A81" s="23">
        <v>77</v>
      </c>
      <c r="B81" s="24" t="s">
        <v>1153</v>
      </c>
      <c r="C81" s="25" t="s">
        <v>1154</v>
      </c>
      <c r="D81" s="23" t="s">
        <v>1096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3"/>
        <v>✓ OK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4"/>
        <v>✓ OK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56</v>
      </c>
      <c r="AC81" s="27"/>
      <c r="AD81" s="31" t="s">
        <v>57</v>
      </c>
      <c r="AE81" s="32" t="str">
        <f t="shared" si="10"/>
        <v>✓ OK</v>
      </c>
      <c r="AF81" s="33" t="s">
        <v>61</v>
      </c>
      <c r="AG81" s="33" t="s">
        <v>55</v>
      </c>
      <c r="AH81" s="33" t="s">
        <v>56</v>
      </c>
      <c r="AI81" s="33" t="s">
        <v>57</v>
      </c>
      <c r="AJ81" s="33" t="s">
        <v>58</v>
      </c>
      <c r="AK81" s="33" t="s">
        <v>56</v>
      </c>
      <c r="AL81" s="27"/>
      <c r="AM81" s="34" t="s">
        <v>57</v>
      </c>
      <c r="AN81" s="35" t="str">
        <f t="shared" si="11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8" customHeight="1" x14ac:dyDescent="0.3">
      <c r="A82" s="39">
        <v>78</v>
      </c>
      <c r="B82" s="40" t="s">
        <v>1155</v>
      </c>
      <c r="C82" s="41" t="s">
        <v>1156</v>
      </c>
      <c r="D82" s="39" t="s">
        <v>1096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3"/>
        <v>✓ OK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4"/>
        <v>✓ OK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56</v>
      </c>
      <c r="AC82" s="27"/>
      <c r="AD82" s="31" t="s">
        <v>57</v>
      </c>
      <c r="AE82" s="32" t="str">
        <f t="shared" si="10"/>
        <v>✓ OK</v>
      </c>
      <c r="AF82" s="33" t="s">
        <v>61</v>
      </c>
      <c r="AG82" s="33" t="s">
        <v>55</v>
      </c>
      <c r="AH82" s="33" t="s">
        <v>56</v>
      </c>
      <c r="AI82" s="33" t="s">
        <v>57</v>
      </c>
      <c r="AJ82" s="33" t="s">
        <v>58</v>
      </c>
      <c r="AK82" s="33" t="s">
        <v>56</v>
      </c>
      <c r="AL82" s="27"/>
      <c r="AM82" s="34" t="s">
        <v>57</v>
      </c>
      <c r="AN82" s="35" t="str">
        <f t="shared" si="11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8" customHeight="1" x14ac:dyDescent="0.3">
      <c r="A83" s="23">
        <v>79</v>
      </c>
      <c r="B83" s="24" t="s">
        <v>1157</v>
      </c>
      <c r="C83" s="25" t="s">
        <v>1158</v>
      </c>
      <c r="D83" s="23" t="s">
        <v>1096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3"/>
        <v>✓ OK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4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10"/>
        <v>✓ OK</v>
      </c>
      <c r="AF83" s="33" t="s">
        <v>61</v>
      </c>
      <c r="AG83" s="33" t="s">
        <v>55</v>
      </c>
      <c r="AH83" s="33" t="s">
        <v>56</v>
      </c>
      <c r="AI83" s="33" t="s">
        <v>57</v>
      </c>
      <c r="AJ83" s="33" t="s">
        <v>58</v>
      </c>
      <c r="AK83" s="33" t="s">
        <v>56</v>
      </c>
      <c r="AL83" s="27"/>
      <c r="AM83" s="34" t="s">
        <v>57</v>
      </c>
      <c r="AN83" s="35" t="str">
        <f t="shared" si="11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8" customHeight="1" x14ac:dyDescent="0.3">
      <c r="A84" s="39">
        <v>80</v>
      </c>
      <c r="B84" s="40" t="s">
        <v>1159</v>
      </c>
      <c r="C84" s="41" t="s">
        <v>1160</v>
      </c>
      <c r="D84" s="39" t="s">
        <v>1096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3"/>
        <v>✓ OK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4"/>
        <v>✓ OK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56</v>
      </c>
      <c r="AC84" s="27"/>
      <c r="AD84" s="31" t="s">
        <v>57</v>
      </c>
      <c r="AE84" s="32" t="str">
        <f t="shared" si="10"/>
        <v>✓ OK</v>
      </c>
      <c r="AF84" s="33" t="s">
        <v>61</v>
      </c>
      <c r="AG84" s="33" t="s">
        <v>55</v>
      </c>
      <c r="AH84" s="33" t="s">
        <v>56</v>
      </c>
      <c r="AI84" s="33" t="s">
        <v>57</v>
      </c>
      <c r="AJ84" s="33" t="s">
        <v>58</v>
      </c>
      <c r="AK84" s="33" t="s">
        <v>56</v>
      </c>
      <c r="AL84" s="27"/>
      <c r="AM84" s="34" t="s">
        <v>57</v>
      </c>
      <c r="AN84" s="35" t="str">
        <f t="shared" si="11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8" customHeight="1" x14ac:dyDescent="0.3">
      <c r="A85" s="23">
        <v>81</v>
      </c>
      <c r="B85" s="24" t="s">
        <v>1161</v>
      </c>
      <c r="C85" s="25" t="s">
        <v>1162</v>
      </c>
      <c r="D85" s="23" t="s">
        <v>1096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3"/>
        <v>✓ OK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4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10"/>
        <v>✓ OK</v>
      </c>
      <c r="AF85" s="33" t="s">
        <v>61</v>
      </c>
      <c r="AG85" s="33" t="s">
        <v>55</v>
      </c>
      <c r="AH85" s="33" t="s">
        <v>56</v>
      </c>
      <c r="AI85" s="33" t="s">
        <v>57</v>
      </c>
      <c r="AJ85" s="33" t="s">
        <v>58</v>
      </c>
      <c r="AK85" s="33" t="s">
        <v>56</v>
      </c>
      <c r="AL85" s="27"/>
      <c r="AM85" s="34" t="s">
        <v>57</v>
      </c>
      <c r="AN85" s="35" t="str">
        <f t="shared" si="11"/>
        <v>✓ OK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8" customHeight="1" x14ac:dyDescent="0.3">
      <c r="A86" s="39">
        <v>82</v>
      </c>
      <c r="B86" s="40" t="s">
        <v>1163</v>
      </c>
      <c r="C86" s="41" t="s">
        <v>1164</v>
      </c>
      <c r="D86" s="39" t="s">
        <v>1096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3"/>
        <v>✓ OK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4"/>
        <v>✓ OK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56</v>
      </c>
      <c r="AC86" s="27"/>
      <c r="AD86" s="31" t="s">
        <v>57</v>
      </c>
      <c r="AE86" s="32" t="str">
        <f t="shared" si="10"/>
        <v>✓ OK</v>
      </c>
      <c r="AF86" s="33" t="s">
        <v>61</v>
      </c>
      <c r="AG86" s="33" t="s">
        <v>55</v>
      </c>
      <c r="AH86" s="33" t="s">
        <v>56</v>
      </c>
      <c r="AI86" s="33" t="s">
        <v>57</v>
      </c>
      <c r="AJ86" s="33" t="s">
        <v>58</v>
      </c>
      <c r="AK86" s="33" t="s">
        <v>56</v>
      </c>
      <c r="AL86" s="27"/>
      <c r="AM86" s="34" t="s">
        <v>57</v>
      </c>
      <c r="AN86" s="35" t="str">
        <f t="shared" si="11"/>
        <v>✓ OK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8" customHeight="1" x14ac:dyDescent="0.3">
      <c r="A87" s="23">
        <v>83</v>
      </c>
      <c r="B87" s="24" t="s">
        <v>1165</v>
      </c>
      <c r="C87" s="25" t="s">
        <v>1166</v>
      </c>
      <c r="D87" s="23" t="s">
        <v>1096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3"/>
        <v>✓ OK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4"/>
        <v>✓ OK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56</v>
      </c>
      <c r="AC87" s="27"/>
      <c r="AD87" s="31" t="s">
        <v>57</v>
      </c>
      <c r="AE87" s="32" t="str">
        <f t="shared" si="10"/>
        <v>✓ OK</v>
      </c>
      <c r="AF87" s="33" t="s">
        <v>61</v>
      </c>
      <c r="AG87" s="33" t="s">
        <v>55</v>
      </c>
      <c r="AH87" s="33" t="s">
        <v>56</v>
      </c>
      <c r="AI87" s="33" t="s">
        <v>57</v>
      </c>
      <c r="AJ87" s="33" t="s">
        <v>58</v>
      </c>
      <c r="AK87" s="33" t="s">
        <v>56</v>
      </c>
      <c r="AL87" s="27"/>
      <c r="AM87" s="34" t="s">
        <v>57</v>
      </c>
      <c r="AN87" s="35" t="str">
        <f t="shared" si="11"/>
        <v>✓ OK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8" customHeight="1" x14ac:dyDescent="0.3">
      <c r="A88" s="39">
        <v>84</v>
      </c>
      <c r="B88" s="40" t="s">
        <v>1167</v>
      </c>
      <c r="C88" s="41" t="s">
        <v>1168</v>
      </c>
      <c r="D88" s="39" t="s">
        <v>1096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3"/>
        <v>✓ OK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4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10"/>
        <v>✓ OK</v>
      </c>
      <c r="AF88" s="33" t="s">
        <v>61</v>
      </c>
      <c r="AG88" s="33" t="s">
        <v>55</v>
      </c>
      <c r="AH88" s="33" t="s">
        <v>56</v>
      </c>
      <c r="AI88" s="33" t="s">
        <v>57</v>
      </c>
      <c r="AJ88" s="33" t="s">
        <v>58</v>
      </c>
      <c r="AK88" s="33" t="s">
        <v>56</v>
      </c>
      <c r="AL88" s="27"/>
      <c r="AM88" s="34" t="s">
        <v>57</v>
      </c>
      <c r="AN88" s="35" t="str">
        <f t="shared" si="11"/>
        <v>✓ OK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8" customHeight="1" x14ac:dyDescent="0.3">
      <c r="A89" s="23">
        <v>85</v>
      </c>
      <c r="B89" s="24" t="s">
        <v>1169</v>
      </c>
      <c r="C89" s="25" t="s">
        <v>1170</v>
      </c>
      <c r="D89" s="23" t="s">
        <v>1096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3"/>
        <v>✓ OK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4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10"/>
        <v>✓ OK</v>
      </c>
      <c r="AF89" s="33" t="s">
        <v>61</v>
      </c>
      <c r="AG89" s="33" t="s">
        <v>55</v>
      </c>
      <c r="AH89" s="33" t="s">
        <v>56</v>
      </c>
      <c r="AI89" s="33" t="s">
        <v>57</v>
      </c>
      <c r="AJ89" s="33" t="s">
        <v>58</v>
      </c>
      <c r="AK89" s="33" t="s">
        <v>56</v>
      </c>
      <c r="AL89" s="27"/>
      <c r="AM89" s="34" t="s">
        <v>57</v>
      </c>
      <c r="AN89" s="35" t="str">
        <f t="shared" si="11"/>
        <v>✓ OK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8" customHeight="1" x14ac:dyDescent="0.3">
      <c r="A90" s="39">
        <v>86</v>
      </c>
      <c r="B90" s="40" t="s">
        <v>1171</v>
      </c>
      <c r="C90" s="41" t="s">
        <v>1172</v>
      </c>
      <c r="D90" s="39" t="s">
        <v>1096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3"/>
        <v>✓ OK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4"/>
        <v>✓ OK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56</v>
      </c>
      <c r="AC90" s="27"/>
      <c r="AD90" s="31" t="s">
        <v>57</v>
      </c>
      <c r="AE90" s="32" t="str">
        <f t="shared" si="10"/>
        <v>✓ OK</v>
      </c>
      <c r="AF90" s="33" t="s">
        <v>61</v>
      </c>
      <c r="AG90" s="33" t="s">
        <v>55</v>
      </c>
      <c r="AH90" s="33" t="s">
        <v>56</v>
      </c>
      <c r="AI90" s="33" t="s">
        <v>57</v>
      </c>
      <c r="AJ90" s="33" t="s">
        <v>58</v>
      </c>
      <c r="AK90" s="33" t="s">
        <v>56</v>
      </c>
      <c r="AL90" s="27"/>
      <c r="AM90" s="34" t="s">
        <v>57</v>
      </c>
      <c r="AN90" s="35" t="str">
        <f t="shared" si="11"/>
        <v>✓ OK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8" customHeight="1" x14ac:dyDescent="0.3">
      <c r="A91" s="23">
        <v>87</v>
      </c>
      <c r="B91" s="24" t="s">
        <v>1173</v>
      </c>
      <c r="C91" s="25" t="s">
        <v>1174</v>
      </c>
      <c r="D91" s="23" t="s">
        <v>1096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3"/>
        <v>✓ OK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4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10"/>
        <v>✓ OK</v>
      </c>
      <c r="AF91" s="33" t="s">
        <v>61</v>
      </c>
      <c r="AG91" s="33" t="s">
        <v>55</v>
      </c>
      <c r="AH91" s="33" t="s">
        <v>56</v>
      </c>
      <c r="AI91" s="33" t="s">
        <v>57</v>
      </c>
      <c r="AJ91" s="33" t="s">
        <v>58</v>
      </c>
      <c r="AK91" s="33" t="s">
        <v>56</v>
      </c>
      <c r="AL91" s="27"/>
      <c r="AM91" s="34" t="s">
        <v>57</v>
      </c>
      <c r="AN91" s="35" t="str">
        <f t="shared" si="11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8" customHeight="1" x14ac:dyDescent="0.3">
      <c r="A92" s="39">
        <v>88</v>
      </c>
      <c r="B92" s="40" t="s">
        <v>1175</v>
      </c>
      <c r="C92" s="41" t="s">
        <v>1176</v>
      </c>
      <c r="D92" s="39" t="s">
        <v>1096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3"/>
        <v>✓ OK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4"/>
        <v>✓ OK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56</v>
      </c>
      <c r="AC92" s="27"/>
      <c r="AD92" s="31" t="s">
        <v>57</v>
      </c>
      <c r="AE92" s="32" t="str">
        <f t="shared" si="10"/>
        <v>✓ OK</v>
      </c>
      <c r="AF92" s="33" t="s">
        <v>61</v>
      </c>
      <c r="AG92" s="33" t="s">
        <v>55</v>
      </c>
      <c r="AH92" s="33" t="s">
        <v>56</v>
      </c>
      <c r="AI92" s="33" t="s">
        <v>57</v>
      </c>
      <c r="AJ92" s="33" t="s">
        <v>58</v>
      </c>
      <c r="AK92" s="33" t="s">
        <v>56</v>
      </c>
      <c r="AL92" s="27"/>
      <c r="AM92" s="34" t="s">
        <v>57</v>
      </c>
      <c r="AN92" s="35" t="str">
        <f t="shared" si="11"/>
        <v>✓ OK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8" customHeight="1" x14ac:dyDescent="0.3">
      <c r="A93" s="23">
        <v>89</v>
      </c>
      <c r="B93" s="24" t="s">
        <v>1177</v>
      </c>
      <c r="C93" s="25" t="s">
        <v>1178</v>
      </c>
      <c r="D93" s="23" t="s">
        <v>1096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3"/>
        <v>✓ OK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4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10"/>
        <v>✓ OK</v>
      </c>
      <c r="AF93" s="33" t="s">
        <v>61</v>
      </c>
      <c r="AG93" s="33" t="s">
        <v>55</v>
      </c>
      <c r="AH93" s="33" t="s">
        <v>56</v>
      </c>
      <c r="AI93" s="33" t="s">
        <v>57</v>
      </c>
      <c r="AJ93" s="33" t="s">
        <v>58</v>
      </c>
      <c r="AK93" s="33" t="s">
        <v>56</v>
      </c>
      <c r="AL93" s="27"/>
      <c r="AM93" s="34" t="s">
        <v>57</v>
      </c>
      <c r="AN93" s="35" t="str">
        <f t="shared" si="11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8" customHeight="1" x14ac:dyDescent="0.3">
      <c r="A94" s="39">
        <v>90</v>
      </c>
      <c r="B94" s="40" t="s">
        <v>1179</v>
      </c>
      <c r="C94" s="41" t="s">
        <v>1180</v>
      </c>
      <c r="D94" s="39" t="s">
        <v>1096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3"/>
        <v>✓ OK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4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10"/>
        <v>✓ OK</v>
      </c>
      <c r="AF94" s="33" t="s">
        <v>61</v>
      </c>
      <c r="AG94" s="33" t="s">
        <v>55</v>
      </c>
      <c r="AH94" s="33" t="s">
        <v>56</v>
      </c>
      <c r="AI94" s="33" t="s">
        <v>57</v>
      </c>
      <c r="AJ94" s="33" t="s">
        <v>58</v>
      </c>
      <c r="AK94" s="33" t="s">
        <v>56</v>
      </c>
      <c r="AL94" s="27"/>
      <c r="AM94" s="34" t="s">
        <v>57</v>
      </c>
      <c r="AN94" s="35" t="str">
        <f t="shared" si="11"/>
        <v>✓ OK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8" customHeight="1" x14ac:dyDescent="0.3">
      <c r="A95" s="23">
        <v>91</v>
      </c>
      <c r="B95" s="24" t="s">
        <v>1181</v>
      </c>
      <c r="C95" s="25" t="s">
        <v>1182</v>
      </c>
      <c r="D95" s="23" t="s">
        <v>1096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3"/>
        <v>✓ OK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4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ref="AE95:AE126" si="15">IF(W95="","",IF(Z95="Yes","❌ Disc",IF(Y95="No","⚠ Missing",IF(AB95="Yes","✓ OK","⚠ Check"))))</f>
        <v>✓ OK</v>
      </c>
      <c r="AF95" s="33" t="s">
        <v>61</v>
      </c>
      <c r="AG95" s="33" t="s">
        <v>55</v>
      </c>
      <c r="AH95" s="33" t="s">
        <v>56</v>
      </c>
      <c r="AI95" s="33" t="s">
        <v>57</v>
      </c>
      <c r="AJ95" s="33" t="s">
        <v>58</v>
      </c>
      <c r="AK95" s="33" t="s">
        <v>56</v>
      </c>
      <c r="AL95" s="27"/>
      <c r="AM95" s="34" t="s">
        <v>57</v>
      </c>
      <c r="AN95" s="35" t="str">
        <f t="shared" ref="AN95:AN126" si="16">IF(AF95="","",IF(AI95="Yes","❌ Disc",IF(AH95="No","⚠ Missing",IF(AK95="Yes","✓ OK","⚠ Check"))))</f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8" customHeight="1" x14ac:dyDescent="0.3">
      <c r="A96" s="39">
        <v>92</v>
      </c>
      <c r="B96" s="40" t="s">
        <v>1183</v>
      </c>
      <c r="C96" s="41" t="s">
        <v>1184</v>
      </c>
      <c r="D96" s="39" t="s">
        <v>1096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3"/>
        <v>✓ OK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4"/>
        <v>✓ OK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56</v>
      </c>
      <c r="AC96" s="27"/>
      <c r="AD96" s="31" t="s">
        <v>57</v>
      </c>
      <c r="AE96" s="32" t="str">
        <f t="shared" si="15"/>
        <v>✓ OK</v>
      </c>
      <c r="AF96" s="33" t="s">
        <v>61</v>
      </c>
      <c r="AG96" s="33" t="s">
        <v>55</v>
      </c>
      <c r="AH96" s="33" t="s">
        <v>56</v>
      </c>
      <c r="AI96" s="33" t="s">
        <v>57</v>
      </c>
      <c r="AJ96" s="33" t="s">
        <v>58</v>
      </c>
      <c r="AK96" s="33" t="s">
        <v>56</v>
      </c>
      <c r="AL96" s="27"/>
      <c r="AM96" s="34" t="s">
        <v>57</v>
      </c>
      <c r="AN96" s="35" t="str">
        <f t="shared" si="16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8" customHeight="1" x14ac:dyDescent="0.3">
      <c r="A97" s="23">
        <v>93</v>
      </c>
      <c r="B97" s="24" t="s">
        <v>1185</v>
      </c>
      <c r="C97" s="25" t="s">
        <v>1186</v>
      </c>
      <c r="D97" s="23" t="s">
        <v>1096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3"/>
        <v>✓ OK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4"/>
        <v>✓ OK</v>
      </c>
      <c r="W97" s="70">
        <v>46248</v>
      </c>
      <c r="X97" s="30" t="s">
        <v>55</v>
      </c>
      <c r="Y97" s="30" t="s">
        <v>56</v>
      </c>
      <c r="Z97" s="30" t="s">
        <v>57</v>
      </c>
      <c r="AA97" s="30" t="s">
        <v>58</v>
      </c>
      <c r="AB97" s="30" t="s">
        <v>56</v>
      </c>
      <c r="AC97" s="27"/>
      <c r="AD97" s="31" t="s">
        <v>57</v>
      </c>
      <c r="AE97" s="32" t="str">
        <f t="shared" si="15"/>
        <v>✓ OK</v>
      </c>
      <c r="AF97" s="33" t="s">
        <v>61</v>
      </c>
      <c r="AG97" s="33" t="s">
        <v>55</v>
      </c>
      <c r="AH97" s="33" t="s">
        <v>56</v>
      </c>
      <c r="AI97" s="33" t="s">
        <v>57</v>
      </c>
      <c r="AJ97" s="33" t="s">
        <v>58</v>
      </c>
      <c r="AK97" s="33" t="s">
        <v>56</v>
      </c>
      <c r="AL97" s="27"/>
      <c r="AM97" s="34" t="s">
        <v>57</v>
      </c>
      <c r="AN97" s="35" t="str">
        <f t="shared" si="16"/>
        <v>✓ OK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8" customHeight="1" x14ac:dyDescent="0.3">
      <c r="A98" s="39">
        <v>94</v>
      </c>
      <c r="B98" s="40" t="s">
        <v>1187</v>
      </c>
      <c r="C98" s="41" t="s">
        <v>1188</v>
      </c>
      <c r="D98" s="39" t="s">
        <v>1096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3"/>
        <v>✓ OK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4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15"/>
        <v>✓ OK</v>
      </c>
      <c r="AF98" s="33" t="s">
        <v>61</v>
      </c>
      <c r="AG98" s="33" t="s">
        <v>55</v>
      </c>
      <c r="AH98" s="33" t="s">
        <v>56</v>
      </c>
      <c r="AI98" s="33" t="s">
        <v>57</v>
      </c>
      <c r="AJ98" s="33" t="s">
        <v>58</v>
      </c>
      <c r="AK98" s="33" t="s">
        <v>56</v>
      </c>
      <c r="AL98" s="27"/>
      <c r="AM98" s="34" t="s">
        <v>57</v>
      </c>
      <c r="AN98" s="35" t="str">
        <f t="shared" si="16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8" customHeight="1" x14ac:dyDescent="0.3">
      <c r="A99" s="23">
        <v>95</v>
      </c>
      <c r="B99" s="24" t="s">
        <v>1189</v>
      </c>
      <c r="C99" s="25" t="s">
        <v>1190</v>
      </c>
      <c r="D99" s="23" t="s">
        <v>1096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3"/>
        <v>✓ OK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4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15"/>
        <v>✓ OK</v>
      </c>
      <c r="AF99" s="33" t="s">
        <v>61</v>
      </c>
      <c r="AG99" s="33" t="s">
        <v>55</v>
      </c>
      <c r="AH99" s="33" t="s">
        <v>56</v>
      </c>
      <c r="AI99" s="33" t="s">
        <v>57</v>
      </c>
      <c r="AJ99" s="33" t="s">
        <v>58</v>
      </c>
      <c r="AK99" s="33" t="s">
        <v>56</v>
      </c>
      <c r="AL99" s="27"/>
      <c r="AM99" s="34" t="s">
        <v>57</v>
      </c>
      <c r="AN99" s="35" t="str">
        <f t="shared" si="16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8" customHeight="1" x14ac:dyDescent="0.3">
      <c r="A100" s="39">
        <v>96</v>
      </c>
      <c r="B100" s="40" t="s">
        <v>1191</v>
      </c>
      <c r="C100" s="41" t="s">
        <v>1192</v>
      </c>
      <c r="D100" s="39" t="s">
        <v>1096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3"/>
        <v>✓ OK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4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15"/>
        <v>✓ OK</v>
      </c>
      <c r="AF100" s="33" t="s">
        <v>61</v>
      </c>
      <c r="AG100" s="33" t="s">
        <v>55</v>
      </c>
      <c r="AH100" s="33" t="s">
        <v>56</v>
      </c>
      <c r="AI100" s="33" t="s">
        <v>57</v>
      </c>
      <c r="AJ100" s="33" t="s">
        <v>58</v>
      </c>
      <c r="AK100" s="33" t="s">
        <v>56</v>
      </c>
      <c r="AL100" s="27"/>
      <c r="AM100" s="34" t="s">
        <v>57</v>
      </c>
      <c r="AN100" s="35" t="str">
        <f t="shared" si="16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8" customHeight="1" x14ac:dyDescent="0.3">
      <c r="A101" s="23">
        <v>97</v>
      </c>
      <c r="B101" s="24" t="s">
        <v>1193</v>
      </c>
      <c r="C101" s="25" t="s">
        <v>1194</v>
      </c>
      <c r="D101" s="23" t="s">
        <v>1096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8">IF(E101="","",IF(H101="Yes","❌ Disc",IF(G101="No","⚠ Missing",IF(J101="Yes","✓ OK","⚠ Check"))))</f>
        <v>✓ OK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ref="V101:V132" si="19">IF(N101="","",IF(Q101="Yes","❌ Disc",IF(P101="No","⚠ Missing",IF(S101="Yes","✓ OK","⚠ Check"))))</f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15"/>
        <v>✓ OK</v>
      </c>
      <c r="AF101" s="33" t="s">
        <v>61</v>
      </c>
      <c r="AG101" s="33" t="s">
        <v>55</v>
      </c>
      <c r="AH101" s="33" t="s">
        <v>56</v>
      </c>
      <c r="AI101" s="33" t="s">
        <v>57</v>
      </c>
      <c r="AJ101" s="33" t="s">
        <v>58</v>
      </c>
      <c r="AK101" s="33" t="s">
        <v>56</v>
      </c>
      <c r="AL101" s="27"/>
      <c r="AM101" s="34" t="s">
        <v>57</v>
      </c>
      <c r="AN101" s="35" t="str">
        <f t="shared" si="16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8" customHeight="1" x14ac:dyDescent="0.3">
      <c r="A102" s="39">
        <v>98</v>
      </c>
      <c r="B102" s="40" t="s">
        <v>1195</v>
      </c>
      <c r="C102" s="41" t="s">
        <v>1196</v>
      </c>
      <c r="D102" s="39" t="s">
        <v>1096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8"/>
        <v>✓ OK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19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15"/>
        <v>✓ OK</v>
      </c>
      <c r="AF102" s="33" t="s">
        <v>61</v>
      </c>
      <c r="AG102" s="33" t="s">
        <v>55</v>
      </c>
      <c r="AH102" s="33" t="s">
        <v>56</v>
      </c>
      <c r="AI102" s="33" t="s">
        <v>57</v>
      </c>
      <c r="AJ102" s="33" t="s">
        <v>58</v>
      </c>
      <c r="AK102" s="33" t="s">
        <v>56</v>
      </c>
      <c r="AL102" s="27"/>
      <c r="AM102" s="34" t="s">
        <v>57</v>
      </c>
      <c r="AN102" s="35" t="str">
        <f t="shared" si="16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8" customHeight="1" x14ac:dyDescent="0.3">
      <c r="A103" s="23">
        <v>99</v>
      </c>
      <c r="B103" s="24" t="s">
        <v>1197</v>
      </c>
      <c r="C103" s="25" t="s">
        <v>1198</v>
      </c>
      <c r="D103" s="23" t="s">
        <v>1096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8"/>
        <v>✓ OK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9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15"/>
        <v>✓ OK</v>
      </c>
      <c r="AF103" s="33" t="s">
        <v>61</v>
      </c>
      <c r="AG103" s="33" t="s">
        <v>55</v>
      </c>
      <c r="AH103" s="33" t="s">
        <v>56</v>
      </c>
      <c r="AI103" s="33" t="s">
        <v>57</v>
      </c>
      <c r="AJ103" s="33" t="s">
        <v>58</v>
      </c>
      <c r="AK103" s="33" t="s">
        <v>56</v>
      </c>
      <c r="AL103" s="27"/>
      <c r="AM103" s="34" t="s">
        <v>57</v>
      </c>
      <c r="AN103" s="35" t="str">
        <f t="shared" si="16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8" customHeight="1" x14ac:dyDescent="0.3">
      <c r="A104" s="39">
        <v>100</v>
      </c>
      <c r="B104" s="40" t="s">
        <v>1199</v>
      </c>
      <c r="C104" s="41" t="s">
        <v>1200</v>
      </c>
      <c r="D104" s="39" t="s">
        <v>1096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8"/>
        <v>✓ OK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9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15"/>
        <v>✓ OK</v>
      </c>
      <c r="AF104" s="33" t="s">
        <v>61</v>
      </c>
      <c r="AG104" s="33" t="s">
        <v>55</v>
      </c>
      <c r="AH104" s="33" t="s">
        <v>56</v>
      </c>
      <c r="AI104" s="33" t="s">
        <v>57</v>
      </c>
      <c r="AJ104" s="33" t="s">
        <v>58</v>
      </c>
      <c r="AK104" s="33" t="s">
        <v>56</v>
      </c>
      <c r="AL104" s="27"/>
      <c r="AM104" s="34" t="s">
        <v>57</v>
      </c>
      <c r="AN104" s="35" t="str">
        <f t="shared" si="16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8" customHeight="1" x14ac:dyDescent="0.3">
      <c r="A105" s="23">
        <v>101</v>
      </c>
      <c r="B105" s="24" t="s">
        <v>1201</v>
      </c>
      <c r="C105" s="25" t="s">
        <v>1202</v>
      </c>
      <c r="D105" s="23" t="s">
        <v>1096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8"/>
        <v>✓ OK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9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15"/>
        <v>✓ OK</v>
      </c>
      <c r="AF105" s="33" t="s">
        <v>61</v>
      </c>
      <c r="AG105" s="33" t="s">
        <v>55</v>
      </c>
      <c r="AH105" s="33" t="s">
        <v>56</v>
      </c>
      <c r="AI105" s="33" t="s">
        <v>57</v>
      </c>
      <c r="AJ105" s="33" t="s">
        <v>58</v>
      </c>
      <c r="AK105" s="33" t="s">
        <v>56</v>
      </c>
      <c r="AL105" s="27"/>
      <c r="AM105" s="34" t="s">
        <v>57</v>
      </c>
      <c r="AN105" s="35" t="str">
        <f t="shared" si="16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8" customHeight="1" x14ac:dyDescent="0.3">
      <c r="A106" s="39">
        <v>102</v>
      </c>
      <c r="B106" s="40" t="s">
        <v>1203</v>
      </c>
      <c r="C106" s="41" t="s">
        <v>1204</v>
      </c>
      <c r="D106" s="39" t="s">
        <v>1096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8"/>
        <v>✓ OK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19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15"/>
        <v>✓ OK</v>
      </c>
      <c r="AF106" s="33" t="s">
        <v>61</v>
      </c>
      <c r="AG106" s="33" t="s">
        <v>55</v>
      </c>
      <c r="AH106" s="33" t="s">
        <v>56</v>
      </c>
      <c r="AI106" s="33" t="s">
        <v>57</v>
      </c>
      <c r="AJ106" s="33" t="s">
        <v>58</v>
      </c>
      <c r="AK106" s="33" t="s">
        <v>56</v>
      </c>
      <c r="AL106" s="27"/>
      <c r="AM106" s="34" t="s">
        <v>57</v>
      </c>
      <c r="AN106" s="35" t="str">
        <f t="shared" si="16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8" customHeight="1" x14ac:dyDescent="0.3">
      <c r="A107" s="23">
        <v>103</v>
      </c>
      <c r="B107" s="24" t="s">
        <v>1205</v>
      </c>
      <c r="C107" s="25" t="s">
        <v>1206</v>
      </c>
      <c r="D107" s="23" t="s">
        <v>1096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8"/>
        <v>✓ OK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9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15"/>
        <v>✓ OK</v>
      </c>
      <c r="AF107" s="33" t="s">
        <v>61</v>
      </c>
      <c r="AG107" s="33" t="s">
        <v>55</v>
      </c>
      <c r="AH107" s="33" t="s">
        <v>56</v>
      </c>
      <c r="AI107" s="33" t="s">
        <v>57</v>
      </c>
      <c r="AJ107" s="33" t="s">
        <v>58</v>
      </c>
      <c r="AK107" s="33" t="s">
        <v>56</v>
      </c>
      <c r="AL107" s="27"/>
      <c r="AM107" s="34" t="s">
        <v>57</v>
      </c>
      <c r="AN107" s="35" t="str">
        <f t="shared" si="16"/>
        <v>✓ OK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8" customHeight="1" x14ac:dyDescent="0.3">
      <c r="A108" s="39">
        <v>104</v>
      </c>
      <c r="B108" s="40" t="s">
        <v>1207</v>
      </c>
      <c r="C108" s="41" t="s">
        <v>1208</v>
      </c>
      <c r="D108" s="39" t="s">
        <v>1096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8"/>
        <v>✓ OK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9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15"/>
        <v>✓ OK</v>
      </c>
      <c r="AF108" s="33" t="s">
        <v>61</v>
      </c>
      <c r="AG108" s="33" t="s">
        <v>55</v>
      </c>
      <c r="AH108" s="33" t="s">
        <v>56</v>
      </c>
      <c r="AI108" s="33" t="s">
        <v>57</v>
      </c>
      <c r="AJ108" s="33" t="s">
        <v>58</v>
      </c>
      <c r="AK108" s="33" t="s">
        <v>56</v>
      </c>
      <c r="AL108" s="27"/>
      <c r="AM108" s="34" t="s">
        <v>57</v>
      </c>
      <c r="AN108" s="35" t="str">
        <f t="shared" si="16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8" customHeight="1" x14ac:dyDescent="0.3">
      <c r="A109" s="23">
        <v>105</v>
      </c>
      <c r="B109" s="24" t="s">
        <v>1209</v>
      </c>
      <c r="C109" s="25" t="s">
        <v>1210</v>
      </c>
      <c r="D109" s="23" t="s">
        <v>1096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8"/>
        <v>✓ OK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9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15"/>
        <v>✓ OK</v>
      </c>
      <c r="AF109" s="33" t="s">
        <v>61</v>
      </c>
      <c r="AG109" s="33" t="s">
        <v>55</v>
      </c>
      <c r="AH109" s="33" t="s">
        <v>56</v>
      </c>
      <c r="AI109" s="33" t="s">
        <v>57</v>
      </c>
      <c r="AJ109" s="33" t="s">
        <v>58</v>
      </c>
      <c r="AK109" s="33" t="s">
        <v>56</v>
      </c>
      <c r="AL109" s="27"/>
      <c r="AM109" s="34" t="s">
        <v>57</v>
      </c>
      <c r="AN109" s="35" t="str">
        <f t="shared" si="16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8" customHeight="1" x14ac:dyDescent="0.3">
      <c r="A110" s="39">
        <v>106</v>
      </c>
      <c r="B110" s="40" t="s">
        <v>1211</v>
      </c>
      <c r="C110" s="41" t="s">
        <v>1212</v>
      </c>
      <c r="D110" s="39" t="s">
        <v>1096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8"/>
        <v>✓ OK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9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15"/>
        <v>✓ OK</v>
      </c>
      <c r="AF110" s="33" t="s">
        <v>61</v>
      </c>
      <c r="AG110" s="33" t="s">
        <v>55</v>
      </c>
      <c r="AH110" s="33" t="s">
        <v>56</v>
      </c>
      <c r="AI110" s="33" t="s">
        <v>57</v>
      </c>
      <c r="AJ110" s="33" t="s">
        <v>58</v>
      </c>
      <c r="AK110" s="33" t="s">
        <v>56</v>
      </c>
      <c r="AL110" s="27"/>
      <c r="AM110" s="34" t="s">
        <v>57</v>
      </c>
      <c r="AN110" s="35" t="str">
        <f t="shared" si="16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8" customHeight="1" x14ac:dyDescent="0.3">
      <c r="A111" s="23">
        <v>107</v>
      </c>
      <c r="B111" s="24" t="s">
        <v>1213</v>
      </c>
      <c r="C111" s="25" t="s">
        <v>1214</v>
      </c>
      <c r="D111" s="23" t="s">
        <v>1096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8"/>
        <v>✓ OK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9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15"/>
        <v>✓ OK</v>
      </c>
      <c r="AF111" s="33" t="s">
        <v>61</v>
      </c>
      <c r="AG111" s="33" t="s">
        <v>55</v>
      </c>
      <c r="AH111" s="33" t="s">
        <v>56</v>
      </c>
      <c r="AI111" s="33" t="s">
        <v>57</v>
      </c>
      <c r="AJ111" s="33" t="s">
        <v>58</v>
      </c>
      <c r="AK111" s="33" t="s">
        <v>56</v>
      </c>
      <c r="AL111" s="27"/>
      <c r="AM111" s="34" t="s">
        <v>57</v>
      </c>
      <c r="AN111" s="35" t="str">
        <f t="shared" si="16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8" customHeight="1" x14ac:dyDescent="0.3">
      <c r="A112" s="39">
        <v>108</v>
      </c>
      <c r="B112" s="40" t="s">
        <v>1215</v>
      </c>
      <c r="C112" s="41" t="s">
        <v>1216</v>
      </c>
      <c r="D112" s="39" t="s">
        <v>1096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8"/>
        <v>✓ OK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9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15"/>
        <v>✓ OK</v>
      </c>
      <c r="AF112" s="33" t="s">
        <v>61</v>
      </c>
      <c r="AG112" s="33" t="s">
        <v>55</v>
      </c>
      <c r="AH112" s="33" t="s">
        <v>56</v>
      </c>
      <c r="AI112" s="33" t="s">
        <v>57</v>
      </c>
      <c r="AJ112" s="33" t="s">
        <v>58</v>
      </c>
      <c r="AK112" s="33" t="s">
        <v>56</v>
      </c>
      <c r="AL112" s="27"/>
      <c r="AM112" s="34" t="s">
        <v>57</v>
      </c>
      <c r="AN112" s="35" t="str">
        <f t="shared" si="16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8" customHeight="1" x14ac:dyDescent="0.3">
      <c r="A113" s="23">
        <v>109</v>
      </c>
      <c r="B113" s="24" t="s">
        <v>1217</v>
      </c>
      <c r="C113" s="25" t="s">
        <v>1218</v>
      </c>
      <c r="D113" s="23" t="s">
        <v>1096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8"/>
        <v>✓ OK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9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15"/>
        <v>✓ OK</v>
      </c>
      <c r="AF113" s="33" t="s">
        <v>61</v>
      </c>
      <c r="AG113" s="33" t="s">
        <v>55</v>
      </c>
      <c r="AH113" s="33" t="s">
        <v>56</v>
      </c>
      <c r="AI113" s="33" t="s">
        <v>57</v>
      </c>
      <c r="AJ113" s="33" t="s">
        <v>58</v>
      </c>
      <c r="AK113" s="33" t="s">
        <v>56</v>
      </c>
      <c r="AL113" s="27"/>
      <c r="AM113" s="34" t="s">
        <v>57</v>
      </c>
      <c r="AN113" s="35" t="str">
        <f t="shared" si="16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8" customHeight="1" x14ac:dyDescent="0.3">
      <c r="A114" s="39">
        <v>110</v>
      </c>
      <c r="B114" s="40" t="s">
        <v>1219</v>
      </c>
      <c r="C114" s="41" t="s">
        <v>1220</v>
      </c>
      <c r="D114" s="39" t="s">
        <v>1096</v>
      </c>
      <c r="E114" s="42">
        <v>46129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8"/>
        <v>✓ OK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9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15"/>
        <v>✓ OK</v>
      </c>
      <c r="AF114" s="33" t="s">
        <v>61</v>
      </c>
      <c r="AG114" s="33" t="s">
        <v>55</v>
      </c>
      <c r="AH114" s="33" t="s">
        <v>56</v>
      </c>
      <c r="AI114" s="33" t="s">
        <v>57</v>
      </c>
      <c r="AJ114" s="33" t="s">
        <v>58</v>
      </c>
      <c r="AK114" s="33" t="s">
        <v>56</v>
      </c>
      <c r="AL114" s="27"/>
      <c r="AM114" s="34" t="s">
        <v>57</v>
      </c>
      <c r="AN114" s="35" t="str">
        <f t="shared" si="16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8" customHeight="1" x14ac:dyDescent="0.3">
      <c r="A115" s="23">
        <v>111</v>
      </c>
      <c r="B115" s="24" t="s">
        <v>1221</v>
      </c>
      <c r="C115" s="25" t="s">
        <v>1222</v>
      </c>
      <c r="D115" s="23" t="s">
        <v>1096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8"/>
        <v>✓ OK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9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15"/>
        <v>✓ OK</v>
      </c>
      <c r="AF115" s="33" t="s">
        <v>61</v>
      </c>
      <c r="AG115" s="33" t="s">
        <v>55</v>
      </c>
      <c r="AH115" s="33" t="s">
        <v>56</v>
      </c>
      <c r="AI115" s="33" t="s">
        <v>57</v>
      </c>
      <c r="AJ115" s="33" t="s">
        <v>58</v>
      </c>
      <c r="AK115" s="33" t="s">
        <v>56</v>
      </c>
      <c r="AL115" s="27"/>
      <c r="AM115" s="34" t="s">
        <v>57</v>
      </c>
      <c r="AN115" s="35" t="str">
        <f t="shared" si="16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8" customHeight="1" x14ac:dyDescent="0.3">
      <c r="A116" s="39">
        <v>112</v>
      </c>
      <c r="B116" s="40" t="s">
        <v>1223</v>
      </c>
      <c r="C116" s="41" t="s">
        <v>1224</v>
      </c>
      <c r="D116" s="39" t="s">
        <v>1096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8"/>
        <v>✓ OK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9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15"/>
        <v>✓ OK</v>
      </c>
      <c r="AF116" s="33" t="s">
        <v>61</v>
      </c>
      <c r="AG116" s="33" t="s">
        <v>55</v>
      </c>
      <c r="AH116" s="33" t="s">
        <v>56</v>
      </c>
      <c r="AI116" s="33" t="s">
        <v>57</v>
      </c>
      <c r="AJ116" s="33" t="s">
        <v>58</v>
      </c>
      <c r="AK116" s="33" t="s">
        <v>56</v>
      </c>
      <c r="AL116" s="27"/>
      <c r="AM116" s="34" t="s">
        <v>57</v>
      </c>
      <c r="AN116" s="35" t="str">
        <f t="shared" si="16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8" customHeight="1" x14ac:dyDescent="0.3">
      <c r="A117" s="23">
        <v>113</v>
      </c>
      <c r="B117" s="24" t="s">
        <v>1225</v>
      </c>
      <c r="C117" s="25" t="s">
        <v>1226</v>
      </c>
      <c r="D117" s="23" t="s">
        <v>1096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8"/>
        <v>✓ OK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9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15"/>
        <v>✓ OK</v>
      </c>
      <c r="AF117" s="33" t="s">
        <v>61</v>
      </c>
      <c r="AG117" s="33" t="s">
        <v>55</v>
      </c>
      <c r="AH117" s="33" t="s">
        <v>56</v>
      </c>
      <c r="AI117" s="33" t="s">
        <v>57</v>
      </c>
      <c r="AJ117" s="33" t="s">
        <v>58</v>
      </c>
      <c r="AK117" s="33" t="s">
        <v>56</v>
      </c>
      <c r="AL117" s="27"/>
      <c r="AM117" s="34" t="s">
        <v>57</v>
      </c>
      <c r="AN117" s="35" t="str">
        <f t="shared" si="16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8" customHeight="1" x14ac:dyDescent="0.3">
      <c r="A118" s="39">
        <v>114</v>
      </c>
      <c r="B118" s="40" t="s">
        <v>1227</v>
      </c>
      <c r="C118" s="41" t="s">
        <v>1228</v>
      </c>
      <c r="D118" s="39" t="s">
        <v>1096</v>
      </c>
      <c r="E118" s="42">
        <v>46129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8"/>
        <v>✓ OK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19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15"/>
        <v>✓ OK</v>
      </c>
      <c r="AF118" s="33" t="s">
        <v>61</v>
      </c>
      <c r="AG118" s="33" t="s">
        <v>55</v>
      </c>
      <c r="AH118" s="33" t="s">
        <v>56</v>
      </c>
      <c r="AI118" s="33" t="s">
        <v>57</v>
      </c>
      <c r="AJ118" s="33" t="s">
        <v>58</v>
      </c>
      <c r="AK118" s="33" t="s">
        <v>56</v>
      </c>
      <c r="AL118" s="27"/>
      <c r="AM118" s="34" t="s">
        <v>57</v>
      </c>
      <c r="AN118" s="35" t="str">
        <f t="shared" si="16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8" customHeight="1" x14ac:dyDescent="0.3">
      <c r="A119" s="23">
        <v>115</v>
      </c>
      <c r="B119" s="24" t="s">
        <v>1229</v>
      </c>
      <c r="C119" s="25" t="s">
        <v>1230</v>
      </c>
      <c r="D119" s="23" t="s">
        <v>1096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8"/>
        <v>✓ OK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19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15"/>
        <v>✓ OK</v>
      </c>
      <c r="AF119" s="33" t="s">
        <v>61</v>
      </c>
      <c r="AG119" s="33" t="s">
        <v>55</v>
      </c>
      <c r="AH119" s="33" t="s">
        <v>56</v>
      </c>
      <c r="AI119" s="33" t="s">
        <v>57</v>
      </c>
      <c r="AJ119" s="33" t="s">
        <v>58</v>
      </c>
      <c r="AK119" s="33" t="s">
        <v>56</v>
      </c>
      <c r="AL119" s="27"/>
      <c r="AM119" s="34" t="s">
        <v>57</v>
      </c>
      <c r="AN119" s="35" t="str">
        <f t="shared" si="16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8" customHeight="1" x14ac:dyDescent="0.3">
      <c r="A120" s="39">
        <v>116</v>
      </c>
      <c r="B120" s="40" t="s">
        <v>1231</v>
      </c>
      <c r="C120" s="41" t="s">
        <v>1232</v>
      </c>
      <c r="D120" s="39" t="s">
        <v>1096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8"/>
        <v>✓ OK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19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15"/>
        <v>✓ OK</v>
      </c>
      <c r="AF120" s="33" t="s">
        <v>61</v>
      </c>
      <c r="AG120" s="33" t="s">
        <v>55</v>
      </c>
      <c r="AH120" s="33" t="s">
        <v>56</v>
      </c>
      <c r="AI120" s="33" t="s">
        <v>57</v>
      </c>
      <c r="AJ120" s="33" t="s">
        <v>58</v>
      </c>
      <c r="AK120" s="33" t="s">
        <v>56</v>
      </c>
      <c r="AL120" s="27"/>
      <c r="AM120" s="34" t="s">
        <v>57</v>
      </c>
      <c r="AN120" s="35" t="str">
        <f t="shared" si="16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8" customHeight="1" x14ac:dyDescent="0.3">
      <c r="A121" s="23">
        <v>117</v>
      </c>
      <c r="B121" s="24" t="s">
        <v>1233</v>
      </c>
      <c r="C121" s="25" t="s">
        <v>1234</v>
      </c>
      <c r="D121" s="23" t="s">
        <v>1096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8"/>
        <v>✓ OK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19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15"/>
        <v>✓ OK</v>
      </c>
      <c r="AF121" s="33" t="s">
        <v>61</v>
      </c>
      <c r="AG121" s="33" t="s">
        <v>55</v>
      </c>
      <c r="AH121" s="33" t="s">
        <v>56</v>
      </c>
      <c r="AI121" s="33" t="s">
        <v>57</v>
      </c>
      <c r="AJ121" s="33" t="s">
        <v>58</v>
      </c>
      <c r="AK121" s="33" t="s">
        <v>56</v>
      </c>
      <c r="AL121" s="27"/>
      <c r="AM121" s="34" t="s">
        <v>57</v>
      </c>
      <c r="AN121" s="35" t="str">
        <f t="shared" si="16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8" customHeight="1" x14ac:dyDescent="0.3">
      <c r="A122" s="39">
        <v>118</v>
      </c>
      <c r="B122" s="40" t="s">
        <v>1235</v>
      </c>
      <c r="C122" s="41" t="s">
        <v>1236</v>
      </c>
      <c r="D122" s="39" t="s">
        <v>1096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8"/>
        <v>✓ OK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19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15"/>
        <v>✓ OK</v>
      </c>
      <c r="AF122" s="33" t="s">
        <v>61</v>
      </c>
      <c r="AG122" s="33" t="s">
        <v>55</v>
      </c>
      <c r="AH122" s="33" t="s">
        <v>56</v>
      </c>
      <c r="AI122" s="33" t="s">
        <v>57</v>
      </c>
      <c r="AJ122" s="33" t="s">
        <v>58</v>
      </c>
      <c r="AK122" s="33" t="s">
        <v>56</v>
      </c>
      <c r="AL122" s="27"/>
      <c r="AM122" s="34" t="s">
        <v>57</v>
      </c>
      <c r="AN122" s="35" t="str">
        <f t="shared" si="16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8" customHeight="1" x14ac:dyDescent="0.3">
      <c r="A123" s="23">
        <v>119</v>
      </c>
      <c r="B123" s="24" t="s">
        <v>1237</v>
      </c>
      <c r="C123" s="25" t="s">
        <v>1238</v>
      </c>
      <c r="D123" s="23" t="s">
        <v>1096</v>
      </c>
      <c r="E123" s="42">
        <v>46129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8"/>
        <v>✓ OK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19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15"/>
        <v>✓ OK</v>
      </c>
      <c r="AF123" s="33" t="s">
        <v>61</v>
      </c>
      <c r="AG123" s="33" t="s">
        <v>55</v>
      </c>
      <c r="AH123" s="33" t="s">
        <v>56</v>
      </c>
      <c r="AI123" s="33" t="s">
        <v>57</v>
      </c>
      <c r="AJ123" s="33" t="s">
        <v>58</v>
      </c>
      <c r="AK123" s="33" t="s">
        <v>56</v>
      </c>
      <c r="AL123" s="27"/>
      <c r="AM123" s="34" t="s">
        <v>57</v>
      </c>
      <c r="AN123" s="35" t="str">
        <f t="shared" si="16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8" customHeight="1" x14ac:dyDescent="0.3">
      <c r="A124" s="39">
        <v>120</v>
      </c>
      <c r="B124" s="40" t="s">
        <v>1239</v>
      </c>
      <c r="C124" s="41" t="s">
        <v>1240</v>
      </c>
      <c r="D124" s="39" t="s">
        <v>1096</v>
      </c>
      <c r="E124" s="42">
        <v>46129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8"/>
        <v>✓ OK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19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15"/>
        <v>✓ OK</v>
      </c>
      <c r="AF124" s="33" t="s">
        <v>61</v>
      </c>
      <c r="AG124" s="33" t="s">
        <v>55</v>
      </c>
      <c r="AH124" s="33" t="s">
        <v>56</v>
      </c>
      <c r="AI124" s="33" t="s">
        <v>57</v>
      </c>
      <c r="AJ124" s="33" t="s">
        <v>58</v>
      </c>
      <c r="AK124" s="33" t="s">
        <v>56</v>
      </c>
      <c r="AL124" s="27"/>
      <c r="AM124" s="34" t="s">
        <v>57</v>
      </c>
      <c r="AN124" s="35" t="str">
        <f t="shared" si="16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8" customHeight="1" x14ac:dyDescent="0.3">
      <c r="A125" s="23">
        <v>121</v>
      </c>
      <c r="B125" s="24" t="s">
        <v>1241</v>
      </c>
      <c r="C125" s="25" t="s">
        <v>1242</v>
      </c>
      <c r="D125" s="23" t="s">
        <v>1096</v>
      </c>
      <c r="E125" s="42">
        <v>46129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8"/>
        <v>✓ OK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19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15"/>
        <v>✓ OK</v>
      </c>
      <c r="AF125" s="33" t="s">
        <v>61</v>
      </c>
      <c r="AG125" s="33" t="s">
        <v>55</v>
      </c>
      <c r="AH125" s="33" t="s">
        <v>56</v>
      </c>
      <c r="AI125" s="33" t="s">
        <v>57</v>
      </c>
      <c r="AJ125" s="33" t="s">
        <v>58</v>
      </c>
      <c r="AK125" s="33" t="s">
        <v>56</v>
      </c>
      <c r="AL125" s="27"/>
      <c r="AM125" s="34" t="s">
        <v>57</v>
      </c>
      <c r="AN125" s="35" t="str">
        <f t="shared" si="16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8" customHeight="1" x14ac:dyDescent="0.3">
      <c r="A126" s="39">
        <v>122</v>
      </c>
      <c r="B126" s="40" t="s">
        <v>1243</v>
      </c>
      <c r="C126" s="41" t="s">
        <v>1244</v>
      </c>
      <c r="D126" s="39" t="s">
        <v>1096</v>
      </c>
      <c r="E126" s="42">
        <v>46129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8"/>
        <v>✓ OK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19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15"/>
        <v>✓ OK</v>
      </c>
      <c r="AF126" s="33" t="s">
        <v>61</v>
      </c>
      <c r="AG126" s="33" t="s">
        <v>55</v>
      </c>
      <c r="AH126" s="33" t="s">
        <v>56</v>
      </c>
      <c r="AI126" s="33" t="s">
        <v>57</v>
      </c>
      <c r="AJ126" s="33" t="s">
        <v>58</v>
      </c>
      <c r="AK126" s="33" t="s">
        <v>56</v>
      </c>
      <c r="AL126" s="27"/>
      <c r="AM126" s="34" t="s">
        <v>57</v>
      </c>
      <c r="AN126" s="35" t="str">
        <f t="shared" si="16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8" customHeight="1" x14ac:dyDescent="0.3">
      <c r="A127" s="23">
        <v>123</v>
      </c>
      <c r="B127" s="24" t="s">
        <v>1245</v>
      </c>
      <c r="C127" s="25" t="s">
        <v>1246</v>
      </c>
      <c r="D127" s="23" t="s">
        <v>1096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8"/>
        <v>✓ OK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19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ref="AE127:AE158" si="20">IF(W127="","",IF(Z127="Yes","❌ Disc",IF(Y127="No","⚠ Missing",IF(AB127="Yes","✓ OK","⚠ Check"))))</f>
        <v>✓ OK</v>
      </c>
      <c r="AF127" s="33" t="s">
        <v>61</v>
      </c>
      <c r="AG127" s="33" t="s">
        <v>55</v>
      </c>
      <c r="AH127" s="33" t="s">
        <v>56</v>
      </c>
      <c r="AI127" s="33" t="s">
        <v>57</v>
      </c>
      <c r="AJ127" s="33" t="s">
        <v>58</v>
      </c>
      <c r="AK127" s="33" t="s">
        <v>56</v>
      </c>
      <c r="AL127" s="27"/>
      <c r="AM127" s="34" t="s">
        <v>57</v>
      </c>
      <c r="AN127" s="35" t="str">
        <f t="shared" ref="AN127:AN158" si="21">IF(AF127="","",IF(AI127="Yes","❌ Disc",IF(AH127="No","⚠ Missing",IF(AK127="Yes","✓ OK","⚠ Check"))))</f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8" customHeight="1" x14ac:dyDescent="0.3">
      <c r="A128" s="39">
        <v>124</v>
      </c>
      <c r="B128" s="40" t="s">
        <v>1247</v>
      </c>
      <c r="C128" s="41" t="s">
        <v>1248</v>
      </c>
      <c r="D128" s="39" t="s">
        <v>1096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8"/>
        <v>✓ OK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19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20"/>
        <v>✓ OK</v>
      </c>
      <c r="AF128" s="33" t="s">
        <v>61</v>
      </c>
      <c r="AG128" s="33" t="s">
        <v>55</v>
      </c>
      <c r="AH128" s="33" t="s">
        <v>56</v>
      </c>
      <c r="AI128" s="33" t="s">
        <v>57</v>
      </c>
      <c r="AJ128" s="33" t="s">
        <v>58</v>
      </c>
      <c r="AK128" s="33" t="s">
        <v>56</v>
      </c>
      <c r="AL128" s="27"/>
      <c r="AM128" s="34" t="s">
        <v>57</v>
      </c>
      <c r="AN128" s="35" t="str">
        <f t="shared" si="21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8" customHeight="1" x14ac:dyDescent="0.3">
      <c r="A129" s="23">
        <v>125</v>
      </c>
      <c r="B129" s="24" t="s">
        <v>1249</v>
      </c>
      <c r="C129" s="25" t="s">
        <v>1250</v>
      </c>
      <c r="D129" s="23" t="s">
        <v>1096</v>
      </c>
      <c r="E129" s="42">
        <v>46129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8"/>
        <v>✓ OK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19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20"/>
        <v>✓ OK</v>
      </c>
      <c r="AF129" s="33" t="s">
        <v>61</v>
      </c>
      <c r="AG129" s="33" t="s">
        <v>55</v>
      </c>
      <c r="AH129" s="33" t="s">
        <v>56</v>
      </c>
      <c r="AI129" s="33" t="s">
        <v>57</v>
      </c>
      <c r="AJ129" s="33" t="s">
        <v>58</v>
      </c>
      <c r="AK129" s="33" t="s">
        <v>56</v>
      </c>
      <c r="AL129" s="27"/>
      <c r="AM129" s="34" t="s">
        <v>57</v>
      </c>
      <c r="AN129" s="35" t="str">
        <f t="shared" si="21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8" customHeight="1" x14ac:dyDescent="0.3">
      <c r="A130" s="39">
        <v>126</v>
      </c>
      <c r="B130" s="40" t="s">
        <v>1251</v>
      </c>
      <c r="C130" s="41" t="s">
        <v>1252</v>
      </c>
      <c r="D130" s="39" t="s">
        <v>1096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8"/>
        <v>✓ OK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19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20"/>
        <v>✓ OK</v>
      </c>
      <c r="AF130" s="33" t="s">
        <v>61</v>
      </c>
      <c r="AG130" s="33" t="s">
        <v>55</v>
      </c>
      <c r="AH130" s="33" t="s">
        <v>56</v>
      </c>
      <c r="AI130" s="33" t="s">
        <v>57</v>
      </c>
      <c r="AJ130" s="33" t="s">
        <v>58</v>
      </c>
      <c r="AK130" s="33" t="s">
        <v>56</v>
      </c>
      <c r="AL130" s="27"/>
      <c r="AM130" s="34" t="s">
        <v>57</v>
      </c>
      <c r="AN130" s="35" t="str">
        <f t="shared" si="21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8" customHeight="1" x14ac:dyDescent="0.3">
      <c r="A131" s="23">
        <v>127</v>
      </c>
      <c r="B131" s="24" t="s">
        <v>1253</v>
      </c>
      <c r="C131" s="25" t="s">
        <v>1254</v>
      </c>
      <c r="D131" s="23" t="s">
        <v>1096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8"/>
        <v>✓ OK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19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20"/>
        <v>✓ OK</v>
      </c>
      <c r="AF131" s="33" t="s">
        <v>61</v>
      </c>
      <c r="AG131" s="33" t="s">
        <v>55</v>
      </c>
      <c r="AH131" s="33" t="s">
        <v>56</v>
      </c>
      <c r="AI131" s="33" t="s">
        <v>57</v>
      </c>
      <c r="AJ131" s="33" t="s">
        <v>58</v>
      </c>
      <c r="AK131" s="33" t="s">
        <v>56</v>
      </c>
      <c r="AL131" s="27"/>
      <c r="AM131" s="34" t="s">
        <v>57</v>
      </c>
      <c r="AN131" s="35" t="str">
        <f t="shared" si="21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8" customHeight="1" x14ac:dyDescent="0.3">
      <c r="A132" s="39">
        <v>128</v>
      </c>
      <c r="B132" s="40" t="s">
        <v>1255</v>
      </c>
      <c r="C132" s="41" t="s">
        <v>1256</v>
      </c>
      <c r="D132" s="39" t="s">
        <v>1096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8"/>
        <v>✓ OK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19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20"/>
        <v>✓ OK</v>
      </c>
      <c r="AF132" s="33" t="s">
        <v>61</v>
      </c>
      <c r="AG132" s="33" t="s">
        <v>55</v>
      </c>
      <c r="AH132" s="33" t="s">
        <v>56</v>
      </c>
      <c r="AI132" s="33" t="s">
        <v>57</v>
      </c>
      <c r="AJ132" s="33" t="s">
        <v>58</v>
      </c>
      <c r="AK132" s="33" t="s">
        <v>56</v>
      </c>
      <c r="AL132" s="27"/>
      <c r="AM132" s="34" t="s">
        <v>57</v>
      </c>
      <c r="AN132" s="35" t="str">
        <f t="shared" si="21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8" customHeight="1" x14ac:dyDescent="0.3">
      <c r="A133" s="23">
        <v>129</v>
      </c>
      <c r="B133" s="24" t="s">
        <v>1257</v>
      </c>
      <c r="C133" s="25" t="s">
        <v>1258</v>
      </c>
      <c r="D133" s="23" t="s">
        <v>1096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23">IF(E133="","",IF(H133="Yes","❌ Disc",IF(G133="No","⚠ Missing",IF(J133="Yes","✓ OK","⚠ Check"))))</f>
        <v>✓ OK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24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si="20"/>
        <v>✓ OK</v>
      </c>
      <c r="AF133" s="33" t="s">
        <v>61</v>
      </c>
      <c r="AG133" s="33" t="s">
        <v>55</v>
      </c>
      <c r="AH133" s="33" t="s">
        <v>56</v>
      </c>
      <c r="AI133" s="33" t="s">
        <v>57</v>
      </c>
      <c r="AJ133" s="33" t="s">
        <v>58</v>
      </c>
      <c r="AK133" s="33" t="s">
        <v>56</v>
      </c>
      <c r="AL133" s="27"/>
      <c r="AM133" s="34" t="s">
        <v>57</v>
      </c>
      <c r="AN133" s="35" t="str">
        <f t="shared" si="21"/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8" customHeight="1" x14ac:dyDescent="0.3">
      <c r="A134" s="39">
        <v>130</v>
      </c>
      <c r="B134" s="40" t="s">
        <v>1259</v>
      </c>
      <c r="C134" s="41" t="s">
        <v>1260</v>
      </c>
      <c r="D134" s="39" t="s">
        <v>1096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23"/>
        <v>✓ OK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24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20"/>
        <v>✓ OK</v>
      </c>
      <c r="AF134" s="33" t="s">
        <v>61</v>
      </c>
      <c r="AG134" s="33" t="s">
        <v>55</v>
      </c>
      <c r="AH134" s="33" t="s">
        <v>56</v>
      </c>
      <c r="AI134" s="33" t="s">
        <v>57</v>
      </c>
      <c r="AJ134" s="33" t="s">
        <v>58</v>
      </c>
      <c r="AK134" s="33" t="s">
        <v>56</v>
      </c>
      <c r="AL134" s="27"/>
      <c r="AM134" s="34" t="s">
        <v>57</v>
      </c>
      <c r="AN134" s="35" t="str">
        <f t="shared" si="21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8" customHeight="1" x14ac:dyDescent="0.3">
      <c r="A135" s="23">
        <v>131</v>
      </c>
      <c r="B135" s="24" t="s">
        <v>1261</v>
      </c>
      <c r="C135" s="25" t="s">
        <v>1262</v>
      </c>
      <c r="D135" s="23" t="s">
        <v>1096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23"/>
        <v>✓ OK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24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20"/>
        <v>✓ OK</v>
      </c>
      <c r="AF135" s="33" t="s">
        <v>61</v>
      </c>
      <c r="AG135" s="33" t="s">
        <v>55</v>
      </c>
      <c r="AH135" s="33" t="s">
        <v>56</v>
      </c>
      <c r="AI135" s="33" t="s">
        <v>57</v>
      </c>
      <c r="AJ135" s="33" t="s">
        <v>58</v>
      </c>
      <c r="AK135" s="33" t="s">
        <v>56</v>
      </c>
      <c r="AL135" s="27"/>
      <c r="AM135" s="34" t="s">
        <v>57</v>
      </c>
      <c r="AN135" s="35" t="str">
        <f t="shared" si="21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8" customHeight="1" x14ac:dyDescent="0.3">
      <c r="A136" s="39">
        <v>132</v>
      </c>
      <c r="B136" s="40" t="s">
        <v>1263</v>
      </c>
      <c r="C136" s="41" t="s">
        <v>1264</v>
      </c>
      <c r="D136" s="39" t="s">
        <v>1096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23"/>
        <v>✓ OK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24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20"/>
        <v>✓ OK</v>
      </c>
      <c r="AF136" s="33" t="s">
        <v>61</v>
      </c>
      <c r="AG136" s="33" t="s">
        <v>55</v>
      </c>
      <c r="AH136" s="33" t="s">
        <v>56</v>
      </c>
      <c r="AI136" s="33" t="s">
        <v>57</v>
      </c>
      <c r="AJ136" s="33" t="s">
        <v>58</v>
      </c>
      <c r="AK136" s="33" t="s">
        <v>56</v>
      </c>
      <c r="AL136" s="27"/>
      <c r="AM136" s="34" t="s">
        <v>57</v>
      </c>
      <c r="AN136" s="35" t="str">
        <f t="shared" si="21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8" customHeight="1" x14ac:dyDescent="0.3">
      <c r="A137" s="23">
        <v>133</v>
      </c>
      <c r="B137" s="24" t="s">
        <v>1265</v>
      </c>
      <c r="C137" s="25" t="s">
        <v>1266</v>
      </c>
      <c r="D137" s="23" t="s">
        <v>1096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23"/>
        <v>✓ OK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24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20"/>
        <v>✓ OK</v>
      </c>
      <c r="AF137" s="33" t="s">
        <v>61</v>
      </c>
      <c r="AG137" s="33" t="s">
        <v>55</v>
      </c>
      <c r="AH137" s="33" t="s">
        <v>56</v>
      </c>
      <c r="AI137" s="33" t="s">
        <v>57</v>
      </c>
      <c r="AJ137" s="33" t="s">
        <v>58</v>
      </c>
      <c r="AK137" s="33" t="s">
        <v>56</v>
      </c>
      <c r="AL137" s="27"/>
      <c r="AM137" s="34" t="s">
        <v>57</v>
      </c>
      <c r="AN137" s="35" t="str">
        <f t="shared" si="21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8" customHeight="1" x14ac:dyDescent="0.3">
      <c r="A138" s="39">
        <v>134</v>
      </c>
      <c r="B138" s="40" t="s">
        <v>1267</v>
      </c>
      <c r="C138" s="41" t="s">
        <v>1268</v>
      </c>
      <c r="D138" s="39" t="s">
        <v>1096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278</v>
      </c>
      <c r="J138" s="26" t="s">
        <v>57</v>
      </c>
      <c r="K138" s="27" t="s">
        <v>1117</v>
      </c>
      <c r="L138" s="28" t="s">
        <v>56</v>
      </c>
      <c r="M138" s="29" t="str">
        <f t="shared" si="23"/>
        <v>⚠ Check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278</v>
      </c>
      <c r="S138" s="26" t="s">
        <v>57</v>
      </c>
      <c r="T138" s="27" t="s">
        <v>1117</v>
      </c>
      <c r="U138" s="28" t="s">
        <v>56</v>
      </c>
      <c r="V138" s="29" t="str">
        <f t="shared" si="24"/>
        <v>⚠ Check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278</v>
      </c>
      <c r="AB138" s="30" t="s">
        <v>57</v>
      </c>
      <c r="AC138" s="27" t="s">
        <v>1117</v>
      </c>
      <c r="AD138" s="31" t="s">
        <v>56</v>
      </c>
      <c r="AE138" s="32" t="str">
        <f t="shared" si="20"/>
        <v>⚠ Check</v>
      </c>
      <c r="AF138" s="33" t="s">
        <v>61</v>
      </c>
      <c r="AG138" s="33" t="s">
        <v>55</v>
      </c>
      <c r="AH138" s="33" t="s">
        <v>56</v>
      </c>
      <c r="AI138" s="33" t="s">
        <v>57</v>
      </c>
      <c r="AJ138" s="33" t="s">
        <v>278</v>
      </c>
      <c r="AK138" s="33" t="s">
        <v>57</v>
      </c>
      <c r="AL138" s="27" t="s">
        <v>1117</v>
      </c>
      <c r="AM138" s="34" t="s">
        <v>56</v>
      </c>
      <c r="AN138" s="35" t="str">
        <f t="shared" si="21"/>
        <v>⚠ Check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8" customHeight="1" x14ac:dyDescent="0.3">
      <c r="A139" s="23">
        <v>135</v>
      </c>
      <c r="B139" s="24" t="s">
        <v>1269</v>
      </c>
      <c r="C139" s="25" t="s">
        <v>1270</v>
      </c>
      <c r="D139" s="23" t="s">
        <v>1096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1132</v>
      </c>
      <c r="J139" s="26" t="s">
        <v>57</v>
      </c>
      <c r="K139" s="27" t="s">
        <v>1117</v>
      </c>
      <c r="L139" s="28" t="s">
        <v>56</v>
      </c>
      <c r="M139" s="29" t="str">
        <f t="shared" si="23"/>
        <v>⚠ Check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1132</v>
      </c>
      <c r="S139" s="26" t="s">
        <v>57</v>
      </c>
      <c r="T139" s="27" t="s">
        <v>1117</v>
      </c>
      <c r="U139" s="28" t="s">
        <v>56</v>
      </c>
      <c r="V139" s="29" t="str">
        <f t="shared" si="24"/>
        <v>⚠ Check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1132</v>
      </c>
      <c r="AB139" s="30" t="s">
        <v>57</v>
      </c>
      <c r="AC139" s="27" t="s">
        <v>1117</v>
      </c>
      <c r="AD139" s="31" t="s">
        <v>56</v>
      </c>
      <c r="AE139" s="32" t="str">
        <f t="shared" si="20"/>
        <v>⚠ Check</v>
      </c>
      <c r="AF139" s="33" t="s">
        <v>61</v>
      </c>
      <c r="AG139" s="33" t="s">
        <v>55</v>
      </c>
      <c r="AH139" s="33" t="s">
        <v>56</v>
      </c>
      <c r="AI139" s="33" t="s">
        <v>57</v>
      </c>
      <c r="AJ139" s="33" t="s">
        <v>1132</v>
      </c>
      <c r="AK139" s="33" t="s">
        <v>57</v>
      </c>
      <c r="AL139" s="27" t="s">
        <v>1117</v>
      </c>
      <c r="AM139" s="34" t="s">
        <v>56</v>
      </c>
      <c r="AN139" s="35" t="str">
        <f t="shared" si="21"/>
        <v>⚠ Check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8" customHeight="1" x14ac:dyDescent="0.3">
      <c r="A140" s="39">
        <v>136</v>
      </c>
      <c r="B140" s="40" t="s">
        <v>1271</v>
      </c>
      <c r="C140" s="41" t="s">
        <v>1272</v>
      </c>
      <c r="D140" s="39" t="s">
        <v>1096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23"/>
        <v>✓ OK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24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20"/>
        <v>✓ OK</v>
      </c>
      <c r="AF140" s="33" t="s">
        <v>61</v>
      </c>
      <c r="AG140" s="33" t="s">
        <v>55</v>
      </c>
      <c r="AH140" s="33" t="s">
        <v>56</v>
      </c>
      <c r="AI140" s="33" t="s">
        <v>57</v>
      </c>
      <c r="AJ140" s="33" t="s">
        <v>58</v>
      </c>
      <c r="AK140" s="33" t="s">
        <v>56</v>
      </c>
      <c r="AL140" s="27"/>
      <c r="AM140" s="34" t="s">
        <v>57</v>
      </c>
      <c r="AN140" s="35" t="str">
        <f t="shared" si="21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8" customHeight="1" x14ac:dyDescent="0.3">
      <c r="A141" s="23">
        <v>137</v>
      </c>
      <c r="B141" s="24" t="s">
        <v>1273</v>
      </c>
      <c r="C141" s="25" t="s">
        <v>1274</v>
      </c>
      <c r="D141" s="23" t="s">
        <v>1096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23"/>
        <v>✓ OK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24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20"/>
        <v>✓ OK</v>
      </c>
      <c r="AF141" s="33" t="s">
        <v>61</v>
      </c>
      <c r="AG141" s="33" t="s">
        <v>55</v>
      </c>
      <c r="AH141" s="33" t="s">
        <v>56</v>
      </c>
      <c r="AI141" s="33" t="s">
        <v>57</v>
      </c>
      <c r="AJ141" s="33" t="s">
        <v>58</v>
      </c>
      <c r="AK141" s="33" t="s">
        <v>56</v>
      </c>
      <c r="AL141" s="27"/>
      <c r="AM141" s="34" t="s">
        <v>57</v>
      </c>
      <c r="AN141" s="35" t="str">
        <f t="shared" si="21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8" customHeight="1" x14ac:dyDescent="0.3">
      <c r="A142" s="39">
        <v>138</v>
      </c>
      <c r="B142" s="40" t="s">
        <v>1275</v>
      </c>
      <c r="C142" s="41" t="s">
        <v>1276</v>
      </c>
      <c r="D142" s="39" t="s">
        <v>1096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23"/>
        <v>✓ OK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24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20"/>
        <v>✓ OK</v>
      </c>
      <c r="AF142" s="33" t="s">
        <v>61</v>
      </c>
      <c r="AG142" s="33" t="s">
        <v>55</v>
      </c>
      <c r="AH142" s="33" t="s">
        <v>56</v>
      </c>
      <c r="AI142" s="33" t="s">
        <v>57</v>
      </c>
      <c r="AJ142" s="33" t="s">
        <v>58</v>
      </c>
      <c r="AK142" s="33" t="s">
        <v>56</v>
      </c>
      <c r="AL142" s="27"/>
      <c r="AM142" s="34" t="s">
        <v>57</v>
      </c>
      <c r="AN142" s="35" t="str">
        <f t="shared" si="21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8" customHeight="1" x14ac:dyDescent="0.3">
      <c r="A143" s="23">
        <v>139</v>
      </c>
      <c r="B143" s="24" t="s">
        <v>1277</v>
      </c>
      <c r="C143" s="25" t="s">
        <v>1278</v>
      </c>
      <c r="D143" s="23" t="s">
        <v>1096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23"/>
        <v>✓ OK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24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20"/>
        <v>✓ OK</v>
      </c>
      <c r="AF143" s="33" t="s">
        <v>61</v>
      </c>
      <c r="AG143" s="33" t="s">
        <v>55</v>
      </c>
      <c r="AH143" s="33" t="s">
        <v>56</v>
      </c>
      <c r="AI143" s="33" t="s">
        <v>57</v>
      </c>
      <c r="AJ143" s="33" t="s">
        <v>58</v>
      </c>
      <c r="AK143" s="33" t="s">
        <v>56</v>
      </c>
      <c r="AL143" s="27"/>
      <c r="AM143" s="34" t="s">
        <v>57</v>
      </c>
      <c r="AN143" s="35" t="str">
        <f t="shared" si="21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8" customHeight="1" x14ac:dyDescent="0.3">
      <c r="A144" s="39">
        <v>140</v>
      </c>
      <c r="B144" s="40" t="s">
        <v>1279</v>
      </c>
      <c r="C144" s="41" t="s">
        <v>1280</v>
      </c>
      <c r="D144" s="39" t="s">
        <v>1096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23"/>
        <v>✓ OK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24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20"/>
        <v>✓ OK</v>
      </c>
      <c r="AF144" s="33" t="s">
        <v>61</v>
      </c>
      <c r="AG144" s="33" t="s">
        <v>55</v>
      </c>
      <c r="AH144" s="33" t="s">
        <v>56</v>
      </c>
      <c r="AI144" s="33" t="s">
        <v>57</v>
      </c>
      <c r="AJ144" s="33" t="s">
        <v>58</v>
      </c>
      <c r="AK144" s="33" t="s">
        <v>56</v>
      </c>
      <c r="AL144" s="27"/>
      <c r="AM144" s="34" t="s">
        <v>57</v>
      </c>
      <c r="AN144" s="35" t="str">
        <f t="shared" si="21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8" customHeight="1" x14ac:dyDescent="0.3">
      <c r="A145" s="23">
        <v>141</v>
      </c>
      <c r="B145" s="24" t="s">
        <v>1281</v>
      </c>
      <c r="C145" s="25" t="s">
        <v>1282</v>
      </c>
      <c r="D145" s="23" t="s">
        <v>1096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23"/>
        <v>✓ OK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24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20"/>
        <v>✓ OK</v>
      </c>
      <c r="AF145" s="33" t="s">
        <v>61</v>
      </c>
      <c r="AG145" s="33" t="s">
        <v>55</v>
      </c>
      <c r="AH145" s="33" t="s">
        <v>56</v>
      </c>
      <c r="AI145" s="33" t="s">
        <v>57</v>
      </c>
      <c r="AJ145" s="33" t="s">
        <v>58</v>
      </c>
      <c r="AK145" s="33" t="s">
        <v>56</v>
      </c>
      <c r="AL145" s="27"/>
      <c r="AM145" s="34" t="s">
        <v>57</v>
      </c>
      <c r="AN145" s="35" t="str">
        <f t="shared" si="21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8" customHeight="1" x14ac:dyDescent="0.3">
      <c r="A146" s="39">
        <v>142</v>
      </c>
      <c r="B146" s="40" t="s">
        <v>1283</v>
      </c>
      <c r="C146" s="41" t="s">
        <v>1284</v>
      </c>
      <c r="D146" s="39" t="s">
        <v>1096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23"/>
        <v>✓ OK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24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20"/>
        <v>✓ OK</v>
      </c>
      <c r="AF146" s="33" t="s">
        <v>61</v>
      </c>
      <c r="AG146" s="33" t="s">
        <v>55</v>
      </c>
      <c r="AH146" s="33" t="s">
        <v>56</v>
      </c>
      <c r="AI146" s="33" t="s">
        <v>57</v>
      </c>
      <c r="AJ146" s="33" t="s">
        <v>58</v>
      </c>
      <c r="AK146" s="33" t="s">
        <v>56</v>
      </c>
      <c r="AL146" s="27"/>
      <c r="AM146" s="34" t="s">
        <v>57</v>
      </c>
      <c r="AN146" s="35" t="str">
        <f t="shared" si="21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8" customHeight="1" x14ac:dyDescent="0.3">
      <c r="A147" s="23">
        <v>143</v>
      </c>
      <c r="B147" s="24" t="s">
        <v>1285</v>
      </c>
      <c r="C147" s="25" t="s">
        <v>1286</v>
      </c>
      <c r="D147" s="23" t="s">
        <v>1096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23"/>
        <v>✓ OK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24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20"/>
        <v>✓ OK</v>
      </c>
      <c r="AF147" s="33" t="s">
        <v>61</v>
      </c>
      <c r="AG147" s="33" t="s">
        <v>55</v>
      </c>
      <c r="AH147" s="33" t="s">
        <v>56</v>
      </c>
      <c r="AI147" s="33" t="s">
        <v>57</v>
      </c>
      <c r="AJ147" s="33" t="s">
        <v>58</v>
      </c>
      <c r="AK147" s="33" t="s">
        <v>56</v>
      </c>
      <c r="AL147" s="27"/>
      <c r="AM147" s="34" t="s">
        <v>57</v>
      </c>
      <c r="AN147" s="35" t="str">
        <f t="shared" si="21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8" customHeight="1" x14ac:dyDescent="0.3">
      <c r="A148" s="39">
        <v>144</v>
      </c>
      <c r="B148" s="40" t="s">
        <v>1287</v>
      </c>
      <c r="C148" s="41" t="s">
        <v>1288</v>
      </c>
      <c r="D148" s="39" t="s">
        <v>1096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23"/>
        <v>✓ OK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24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20"/>
        <v>✓ OK</v>
      </c>
      <c r="AF148" s="33" t="s">
        <v>61</v>
      </c>
      <c r="AG148" s="33" t="s">
        <v>55</v>
      </c>
      <c r="AH148" s="33" t="s">
        <v>56</v>
      </c>
      <c r="AI148" s="33" t="s">
        <v>57</v>
      </c>
      <c r="AJ148" s="33" t="s">
        <v>58</v>
      </c>
      <c r="AK148" s="33" t="s">
        <v>56</v>
      </c>
      <c r="AL148" s="27"/>
      <c r="AM148" s="34" t="s">
        <v>57</v>
      </c>
      <c r="AN148" s="35" t="str">
        <f t="shared" si="21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8" customHeight="1" x14ac:dyDescent="0.3">
      <c r="A149" s="23">
        <v>145</v>
      </c>
      <c r="B149" s="24" t="s">
        <v>1289</v>
      </c>
      <c r="C149" s="25" t="s">
        <v>1290</v>
      </c>
      <c r="D149" s="23" t="s">
        <v>1096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278</v>
      </c>
      <c r="J149" s="26" t="s">
        <v>57</v>
      </c>
      <c r="K149" s="27" t="s">
        <v>1117</v>
      </c>
      <c r="L149" s="28" t="s">
        <v>56</v>
      </c>
      <c r="M149" s="29" t="str">
        <f t="shared" si="23"/>
        <v>⚠ Check</v>
      </c>
      <c r="N149" s="42">
        <v>46185</v>
      </c>
      <c r="O149" s="26" t="s">
        <v>55</v>
      </c>
      <c r="P149" s="26" t="s">
        <v>57</v>
      </c>
      <c r="Q149" s="26" t="s">
        <v>56</v>
      </c>
      <c r="R149" s="26" t="s">
        <v>60</v>
      </c>
      <c r="S149" s="26" t="s">
        <v>57</v>
      </c>
      <c r="T149" s="27"/>
      <c r="U149" s="28" t="s">
        <v>57</v>
      </c>
      <c r="V149" s="29" t="str">
        <f t="shared" si="24"/>
        <v>❌ Disc</v>
      </c>
      <c r="W149" s="70">
        <v>46248</v>
      </c>
      <c r="X149" s="30" t="s">
        <v>55</v>
      </c>
      <c r="Y149" s="30" t="s">
        <v>57</v>
      </c>
      <c r="Z149" s="30" t="s">
        <v>56</v>
      </c>
      <c r="AA149" s="30" t="s">
        <v>60</v>
      </c>
      <c r="AB149" s="30" t="s">
        <v>57</v>
      </c>
      <c r="AC149" s="27"/>
      <c r="AD149" s="31" t="s">
        <v>57</v>
      </c>
      <c r="AE149" s="32" t="str">
        <f t="shared" si="20"/>
        <v>❌ Disc</v>
      </c>
      <c r="AF149" s="33" t="s">
        <v>61</v>
      </c>
      <c r="AG149" s="33" t="s">
        <v>62</v>
      </c>
      <c r="AH149" s="33" t="s">
        <v>57</v>
      </c>
      <c r="AI149" s="33" t="s">
        <v>56</v>
      </c>
      <c r="AJ149" s="33" t="s">
        <v>60</v>
      </c>
      <c r="AK149" s="33" t="s">
        <v>57</v>
      </c>
      <c r="AL149" s="27"/>
      <c r="AM149" s="34" t="s">
        <v>57</v>
      </c>
      <c r="AN149" s="35" t="str">
        <f t="shared" si="21"/>
        <v>❌ Disc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8" customHeight="1" x14ac:dyDescent="0.3">
      <c r="A150" s="39">
        <v>146</v>
      </c>
      <c r="B150" s="40" t="s">
        <v>1291</v>
      </c>
      <c r="C150" s="41" t="s">
        <v>1292</v>
      </c>
      <c r="D150" s="39" t="s">
        <v>1096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90</v>
      </c>
      <c r="J150" s="26" t="s">
        <v>57</v>
      </c>
      <c r="K150" s="27" t="s">
        <v>91</v>
      </c>
      <c r="L150" s="28" t="s">
        <v>56</v>
      </c>
      <c r="M150" s="29" t="str">
        <f t="shared" si="23"/>
        <v>⚠ Missing</v>
      </c>
      <c r="N150" s="42">
        <v>46185</v>
      </c>
      <c r="O150" s="26" t="s">
        <v>55</v>
      </c>
      <c r="P150" s="26" t="s">
        <v>57</v>
      </c>
      <c r="Q150" s="26" t="s">
        <v>57</v>
      </c>
      <c r="R150" s="26" t="s">
        <v>90</v>
      </c>
      <c r="S150" s="26" t="s">
        <v>57</v>
      </c>
      <c r="T150" s="27" t="s">
        <v>91</v>
      </c>
      <c r="U150" s="28" t="s">
        <v>56</v>
      </c>
      <c r="V150" s="29" t="str">
        <f t="shared" si="24"/>
        <v>⚠ Missing</v>
      </c>
      <c r="W150" s="70">
        <v>46248</v>
      </c>
      <c r="X150" s="30" t="s">
        <v>55</v>
      </c>
      <c r="Y150" s="30" t="s">
        <v>57</v>
      </c>
      <c r="Z150" s="30" t="s">
        <v>57</v>
      </c>
      <c r="AA150" s="30" t="s">
        <v>90</v>
      </c>
      <c r="AB150" s="30" t="s">
        <v>57</v>
      </c>
      <c r="AC150" s="27" t="s">
        <v>91</v>
      </c>
      <c r="AD150" s="31" t="s">
        <v>56</v>
      </c>
      <c r="AE150" s="32" t="str">
        <f t="shared" si="20"/>
        <v>⚠ Missing</v>
      </c>
      <c r="AF150" s="33" t="s">
        <v>61</v>
      </c>
      <c r="AG150" s="33" t="s">
        <v>62</v>
      </c>
      <c r="AH150" s="33" t="s">
        <v>57</v>
      </c>
      <c r="AI150" s="33" t="s">
        <v>56</v>
      </c>
      <c r="AJ150" s="33" t="s">
        <v>60</v>
      </c>
      <c r="AK150" s="33" t="s">
        <v>57</v>
      </c>
      <c r="AL150" s="27"/>
      <c r="AM150" s="34" t="s">
        <v>57</v>
      </c>
      <c r="AN150" s="35" t="str">
        <f t="shared" si="21"/>
        <v>❌ Disc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8" customHeight="1" x14ac:dyDescent="0.3">
      <c r="A151" s="23">
        <v>147</v>
      </c>
      <c r="B151" s="24" t="s">
        <v>1293</v>
      </c>
      <c r="C151" s="25" t="s">
        <v>1294</v>
      </c>
      <c r="D151" s="23" t="s">
        <v>1096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90</v>
      </c>
      <c r="J151" s="26" t="s">
        <v>57</v>
      </c>
      <c r="K151" s="27" t="s">
        <v>91</v>
      </c>
      <c r="L151" s="28" t="s">
        <v>56</v>
      </c>
      <c r="M151" s="29" t="str">
        <f t="shared" si="23"/>
        <v>⚠ Missing</v>
      </c>
      <c r="N151" s="42">
        <v>46185</v>
      </c>
      <c r="O151" s="26" t="s">
        <v>55</v>
      </c>
      <c r="P151" s="26" t="s">
        <v>57</v>
      </c>
      <c r="Q151" s="26" t="s">
        <v>56</v>
      </c>
      <c r="R151" s="26" t="s">
        <v>60</v>
      </c>
      <c r="S151" s="26" t="s">
        <v>57</v>
      </c>
      <c r="T151" s="27"/>
      <c r="U151" s="28" t="s">
        <v>57</v>
      </c>
      <c r="V151" s="29" t="str">
        <f t="shared" si="24"/>
        <v>❌ Disc</v>
      </c>
      <c r="W151" s="70">
        <v>46248</v>
      </c>
      <c r="X151" s="30" t="s">
        <v>55</v>
      </c>
      <c r="Y151" s="30" t="s">
        <v>57</v>
      </c>
      <c r="Z151" s="30" t="s">
        <v>56</v>
      </c>
      <c r="AA151" s="30" t="s">
        <v>60</v>
      </c>
      <c r="AB151" s="30" t="s">
        <v>57</v>
      </c>
      <c r="AC151" s="27"/>
      <c r="AD151" s="31" t="s">
        <v>57</v>
      </c>
      <c r="AE151" s="32" t="str">
        <f t="shared" si="20"/>
        <v>❌ Disc</v>
      </c>
      <c r="AF151" s="33" t="s">
        <v>61</v>
      </c>
      <c r="AG151" s="33" t="s">
        <v>62</v>
      </c>
      <c r="AH151" s="33" t="s">
        <v>57</v>
      </c>
      <c r="AI151" s="33" t="s">
        <v>56</v>
      </c>
      <c r="AJ151" s="33" t="s">
        <v>60</v>
      </c>
      <c r="AK151" s="33" t="s">
        <v>57</v>
      </c>
      <c r="AL151" s="27"/>
      <c r="AM151" s="34" t="s">
        <v>57</v>
      </c>
      <c r="AN151" s="35" t="str">
        <f t="shared" si="21"/>
        <v>❌ Disc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8" customHeight="1" x14ac:dyDescent="0.3">
      <c r="A152" s="39">
        <v>148</v>
      </c>
      <c r="B152" s="40" t="s">
        <v>1295</v>
      </c>
      <c r="C152" s="41" t="s">
        <v>1296</v>
      </c>
      <c r="D152" s="39" t="s">
        <v>1096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23"/>
        <v>✓ OK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24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20"/>
        <v>✓ OK</v>
      </c>
      <c r="AF152" s="33" t="s">
        <v>61</v>
      </c>
      <c r="AG152" s="33" t="s">
        <v>55</v>
      </c>
      <c r="AH152" s="33" t="s">
        <v>56</v>
      </c>
      <c r="AI152" s="33" t="s">
        <v>57</v>
      </c>
      <c r="AJ152" s="33" t="s">
        <v>58</v>
      </c>
      <c r="AK152" s="33" t="s">
        <v>56</v>
      </c>
      <c r="AL152" s="27"/>
      <c r="AM152" s="34" t="s">
        <v>57</v>
      </c>
      <c r="AN152" s="35" t="str">
        <f t="shared" si="21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8" customHeight="1" x14ac:dyDescent="0.3">
      <c r="A153" s="23">
        <v>149</v>
      </c>
      <c r="B153" s="24" t="s">
        <v>1297</v>
      </c>
      <c r="C153" s="25" t="s">
        <v>1298</v>
      </c>
      <c r="D153" s="23" t="s">
        <v>1096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23"/>
        <v>✓ OK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24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20"/>
        <v>✓ OK</v>
      </c>
      <c r="AF153" s="33" t="s">
        <v>61</v>
      </c>
      <c r="AG153" s="33" t="s">
        <v>55</v>
      </c>
      <c r="AH153" s="33" t="s">
        <v>56</v>
      </c>
      <c r="AI153" s="33" t="s">
        <v>57</v>
      </c>
      <c r="AJ153" s="33" t="s">
        <v>58</v>
      </c>
      <c r="AK153" s="33" t="s">
        <v>56</v>
      </c>
      <c r="AL153" s="27"/>
      <c r="AM153" s="34" t="s">
        <v>57</v>
      </c>
      <c r="AN153" s="35" t="str">
        <f t="shared" si="21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8" customHeight="1" x14ac:dyDescent="0.3">
      <c r="A154" s="39">
        <v>150</v>
      </c>
      <c r="B154" s="40" t="s">
        <v>1299</v>
      </c>
      <c r="C154" s="41" t="s">
        <v>1300</v>
      </c>
      <c r="D154" s="23" t="s">
        <v>1096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23"/>
        <v>✓ OK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24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20"/>
        <v>✓ OK</v>
      </c>
      <c r="AF154" s="33" t="s">
        <v>61</v>
      </c>
      <c r="AG154" s="33" t="s">
        <v>55</v>
      </c>
      <c r="AH154" s="33" t="s">
        <v>56</v>
      </c>
      <c r="AI154" s="33" t="s">
        <v>57</v>
      </c>
      <c r="AJ154" s="33" t="s">
        <v>58</v>
      </c>
      <c r="AK154" s="33" t="s">
        <v>56</v>
      </c>
      <c r="AL154" s="27"/>
      <c r="AM154" s="34" t="s">
        <v>57</v>
      </c>
      <c r="AN154" s="35" t="str">
        <f t="shared" si="21"/>
        <v>✓ OK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8" customHeight="1" x14ac:dyDescent="0.3">
      <c r="A155" s="23">
        <v>151</v>
      </c>
      <c r="B155" s="24" t="s">
        <v>1301</v>
      </c>
      <c r="C155" s="25" t="s">
        <v>1302</v>
      </c>
      <c r="D155" s="23" t="s">
        <v>1096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23"/>
        <v>✓ OK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24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20"/>
        <v>✓ OK</v>
      </c>
      <c r="AF155" s="33" t="s">
        <v>61</v>
      </c>
      <c r="AG155" s="33" t="s">
        <v>55</v>
      </c>
      <c r="AH155" s="33" t="s">
        <v>56</v>
      </c>
      <c r="AI155" s="33" t="s">
        <v>57</v>
      </c>
      <c r="AJ155" s="33" t="s">
        <v>58</v>
      </c>
      <c r="AK155" s="33" t="s">
        <v>56</v>
      </c>
      <c r="AL155" s="27"/>
      <c r="AM155" s="34" t="s">
        <v>57</v>
      </c>
      <c r="AN155" s="35" t="str">
        <f t="shared" si="21"/>
        <v>✓ OK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8" customHeight="1" x14ac:dyDescent="0.3">
      <c r="A156" s="39">
        <v>152</v>
      </c>
      <c r="B156" s="40" t="s">
        <v>1303</v>
      </c>
      <c r="C156" s="41" t="s">
        <v>1304</v>
      </c>
      <c r="D156" s="39" t="s">
        <v>1096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23"/>
        <v>✓ OK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24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20"/>
        <v>✓ OK</v>
      </c>
      <c r="AF156" s="33" t="s">
        <v>61</v>
      </c>
      <c r="AG156" s="33" t="s">
        <v>55</v>
      </c>
      <c r="AH156" s="33" t="s">
        <v>56</v>
      </c>
      <c r="AI156" s="33" t="s">
        <v>57</v>
      </c>
      <c r="AJ156" s="33" t="s">
        <v>58</v>
      </c>
      <c r="AK156" s="33" t="s">
        <v>56</v>
      </c>
      <c r="AL156" s="27"/>
      <c r="AM156" s="34" t="s">
        <v>57</v>
      </c>
      <c r="AN156" s="35" t="str">
        <f t="shared" si="21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8" customHeight="1" x14ac:dyDescent="0.3">
      <c r="A157" s="23">
        <v>153</v>
      </c>
      <c r="B157" s="24" t="s">
        <v>1305</v>
      </c>
      <c r="C157" s="25" t="s">
        <v>1306</v>
      </c>
      <c r="D157" s="23" t="s">
        <v>1096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23"/>
        <v>✓ OK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24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20"/>
        <v>✓ OK</v>
      </c>
      <c r="AF157" s="33" t="s">
        <v>61</v>
      </c>
      <c r="AG157" s="33" t="s">
        <v>55</v>
      </c>
      <c r="AH157" s="33" t="s">
        <v>56</v>
      </c>
      <c r="AI157" s="33" t="s">
        <v>57</v>
      </c>
      <c r="AJ157" s="33" t="s">
        <v>58</v>
      </c>
      <c r="AK157" s="33" t="s">
        <v>56</v>
      </c>
      <c r="AL157" s="27"/>
      <c r="AM157" s="34" t="s">
        <v>57</v>
      </c>
      <c r="AN157" s="35" t="str">
        <f t="shared" si="21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8" customHeight="1" x14ac:dyDescent="0.3">
      <c r="A158" s="39">
        <v>154</v>
      </c>
      <c r="B158" s="40" t="s">
        <v>1307</v>
      </c>
      <c r="C158" s="41" t="s">
        <v>1308</v>
      </c>
      <c r="D158" s="39" t="s">
        <v>1096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23"/>
        <v>✓ OK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24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20"/>
        <v>✓ OK</v>
      </c>
      <c r="AF158" s="33" t="s">
        <v>61</v>
      </c>
      <c r="AG158" s="33" t="s">
        <v>55</v>
      </c>
      <c r="AH158" s="33" t="s">
        <v>56</v>
      </c>
      <c r="AI158" s="33" t="s">
        <v>57</v>
      </c>
      <c r="AJ158" s="33" t="s">
        <v>58</v>
      </c>
      <c r="AK158" s="33" t="s">
        <v>56</v>
      </c>
      <c r="AL158" s="27"/>
      <c r="AM158" s="34" t="s">
        <v>57</v>
      </c>
      <c r="AN158" s="35" t="str">
        <f t="shared" si="21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8" customHeight="1" x14ac:dyDescent="0.3">
      <c r="A159" s="23">
        <v>155</v>
      </c>
      <c r="B159" s="24" t="s">
        <v>1309</v>
      </c>
      <c r="C159" s="25" t="s">
        <v>1310</v>
      </c>
      <c r="D159" s="23" t="s">
        <v>1096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23"/>
        <v>✓ OK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24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ref="AE159:AE168" si="25">IF(W159="","",IF(Z159="Yes","❌ Disc",IF(Y159="No","⚠ Missing",IF(AB159="Yes","✓ OK","⚠ Check"))))</f>
        <v>✓ OK</v>
      </c>
      <c r="AF159" s="33" t="s">
        <v>61</v>
      </c>
      <c r="AG159" s="33" t="s">
        <v>62</v>
      </c>
      <c r="AH159" s="33" t="s">
        <v>57</v>
      </c>
      <c r="AI159" s="33" t="s">
        <v>56</v>
      </c>
      <c r="AJ159" s="33" t="s">
        <v>60</v>
      </c>
      <c r="AK159" s="33" t="s">
        <v>57</v>
      </c>
      <c r="AL159" s="27"/>
      <c r="AM159" s="34" t="s">
        <v>57</v>
      </c>
      <c r="AN159" s="35" t="str">
        <f t="shared" ref="AN159:AN168" si="26">IF(AF159="","",IF(AI159="Yes","❌ Disc",IF(AH159="No","⚠ Missing",IF(AK159="Yes","✓ OK","⚠ Check"))))</f>
        <v>❌ Disc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8" customHeight="1" x14ac:dyDescent="0.3">
      <c r="A160" s="39">
        <v>156</v>
      </c>
      <c r="B160" s="40" t="s">
        <v>1311</v>
      </c>
      <c r="C160" s="41" t="s">
        <v>1312</v>
      </c>
      <c r="D160" s="39" t="s">
        <v>1096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23"/>
        <v>✓ OK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24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25"/>
        <v>✓ OK</v>
      </c>
      <c r="AF160" s="33" t="s">
        <v>61</v>
      </c>
      <c r="AG160" s="33" t="s">
        <v>55</v>
      </c>
      <c r="AH160" s="33" t="s">
        <v>56</v>
      </c>
      <c r="AI160" s="33" t="s">
        <v>57</v>
      </c>
      <c r="AJ160" s="33" t="s">
        <v>58</v>
      </c>
      <c r="AK160" s="33" t="s">
        <v>56</v>
      </c>
      <c r="AL160" s="27"/>
      <c r="AM160" s="34" t="s">
        <v>57</v>
      </c>
      <c r="AN160" s="35" t="str">
        <f t="shared" si="26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8" customHeight="1" x14ac:dyDescent="0.3">
      <c r="A161" s="23">
        <v>157</v>
      </c>
      <c r="B161" s="24" t="s">
        <v>1313</v>
      </c>
      <c r="C161" s="25" t="s">
        <v>1314</v>
      </c>
      <c r="D161" s="23" t="s">
        <v>1096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23"/>
        <v>✓ OK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24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25"/>
        <v>✓ OK</v>
      </c>
      <c r="AF161" s="33" t="s">
        <v>61</v>
      </c>
      <c r="AG161" s="33" t="s">
        <v>55</v>
      </c>
      <c r="AH161" s="33" t="s">
        <v>56</v>
      </c>
      <c r="AI161" s="33" t="s">
        <v>57</v>
      </c>
      <c r="AJ161" s="33" t="s">
        <v>58</v>
      </c>
      <c r="AK161" s="33" t="s">
        <v>56</v>
      </c>
      <c r="AL161" s="27"/>
      <c r="AM161" s="34" t="s">
        <v>57</v>
      </c>
      <c r="AN161" s="35" t="str">
        <f t="shared" si="26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8" customHeight="1" x14ac:dyDescent="0.3">
      <c r="A162" s="39">
        <v>158</v>
      </c>
      <c r="B162" s="40" t="s">
        <v>1315</v>
      </c>
      <c r="C162" s="41" t="s">
        <v>1316</v>
      </c>
      <c r="D162" s="39" t="s">
        <v>1096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23"/>
        <v>✓ OK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24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25"/>
        <v>✓ OK</v>
      </c>
      <c r="AF162" s="33" t="s">
        <v>61</v>
      </c>
      <c r="AG162" s="33" t="s">
        <v>55</v>
      </c>
      <c r="AH162" s="33" t="s">
        <v>56</v>
      </c>
      <c r="AI162" s="33" t="s">
        <v>57</v>
      </c>
      <c r="AJ162" s="33" t="s">
        <v>58</v>
      </c>
      <c r="AK162" s="33" t="s">
        <v>56</v>
      </c>
      <c r="AL162" s="27"/>
      <c r="AM162" s="34" t="s">
        <v>57</v>
      </c>
      <c r="AN162" s="35" t="str">
        <f t="shared" si="26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8" customHeight="1" x14ac:dyDescent="0.3">
      <c r="A163" s="23">
        <v>159</v>
      </c>
      <c r="B163" s="24" t="s">
        <v>1317</v>
      </c>
      <c r="C163" s="25" t="s">
        <v>1318</v>
      </c>
      <c r="D163" s="23" t="s">
        <v>1096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23"/>
        <v>✓ OK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24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25"/>
        <v>✓ OK</v>
      </c>
      <c r="AF163" s="33" t="s">
        <v>61</v>
      </c>
      <c r="AG163" s="33" t="s">
        <v>55</v>
      </c>
      <c r="AH163" s="33" t="s">
        <v>56</v>
      </c>
      <c r="AI163" s="33" t="s">
        <v>57</v>
      </c>
      <c r="AJ163" s="33" t="s">
        <v>58</v>
      </c>
      <c r="AK163" s="33" t="s">
        <v>56</v>
      </c>
      <c r="AL163" s="27"/>
      <c r="AM163" s="34" t="s">
        <v>57</v>
      </c>
      <c r="AN163" s="35" t="str">
        <f t="shared" si="26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8" customHeight="1" x14ac:dyDescent="0.3">
      <c r="A164" s="39">
        <v>160</v>
      </c>
      <c r="B164" s="40" t="s">
        <v>1319</v>
      </c>
      <c r="C164" s="41" t="s">
        <v>1320</v>
      </c>
      <c r="D164" s="39" t="s">
        <v>1096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23"/>
        <v>✓ OK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24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25"/>
        <v>✓ OK</v>
      </c>
      <c r="AF164" s="33" t="s">
        <v>61</v>
      </c>
      <c r="AG164" s="33" t="s">
        <v>55</v>
      </c>
      <c r="AH164" s="33" t="s">
        <v>56</v>
      </c>
      <c r="AI164" s="33" t="s">
        <v>57</v>
      </c>
      <c r="AJ164" s="33" t="s">
        <v>58</v>
      </c>
      <c r="AK164" s="33" t="s">
        <v>56</v>
      </c>
      <c r="AL164" s="27"/>
      <c r="AM164" s="34" t="s">
        <v>57</v>
      </c>
      <c r="AN164" s="35" t="str">
        <f t="shared" si="26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8" customHeight="1" x14ac:dyDescent="0.3">
      <c r="A165" s="23">
        <v>161</v>
      </c>
      <c r="B165" s="24" t="s">
        <v>1321</v>
      </c>
      <c r="C165" s="25" t="s">
        <v>1322</v>
      </c>
      <c r="D165" s="23" t="s">
        <v>1096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23"/>
        <v>✓ OK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24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25"/>
        <v>✓ OK</v>
      </c>
      <c r="AF165" s="33" t="s">
        <v>61</v>
      </c>
      <c r="AG165" s="33" t="s">
        <v>55</v>
      </c>
      <c r="AH165" s="33" t="s">
        <v>56</v>
      </c>
      <c r="AI165" s="33" t="s">
        <v>57</v>
      </c>
      <c r="AJ165" s="33" t="s">
        <v>58</v>
      </c>
      <c r="AK165" s="33" t="s">
        <v>56</v>
      </c>
      <c r="AL165" s="27"/>
      <c r="AM165" s="34" t="s">
        <v>57</v>
      </c>
      <c r="AN165" s="35" t="str">
        <f t="shared" si="26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8" customHeight="1" x14ac:dyDescent="0.3">
      <c r="A166" s="39">
        <v>162</v>
      </c>
      <c r="B166" s="40" t="s">
        <v>1323</v>
      </c>
      <c r="C166" s="41" t="s">
        <v>1324</v>
      </c>
      <c r="D166" s="39" t="s">
        <v>1096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23"/>
        <v>✓ OK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24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25"/>
        <v>✓ OK</v>
      </c>
      <c r="AF166" s="33" t="s">
        <v>61</v>
      </c>
      <c r="AG166" s="33" t="s">
        <v>55</v>
      </c>
      <c r="AH166" s="33" t="s">
        <v>56</v>
      </c>
      <c r="AI166" s="33" t="s">
        <v>57</v>
      </c>
      <c r="AJ166" s="33" t="s">
        <v>58</v>
      </c>
      <c r="AK166" s="33" t="s">
        <v>56</v>
      </c>
      <c r="AL166" s="27"/>
      <c r="AM166" s="34" t="s">
        <v>57</v>
      </c>
      <c r="AN166" s="35" t="str">
        <f t="shared" si="26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8" customHeight="1" x14ac:dyDescent="0.3">
      <c r="A167" s="23">
        <v>163</v>
      </c>
      <c r="B167" s="24" t="s">
        <v>1325</v>
      </c>
      <c r="C167" s="25" t="s">
        <v>1326</v>
      </c>
      <c r="D167" s="23" t="s">
        <v>1096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23"/>
        <v>✓ OK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24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25"/>
        <v>✓ OK</v>
      </c>
      <c r="AF167" s="33" t="s">
        <v>61</v>
      </c>
      <c r="AG167" s="33" t="s">
        <v>55</v>
      </c>
      <c r="AH167" s="33" t="s">
        <v>56</v>
      </c>
      <c r="AI167" s="33" t="s">
        <v>57</v>
      </c>
      <c r="AJ167" s="33" t="s">
        <v>58</v>
      </c>
      <c r="AK167" s="33" t="s">
        <v>56</v>
      </c>
      <c r="AL167" s="27"/>
      <c r="AM167" s="34" t="s">
        <v>57</v>
      </c>
      <c r="AN167" s="35" t="str">
        <f t="shared" si="26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8" customHeight="1" x14ac:dyDescent="0.3">
      <c r="A168" s="39">
        <v>164</v>
      </c>
      <c r="B168" s="40" t="s">
        <v>1327</v>
      </c>
      <c r="C168" s="41" t="s">
        <v>1328</v>
      </c>
      <c r="D168" s="39" t="s">
        <v>1096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23"/>
        <v>✓ OK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24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25"/>
        <v>✓ OK</v>
      </c>
      <c r="AF168" s="33" t="s">
        <v>61</v>
      </c>
      <c r="AG168" s="33" t="s">
        <v>55</v>
      </c>
      <c r="AH168" s="33" t="s">
        <v>56</v>
      </c>
      <c r="AI168" s="33" t="s">
        <v>57</v>
      </c>
      <c r="AJ168" s="33" t="s">
        <v>58</v>
      </c>
      <c r="AK168" s="33" t="s">
        <v>56</v>
      </c>
      <c r="AL168" s="27"/>
      <c r="AM168" s="34" t="s">
        <v>57</v>
      </c>
      <c r="AN168" s="35" t="str">
        <f t="shared" si="26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O6:W15 A6:M59 Y6:AW59 O16:Q16 O17:W59 D60:H62 O60:Q62 O63:W148 A63:M168 Y63:AW168 O149:Q149 O150:W150 O151:Q151 O152:W168 S16:W16 S60:S62 S149:W149 S151:W151 M60:M62 U60:V62 N6:N168 X6:X168">
    <cfRule type="expression" dxfId="445" priority="57">
      <formula>MOD(ROW(),2)=0</formula>
    </cfRule>
  </conditionalFormatting>
  <conditionalFormatting sqref="I60:J62">
    <cfRule type="expression" dxfId="444" priority="7">
      <formula>MOD(ROW(),2)=0</formula>
    </cfRule>
  </conditionalFormatting>
  <conditionalFormatting sqref="J5:J168 S5:S168 Y5:Y59 AB5:AB59 AH5:AH59 AK5:AK59 AQ5:AQ59 AT5:AT59 G5:G168 P5:P168 Y63:Y168 AB63:AB168 AH63:AH168 AK63:AK168 AQ63:AQ168 AT63:AT168">
    <cfRule type="expression" dxfId="443" priority="16">
      <formula>G5="Yes"</formula>
    </cfRule>
  </conditionalFormatting>
  <conditionalFormatting sqref="R16 R60:S62 R149 R151">
    <cfRule type="expression" dxfId="442" priority="1">
      <formula>MOD(ROW(),2)=0</formula>
    </cfRule>
  </conditionalFormatting>
  <conditionalFormatting sqref="Y5:Y59 AB5:AB59 AH5:AH59 AK5:AK59 AQ5:AQ59 AT5:AT59 G5:G168 J5:J168 P5:P168 S5:S168 Y63:Y168 AB63:AB168 AH63:AH168 AK63:AK168 AQ63:AQ168 AT63:AT168">
    <cfRule type="expression" dxfId="441" priority="17">
      <formula>G5="No"</formula>
    </cfRule>
  </conditionalFormatting>
  <conditionalFormatting sqref="Z5:Z59 AI5:AI59 AR5:AR59 H5:H168 Q5:Q168 Z63:Z168 AI63:AI168 AR63:AR168">
    <cfRule type="expression" dxfId="440" priority="18">
      <formula>H5="Yes"</formula>
    </cfRule>
  </conditionalFormatting>
  <conditionalFormatting sqref="AE5:AE59 AN5:AN59 AW5:AW59 M5:M168 V5:V168 AE63:AE168 AN63:AN168 AW63:AW168">
    <cfRule type="expression" dxfId="439" priority="12">
      <formula>M5="✓ OK"</formula>
    </cfRule>
    <cfRule type="expression" dxfId="438" priority="13">
      <formula>M5="❌ Disc"</formula>
    </cfRule>
    <cfRule type="expression" dxfId="437" priority="14">
      <formula>M5="⚠ Missing"</formula>
    </cfRule>
    <cfRule type="expression" dxfId="436" priority="15">
      <formula>M5="⚠ Check"</formula>
    </cfRule>
  </conditionalFormatting>
  <dataValidations count="2">
    <dataValidation type="list" allowBlank="1" sqref="G5:H168 J5:J168 P5:Q168 S5:S168 Y5:Z59 Y63:Z168 AB5:AB59 AB63:AB168 AH5:AI59 AH63:AI168 AK5:AK59 AK63:AK168 AQ5:AR59 AQ63:AR168 AT5:AT59 AT63:AT168" xr:uid="{00000000-0002-0000-0400-000000000000}">
      <formula1>"Yes,No"</formula1>
    </dataValidation>
    <dataValidation type="list" allowBlank="1" sqref="I5:I168 R5:R168 AA5:AA59 AA63:AA168 AJ5:AJ59 AJ63:AJ168 AS5:AS59 AS63:AS168" xr:uid="{00000000-0002-0000-04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AG5" activePane="bottomRight" state="frozen"/>
      <selection pane="topRight" activeCell="H13" sqref="H13"/>
      <selection pane="bottomLeft" activeCell="H13" sqref="H13"/>
      <selection pane="bottomRight" activeCell="AJ5" sqref="AJ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1329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1330</v>
      </c>
      <c r="C5" s="25" t="s">
        <v>1331</v>
      </c>
      <c r="D5" s="23" t="s">
        <v>1332</v>
      </c>
      <c r="E5" s="42">
        <v>46132</v>
      </c>
      <c r="F5" s="26" t="s">
        <v>55</v>
      </c>
      <c r="G5" s="26" t="s">
        <v>57</v>
      </c>
      <c r="H5" s="26" t="s">
        <v>57</v>
      </c>
      <c r="I5" s="26" t="s">
        <v>90</v>
      </c>
      <c r="J5" s="26" t="s">
        <v>57</v>
      </c>
      <c r="K5" s="27" t="s">
        <v>91</v>
      </c>
      <c r="L5" s="28" t="s">
        <v>56</v>
      </c>
      <c r="M5" s="29" t="str">
        <f t="shared" ref="M5:M68" si="0">IF(E5="","",IF(H5="Yes","❌ Disc",IF(G5="No","⚠ Missing",IF(J5="Yes","✓ OK","⚠ Check"))))</f>
        <v>⚠ Missing</v>
      </c>
      <c r="N5" s="42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68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1333</v>
      </c>
      <c r="C6" s="41" t="s">
        <v>1334</v>
      </c>
      <c r="D6" s="39" t="s">
        <v>1332</v>
      </c>
      <c r="E6" s="42">
        <v>46132</v>
      </c>
      <c r="F6" s="26" t="s">
        <v>55</v>
      </c>
      <c r="G6" s="26" t="s">
        <v>57</v>
      </c>
      <c r="H6" s="26" t="s">
        <v>57</v>
      </c>
      <c r="I6" s="26" t="s">
        <v>90</v>
      </c>
      <c r="J6" s="26" t="s">
        <v>57</v>
      </c>
      <c r="K6" s="27" t="s">
        <v>91</v>
      </c>
      <c r="L6" s="28" t="s">
        <v>56</v>
      </c>
      <c r="M6" s="29" t="str">
        <f t="shared" si="0"/>
        <v>⚠ Missing</v>
      </c>
      <c r="N6" s="42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1335</v>
      </c>
      <c r="C7" s="25" t="s">
        <v>1336</v>
      </c>
      <c r="D7" s="23" t="s">
        <v>1332</v>
      </c>
      <c r="E7" s="42">
        <v>46132</v>
      </c>
      <c r="F7" s="26" t="s">
        <v>55</v>
      </c>
      <c r="G7" s="26" t="s">
        <v>57</v>
      </c>
      <c r="H7" s="26" t="s">
        <v>57</v>
      </c>
      <c r="I7" s="26" t="s">
        <v>90</v>
      </c>
      <c r="J7" s="26" t="s">
        <v>57</v>
      </c>
      <c r="K7" s="27" t="s">
        <v>91</v>
      </c>
      <c r="L7" s="28" t="s">
        <v>56</v>
      </c>
      <c r="M7" s="29" t="str">
        <f t="shared" si="0"/>
        <v>⚠ Missing</v>
      </c>
      <c r="N7" s="42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1337</v>
      </c>
      <c r="C8" s="41" t="s">
        <v>1338</v>
      </c>
      <c r="D8" s="39" t="s">
        <v>1332</v>
      </c>
      <c r="E8" s="42">
        <v>46132</v>
      </c>
      <c r="F8" s="26" t="s">
        <v>55</v>
      </c>
      <c r="G8" s="26" t="s">
        <v>57</v>
      </c>
      <c r="H8" s="26" t="s">
        <v>57</v>
      </c>
      <c r="I8" s="26" t="s">
        <v>90</v>
      </c>
      <c r="J8" s="26" t="s">
        <v>57</v>
      </c>
      <c r="K8" s="27" t="s">
        <v>91</v>
      </c>
      <c r="L8" s="28" t="s">
        <v>56</v>
      </c>
      <c r="M8" s="29" t="str">
        <f t="shared" si="0"/>
        <v>⚠ Missing</v>
      </c>
      <c r="N8" s="42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1339</v>
      </c>
      <c r="C9" s="25" t="s">
        <v>1340</v>
      </c>
      <c r="D9" s="23" t="s">
        <v>1332</v>
      </c>
      <c r="E9" s="42">
        <v>46132</v>
      </c>
      <c r="F9" s="26" t="s">
        <v>55</v>
      </c>
      <c r="G9" s="26" t="s">
        <v>57</v>
      </c>
      <c r="H9" s="26" t="s">
        <v>57</v>
      </c>
      <c r="I9" s="26" t="s">
        <v>90</v>
      </c>
      <c r="J9" s="26" t="s">
        <v>57</v>
      </c>
      <c r="K9" s="27" t="s">
        <v>91</v>
      </c>
      <c r="L9" s="28" t="s">
        <v>56</v>
      </c>
      <c r="M9" s="29" t="str">
        <f t="shared" si="0"/>
        <v>⚠ Missing</v>
      </c>
      <c r="N9" s="42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1341</v>
      </c>
      <c r="C10" s="41" t="s">
        <v>1342</v>
      </c>
      <c r="D10" s="39" t="s">
        <v>1332</v>
      </c>
      <c r="E10" s="42">
        <v>46132</v>
      </c>
      <c r="F10" s="26" t="s">
        <v>55</v>
      </c>
      <c r="G10" s="26" t="s">
        <v>57</v>
      </c>
      <c r="H10" s="26" t="s">
        <v>57</v>
      </c>
      <c r="I10" s="26" t="s">
        <v>90</v>
      </c>
      <c r="J10" s="26" t="s">
        <v>57</v>
      </c>
      <c r="K10" s="27" t="s">
        <v>91</v>
      </c>
      <c r="L10" s="28" t="s">
        <v>56</v>
      </c>
      <c r="M10" s="29" t="str">
        <f t="shared" si="0"/>
        <v>⚠ Missing</v>
      </c>
      <c r="N10" s="42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1343</v>
      </c>
      <c r="C11" s="25" t="s">
        <v>1344</v>
      </c>
      <c r="D11" s="23" t="s">
        <v>1332</v>
      </c>
      <c r="E11" s="42">
        <v>46132</v>
      </c>
      <c r="F11" s="26" t="s">
        <v>55</v>
      </c>
      <c r="G11" s="26" t="s">
        <v>57</v>
      </c>
      <c r="H11" s="26" t="s">
        <v>57</v>
      </c>
      <c r="I11" s="26" t="s">
        <v>90</v>
      </c>
      <c r="J11" s="26" t="s">
        <v>57</v>
      </c>
      <c r="K11" s="27" t="s">
        <v>91</v>
      </c>
      <c r="L11" s="28" t="s">
        <v>56</v>
      </c>
      <c r="M11" s="29" t="str">
        <f t="shared" si="0"/>
        <v>⚠ Missing</v>
      </c>
      <c r="N11" s="42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1345</v>
      </c>
      <c r="C12" s="41" t="s">
        <v>1346</v>
      </c>
      <c r="D12" s="39" t="s">
        <v>1332</v>
      </c>
      <c r="E12" s="42">
        <v>46132</v>
      </c>
      <c r="F12" s="26" t="s">
        <v>55</v>
      </c>
      <c r="G12" s="26" t="s">
        <v>57</v>
      </c>
      <c r="H12" s="26" t="s">
        <v>57</v>
      </c>
      <c r="I12" s="26" t="s">
        <v>90</v>
      </c>
      <c r="J12" s="26" t="s">
        <v>57</v>
      </c>
      <c r="K12" s="27" t="s">
        <v>91</v>
      </c>
      <c r="L12" s="28" t="s">
        <v>56</v>
      </c>
      <c r="M12" s="29" t="str">
        <f t="shared" si="0"/>
        <v>⚠ Missing</v>
      </c>
      <c r="N12" s="42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1347</v>
      </c>
      <c r="C13" s="25" t="s">
        <v>1348</v>
      </c>
      <c r="D13" s="23" t="s">
        <v>1332</v>
      </c>
      <c r="E13" s="42">
        <v>46132</v>
      </c>
      <c r="F13" s="26" t="s">
        <v>55</v>
      </c>
      <c r="G13" s="26" t="s">
        <v>57</v>
      </c>
      <c r="H13" s="26" t="s">
        <v>57</v>
      </c>
      <c r="I13" s="26" t="s">
        <v>90</v>
      </c>
      <c r="J13" s="26" t="s">
        <v>57</v>
      </c>
      <c r="K13" s="27" t="s">
        <v>91</v>
      </c>
      <c r="L13" s="28" t="s">
        <v>56</v>
      </c>
      <c r="M13" s="29" t="str">
        <f t="shared" si="0"/>
        <v>⚠ Missing</v>
      </c>
      <c r="N13" s="42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1349</v>
      </c>
      <c r="C14" s="41" t="s">
        <v>1350</v>
      </c>
      <c r="D14" s="39" t="s">
        <v>1332</v>
      </c>
      <c r="E14" s="42">
        <v>46132</v>
      </c>
      <c r="F14" s="26" t="s">
        <v>55</v>
      </c>
      <c r="G14" s="26" t="s">
        <v>57</v>
      </c>
      <c r="H14" s="26" t="s">
        <v>57</v>
      </c>
      <c r="I14" s="26" t="s">
        <v>90</v>
      </c>
      <c r="J14" s="26" t="s">
        <v>57</v>
      </c>
      <c r="K14" s="27" t="s">
        <v>91</v>
      </c>
      <c r="L14" s="28" t="s">
        <v>56</v>
      </c>
      <c r="M14" s="29" t="str">
        <f t="shared" si="0"/>
        <v>⚠ Missing</v>
      </c>
      <c r="N14" s="42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1351</v>
      </c>
      <c r="C15" s="25" t="s">
        <v>1352</v>
      </c>
      <c r="D15" s="23" t="s">
        <v>1332</v>
      </c>
      <c r="E15" s="42">
        <v>46132</v>
      </c>
      <c r="F15" s="26" t="s">
        <v>55</v>
      </c>
      <c r="G15" s="26" t="s">
        <v>57</v>
      </c>
      <c r="H15" s="26" t="s">
        <v>57</v>
      </c>
      <c r="I15" s="26" t="s">
        <v>90</v>
      </c>
      <c r="J15" s="26" t="s">
        <v>57</v>
      </c>
      <c r="K15" s="27" t="s">
        <v>91</v>
      </c>
      <c r="L15" s="28" t="s">
        <v>56</v>
      </c>
      <c r="M15" s="29" t="str">
        <f t="shared" si="0"/>
        <v>⚠ Missing</v>
      </c>
      <c r="N15" s="42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1353</v>
      </c>
      <c r="C16" s="41" t="s">
        <v>1354</v>
      </c>
      <c r="D16" s="39" t="s">
        <v>1332</v>
      </c>
      <c r="E16" s="42">
        <v>46132</v>
      </c>
      <c r="F16" s="26" t="s">
        <v>55</v>
      </c>
      <c r="G16" s="26" t="s">
        <v>57</v>
      </c>
      <c r="H16" s="26" t="s">
        <v>57</v>
      </c>
      <c r="I16" s="26" t="s">
        <v>90</v>
      </c>
      <c r="J16" s="26" t="s">
        <v>57</v>
      </c>
      <c r="K16" s="27" t="s">
        <v>91</v>
      </c>
      <c r="L16" s="28" t="s">
        <v>56</v>
      </c>
      <c r="M16" s="29" t="str">
        <f t="shared" si="0"/>
        <v>⚠ Missing</v>
      </c>
      <c r="N16" s="42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1355</v>
      </c>
      <c r="C17" s="25" t="s">
        <v>1356</v>
      </c>
      <c r="D17" s="23" t="s">
        <v>1332</v>
      </c>
      <c r="E17" s="42">
        <v>46132</v>
      </c>
      <c r="F17" s="26" t="s">
        <v>55</v>
      </c>
      <c r="G17" s="26" t="s">
        <v>57</v>
      </c>
      <c r="H17" s="26" t="s">
        <v>57</v>
      </c>
      <c r="I17" s="26" t="s">
        <v>90</v>
      </c>
      <c r="J17" s="26" t="s">
        <v>57</v>
      </c>
      <c r="K17" s="27" t="s">
        <v>91</v>
      </c>
      <c r="L17" s="28" t="s">
        <v>56</v>
      </c>
      <c r="M17" s="29" t="str">
        <f t="shared" si="0"/>
        <v>⚠ Missing</v>
      </c>
      <c r="N17" s="42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1357</v>
      </c>
      <c r="C18" s="41" t="s">
        <v>1358</v>
      </c>
      <c r="D18" s="39" t="s">
        <v>1332</v>
      </c>
      <c r="E18" s="42">
        <v>46132</v>
      </c>
      <c r="F18" s="26" t="s">
        <v>55</v>
      </c>
      <c r="G18" s="26" t="s">
        <v>57</v>
      </c>
      <c r="H18" s="26" t="s">
        <v>57</v>
      </c>
      <c r="I18" s="26" t="s">
        <v>90</v>
      </c>
      <c r="J18" s="26" t="s">
        <v>57</v>
      </c>
      <c r="K18" s="27" t="s">
        <v>91</v>
      </c>
      <c r="L18" s="28" t="s">
        <v>56</v>
      </c>
      <c r="M18" s="29" t="str">
        <f t="shared" si="0"/>
        <v>⚠ Missing</v>
      </c>
      <c r="N18" s="42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1359</v>
      </c>
      <c r="C19" s="25" t="s">
        <v>1360</v>
      </c>
      <c r="D19" s="23" t="s">
        <v>1332</v>
      </c>
      <c r="E19" s="42">
        <v>46132</v>
      </c>
      <c r="F19" s="26" t="s">
        <v>55</v>
      </c>
      <c r="G19" s="26" t="s">
        <v>57</v>
      </c>
      <c r="H19" s="26" t="s">
        <v>57</v>
      </c>
      <c r="I19" s="26" t="s">
        <v>90</v>
      </c>
      <c r="J19" s="26" t="s">
        <v>57</v>
      </c>
      <c r="K19" s="27" t="s">
        <v>91</v>
      </c>
      <c r="L19" s="28" t="s">
        <v>56</v>
      </c>
      <c r="M19" s="29" t="str">
        <f t="shared" si="0"/>
        <v>⚠ Missing</v>
      </c>
      <c r="N19" s="42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1361</v>
      </c>
      <c r="C20" s="41" t="s">
        <v>1362</v>
      </c>
      <c r="D20" s="39" t="s">
        <v>1332</v>
      </c>
      <c r="E20" s="42">
        <v>46132</v>
      </c>
      <c r="F20" s="26" t="s">
        <v>55</v>
      </c>
      <c r="G20" s="26" t="s">
        <v>57</v>
      </c>
      <c r="H20" s="26" t="s">
        <v>57</v>
      </c>
      <c r="I20" s="26" t="s">
        <v>90</v>
      </c>
      <c r="J20" s="26" t="s">
        <v>57</v>
      </c>
      <c r="K20" s="27" t="s">
        <v>91</v>
      </c>
      <c r="L20" s="28" t="s">
        <v>56</v>
      </c>
      <c r="M20" s="29" t="str">
        <f t="shared" si="0"/>
        <v>⚠ Missing</v>
      </c>
      <c r="N20" s="42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1363</v>
      </c>
      <c r="C21" s="25" t="s">
        <v>1364</v>
      </c>
      <c r="D21" s="23" t="s">
        <v>1332</v>
      </c>
      <c r="E21" s="42">
        <v>46132</v>
      </c>
      <c r="F21" s="26" t="s">
        <v>55</v>
      </c>
      <c r="G21" s="26" t="s">
        <v>57</v>
      </c>
      <c r="H21" s="26" t="s">
        <v>57</v>
      </c>
      <c r="I21" s="26" t="s">
        <v>90</v>
      </c>
      <c r="J21" s="26" t="s">
        <v>57</v>
      </c>
      <c r="K21" s="27" t="s">
        <v>91</v>
      </c>
      <c r="L21" s="28" t="s">
        <v>56</v>
      </c>
      <c r="M21" s="29" t="str">
        <f t="shared" si="0"/>
        <v>⚠ Missing</v>
      </c>
      <c r="N21" s="42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1365</v>
      </c>
      <c r="C22" s="41" t="s">
        <v>1366</v>
      </c>
      <c r="D22" s="39" t="s">
        <v>1332</v>
      </c>
      <c r="E22" s="42">
        <v>46132</v>
      </c>
      <c r="F22" s="26" t="s">
        <v>55</v>
      </c>
      <c r="G22" s="26" t="s">
        <v>57</v>
      </c>
      <c r="H22" s="26" t="s">
        <v>57</v>
      </c>
      <c r="I22" s="26" t="s">
        <v>90</v>
      </c>
      <c r="J22" s="26" t="s">
        <v>57</v>
      </c>
      <c r="K22" s="27" t="s">
        <v>91</v>
      </c>
      <c r="L22" s="28" t="s">
        <v>56</v>
      </c>
      <c r="M22" s="29" t="str">
        <f t="shared" si="0"/>
        <v>⚠ Missing</v>
      </c>
      <c r="N22" s="42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1367</v>
      </c>
      <c r="C23" s="25" t="s">
        <v>1368</v>
      </c>
      <c r="D23" s="23" t="s">
        <v>1332</v>
      </c>
      <c r="E23" s="42">
        <v>46132</v>
      </c>
      <c r="F23" s="26" t="s">
        <v>55</v>
      </c>
      <c r="G23" s="26" t="s">
        <v>57</v>
      </c>
      <c r="H23" s="26" t="s">
        <v>57</v>
      </c>
      <c r="I23" s="26" t="s">
        <v>90</v>
      </c>
      <c r="J23" s="26" t="s">
        <v>57</v>
      </c>
      <c r="K23" s="27" t="s">
        <v>91</v>
      </c>
      <c r="L23" s="28" t="s">
        <v>56</v>
      </c>
      <c r="M23" s="29" t="str">
        <f t="shared" si="0"/>
        <v>⚠ Missing</v>
      </c>
      <c r="N23" s="42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1369</v>
      </c>
      <c r="C24" s="41" t="s">
        <v>1370</v>
      </c>
      <c r="D24" s="39" t="s">
        <v>1332</v>
      </c>
      <c r="E24" s="42">
        <v>46132</v>
      </c>
      <c r="F24" s="26" t="s">
        <v>55</v>
      </c>
      <c r="G24" s="26" t="s">
        <v>57</v>
      </c>
      <c r="H24" s="26" t="s">
        <v>57</v>
      </c>
      <c r="I24" s="26" t="s">
        <v>90</v>
      </c>
      <c r="J24" s="26" t="s">
        <v>57</v>
      </c>
      <c r="K24" s="27" t="s">
        <v>91</v>
      </c>
      <c r="L24" s="28" t="s">
        <v>56</v>
      </c>
      <c r="M24" s="29" t="str">
        <f t="shared" si="0"/>
        <v>⚠ Missing</v>
      </c>
      <c r="N24" s="42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1371</v>
      </c>
      <c r="C25" s="25" t="s">
        <v>1372</v>
      </c>
      <c r="D25" s="23" t="s">
        <v>1332</v>
      </c>
      <c r="E25" s="42">
        <v>46132</v>
      </c>
      <c r="F25" s="26" t="s">
        <v>55</v>
      </c>
      <c r="G25" s="26" t="s">
        <v>57</v>
      </c>
      <c r="H25" s="26" t="s">
        <v>57</v>
      </c>
      <c r="I25" s="26" t="s">
        <v>90</v>
      </c>
      <c r="J25" s="26" t="s">
        <v>57</v>
      </c>
      <c r="K25" s="27" t="s">
        <v>91</v>
      </c>
      <c r="L25" s="28" t="s">
        <v>56</v>
      </c>
      <c r="M25" s="29" t="str">
        <f t="shared" si="0"/>
        <v>⚠ Missing</v>
      </c>
      <c r="N25" s="42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1373</v>
      </c>
      <c r="C26" s="41" t="s">
        <v>1374</v>
      </c>
      <c r="D26" s="39" t="s">
        <v>1332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90</v>
      </c>
      <c r="J26" s="26" t="s">
        <v>57</v>
      </c>
      <c r="K26" s="27" t="s">
        <v>91</v>
      </c>
      <c r="L26" s="28" t="s">
        <v>56</v>
      </c>
      <c r="M26" s="29" t="str">
        <f t="shared" si="0"/>
        <v>⚠ Missing</v>
      </c>
      <c r="N26" s="42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58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1375</v>
      </c>
      <c r="C27" s="25" t="s">
        <v>1376</v>
      </c>
      <c r="D27" s="23" t="s">
        <v>1332</v>
      </c>
      <c r="E27" s="42">
        <v>46132</v>
      </c>
      <c r="F27" s="26" t="s">
        <v>55</v>
      </c>
      <c r="G27" s="26" t="s">
        <v>57</v>
      </c>
      <c r="H27" s="26" t="s">
        <v>57</v>
      </c>
      <c r="I27" s="26" t="s">
        <v>90</v>
      </c>
      <c r="J27" s="26" t="s">
        <v>57</v>
      </c>
      <c r="K27" s="27" t="s">
        <v>91</v>
      </c>
      <c r="L27" s="28" t="s">
        <v>56</v>
      </c>
      <c r="M27" s="29" t="str">
        <f t="shared" si="0"/>
        <v>⚠ Missing</v>
      </c>
      <c r="N27" s="42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56</v>
      </c>
      <c r="AI27" s="33" t="s">
        <v>57</v>
      </c>
      <c r="AJ27" s="33" t="s">
        <v>58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1377</v>
      </c>
      <c r="C28" s="41" t="s">
        <v>1378</v>
      </c>
      <c r="D28" s="39" t="s">
        <v>1332</v>
      </c>
      <c r="E28" s="42">
        <v>46132</v>
      </c>
      <c r="F28" s="26" t="s">
        <v>55</v>
      </c>
      <c r="G28" s="26" t="s">
        <v>57</v>
      </c>
      <c r="H28" s="26" t="s">
        <v>57</v>
      </c>
      <c r="I28" s="26" t="s">
        <v>90</v>
      </c>
      <c r="J28" s="26" t="s">
        <v>57</v>
      </c>
      <c r="K28" s="27" t="s">
        <v>91</v>
      </c>
      <c r="L28" s="28" t="s">
        <v>56</v>
      </c>
      <c r="M28" s="29" t="str">
        <f t="shared" si="0"/>
        <v>⚠ Missing</v>
      </c>
      <c r="N28" s="42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56</v>
      </c>
      <c r="AI28" s="33" t="s">
        <v>57</v>
      </c>
      <c r="AJ28" s="33" t="s">
        <v>58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1379</v>
      </c>
      <c r="C29" s="25" t="s">
        <v>1380</v>
      </c>
      <c r="D29" s="23" t="s">
        <v>1332</v>
      </c>
      <c r="E29" s="42">
        <v>46132</v>
      </c>
      <c r="F29" s="26" t="s">
        <v>55</v>
      </c>
      <c r="G29" s="26" t="s">
        <v>57</v>
      </c>
      <c r="H29" s="26" t="s">
        <v>57</v>
      </c>
      <c r="I29" s="26" t="s">
        <v>90</v>
      </c>
      <c r="J29" s="26" t="s">
        <v>57</v>
      </c>
      <c r="K29" s="27" t="s">
        <v>91</v>
      </c>
      <c r="L29" s="28" t="s">
        <v>56</v>
      </c>
      <c r="M29" s="29" t="str">
        <f t="shared" si="0"/>
        <v>⚠ Missing</v>
      </c>
      <c r="N29" s="42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 t="s">
        <v>57</v>
      </c>
      <c r="AJ29" s="33" t="s">
        <v>58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1381</v>
      </c>
      <c r="C30" s="41" t="s">
        <v>1382</v>
      </c>
      <c r="D30" s="39" t="s">
        <v>1332</v>
      </c>
      <c r="E30" s="42">
        <v>46132</v>
      </c>
      <c r="F30" s="26" t="s">
        <v>55</v>
      </c>
      <c r="G30" s="26" t="s">
        <v>57</v>
      </c>
      <c r="H30" s="26" t="s">
        <v>57</v>
      </c>
      <c r="I30" s="26" t="s">
        <v>90</v>
      </c>
      <c r="J30" s="26" t="s">
        <v>57</v>
      </c>
      <c r="K30" s="27" t="s">
        <v>91</v>
      </c>
      <c r="L30" s="28" t="s">
        <v>56</v>
      </c>
      <c r="M30" s="29" t="str">
        <f t="shared" si="0"/>
        <v>⚠ Missing</v>
      </c>
      <c r="N30" s="42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1383</v>
      </c>
      <c r="C31" s="25" t="s">
        <v>1384</v>
      </c>
      <c r="D31" s="23" t="s">
        <v>1332</v>
      </c>
      <c r="E31" s="42">
        <v>46132</v>
      </c>
      <c r="F31" s="26" t="s">
        <v>55</v>
      </c>
      <c r="G31" s="26" t="s">
        <v>57</v>
      </c>
      <c r="H31" s="26" t="s">
        <v>57</v>
      </c>
      <c r="I31" s="26" t="s">
        <v>90</v>
      </c>
      <c r="J31" s="26" t="s">
        <v>57</v>
      </c>
      <c r="K31" s="27" t="s">
        <v>91</v>
      </c>
      <c r="L31" s="28" t="s">
        <v>56</v>
      </c>
      <c r="M31" s="29" t="str">
        <f t="shared" si="0"/>
        <v>⚠ Missing</v>
      </c>
      <c r="N31" s="42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56</v>
      </c>
      <c r="AI31" s="33" t="s">
        <v>57</v>
      </c>
      <c r="AJ31" s="33" t="s">
        <v>58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1385</v>
      </c>
      <c r="C32" s="41" t="s">
        <v>1386</v>
      </c>
      <c r="D32" s="39" t="s">
        <v>1332</v>
      </c>
      <c r="E32" s="42">
        <v>46132</v>
      </c>
      <c r="F32" s="26" t="s">
        <v>55</v>
      </c>
      <c r="G32" s="26" t="s">
        <v>57</v>
      </c>
      <c r="H32" s="26" t="s">
        <v>57</v>
      </c>
      <c r="I32" s="26" t="s">
        <v>90</v>
      </c>
      <c r="J32" s="26" t="s">
        <v>57</v>
      </c>
      <c r="K32" s="27" t="s">
        <v>91</v>
      </c>
      <c r="L32" s="28" t="s">
        <v>56</v>
      </c>
      <c r="M32" s="29" t="str">
        <f t="shared" si="0"/>
        <v>⚠ Missing</v>
      </c>
      <c r="N32" s="42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 t="s">
        <v>57</v>
      </c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1387</v>
      </c>
      <c r="C33" s="25" t="s">
        <v>1388</v>
      </c>
      <c r="D33" s="23" t="s">
        <v>1332</v>
      </c>
      <c r="E33" s="42">
        <v>46132</v>
      </c>
      <c r="F33" s="26" t="s">
        <v>55</v>
      </c>
      <c r="G33" s="26" t="s">
        <v>57</v>
      </c>
      <c r="H33" s="26" t="s">
        <v>57</v>
      </c>
      <c r="I33" s="26" t="s">
        <v>90</v>
      </c>
      <c r="J33" s="26" t="s">
        <v>57</v>
      </c>
      <c r="K33" s="27" t="s">
        <v>91</v>
      </c>
      <c r="L33" s="28" t="s">
        <v>56</v>
      </c>
      <c r="M33" s="29" t="str">
        <f t="shared" si="0"/>
        <v>⚠ Missing</v>
      </c>
      <c r="N33" s="42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1389</v>
      </c>
      <c r="C34" s="41" t="s">
        <v>1390</v>
      </c>
      <c r="D34" s="39" t="s">
        <v>1332</v>
      </c>
      <c r="E34" s="42">
        <v>46132</v>
      </c>
      <c r="F34" s="26" t="s">
        <v>55</v>
      </c>
      <c r="G34" s="26" t="s">
        <v>57</v>
      </c>
      <c r="H34" s="26" t="s">
        <v>57</v>
      </c>
      <c r="I34" s="26" t="s">
        <v>90</v>
      </c>
      <c r="J34" s="26" t="s">
        <v>57</v>
      </c>
      <c r="K34" s="27" t="s">
        <v>91</v>
      </c>
      <c r="L34" s="28" t="s">
        <v>56</v>
      </c>
      <c r="M34" s="29" t="str">
        <f t="shared" si="0"/>
        <v>⚠ Missing</v>
      </c>
      <c r="N34" s="42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1391</v>
      </c>
      <c r="C35" s="25" t="s">
        <v>1392</v>
      </c>
      <c r="D35" s="23" t="s">
        <v>1332</v>
      </c>
      <c r="E35" s="42">
        <v>46132</v>
      </c>
      <c r="F35" s="26" t="s">
        <v>55</v>
      </c>
      <c r="G35" s="26" t="s">
        <v>57</v>
      </c>
      <c r="H35" s="26" t="s">
        <v>57</v>
      </c>
      <c r="I35" s="26" t="s">
        <v>90</v>
      </c>
      <c r="J35" s="26" t="s">
        <v>57</v>
      </c>
      <c r="K35" s="27" t="s">
        <v>91</v>
      </c>
      <c r="L35" s="28" t="s">
        <v>56</v>
      </c>
      <c r="M35" s="29" t="str">
        <f t="shared" si="0"/>
        <v>⚠ Missing</v>
      </c>
      <c r="N35" s="42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56</v>
      </c>
      <c r="AI35" s="33" t="s">
        <v>57</v>
      </c>
      <c r="AJ35" s="33" t="s">
        <v>58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1393</v>
      </c>
      <c r="C36" s="41" t="s">
        <v>1394</v>
      </c>
      <c r="D36" s="39" t="s">
        <v>1332</v>
      </c>
      <c r="E36" s="42">
        <v>46132</v>
      </c>
      <c r="F36" s="26" t="s">
        <v>55</v>
      </c>
      <c r="G36" s="26" t="s">
        <v>57</v>
      </c>
      <c r="H36" s="26" t="s">
        <v>57</v>
      </c>
      <c r="I36" s="26" t="s">
        <v>90</v>
      </c>
      <c r="J36" s="26" t="s">
        <v>57</v>
      </c>
      <c r="K36" s="27" t="s">
        <v>91</v>
      </c>
      <c r="L36" s="28" t="s">
        <v>56</v>
      </c>
      <c r="M36" s="29" t="str">
        <f t="shared" si="0"/>
        <v>⚠ Missing</v>
      </c>
      <c r="N36" s="42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 t="s">
        <v>57</v>
      </c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1395</v>
      </c>
      <c r="C37" s="25" t="s">
        <v>1396</v>
      </c>
      <c r="D37" s="23" t="s">
        <v>1332</v>
      </c>
      <c r="E37" s="42">
        <v>46132</v>
      </c>
      <c r="F37" s="26" t="s">
        <v>55</v>
      </c>
      <c r="G37" s="26" t="s">
        <v>57</v>
      </c>
      <c r="H37" s="26" t="s">
        <v>57</v>
      </c>
      <c r="I37" s="26" t="s">
        <v>90</v>
      </c>
      <c r="J37" s="26" t="s">
        <v>57</v>
      </c>
      <c r="K37" s="27" t="s">
        <v>91</v>
      </c>
      <c r="L37" s="28" t="s">
        <v>56</v>
      </c>
      <c r="M37" s="29" t="str">
        <f t="shared" si="0"/>
        <v>⚠ Missing</v>
      </c>
      <c r="N37" s="42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 t="s">
        <v>61</v>
      </c>
      <c r="AG37" s="33" t="s">
        <v>55</v>
      </c>
      <c r="AH37" s="33" t="s">
        <v>56</v>
      </c>
      <c r="AI37" s="33" t="s">
        <v>57</v>
      </c>
      <c r="AJ37" s="33" t="s">
        <v>58</v>
      </c>
      <c r="AK37" s="33" t="s">
        <v>56</v>
      </c>
      <c r="AL37" s="27"/>
      <c r="AM37" s="34" t="s">
        <v>57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1397</v>
      </c>
      <c r="C38" s="41" t="s">
        <v>1398</v>
      </c>
      <c r="D38" s="39" t="s">
        <v>1332</v>
      </c>
      <c r="E38" s="42">
        <v>46132</v>
      </c>
      <c r="F38" s="26" t="s">
        <v>55</v>
      </c>
      <c r="G38" s="26" t="s">
        <v>57</v>
      </c>
      <c r="H38" s="26" t="s">
        <v>57</v>
      </c>
      <c r="I38" s="26" t="s">
        <v>90</v>
      </c>
      <c r="J38" s="26" t="s">
        <v>57</v>
      </c>
      <c r="K38" s="27" t="s">
        <v>91</v>
      </c>
      <c r="L38" s="28" t="s">
        <v>56</v>
      </c>
      <c r="M38" s="29" t="str">
        <f t="shared" si="0"/>
        <v>⚠ Missing</v>
      </c>
      <c r="N38" s="42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 t="s">
        <v>61</v>
      </c>
      <c r="AG38" s="33" t="s">
        <v>55</v>
      </c>
      <c r="AH38" s="33" t="s">
        <v>56</v>
      </c>
      <c r="AI38" s="33" t="s">
        <v>57</v>
      </c>
      <c r="AJ38" s="33" t="s">
        <v>58</v>
      </c>
      <c r="AK38" s="33" t="s">
        <v>56</v>
      </c>
      <c r="AL38" s="27"/>
      <c r="AM38" s="34" t="s">
        <v>57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1399</v>
      </c>
      <c r="C39" s="25" t="s">
        <v>1400</v>
      </c>
      <c r="D39" s="23" t="s">
        <v>1332</v>
      </c>
      <c r="E39" s="42">
        <v>46132</v>
      </c>
      <c r="F39" s="26" t="s">
        <v>55</v>
      </c>
      <c r="G39" s="26" t="s">
        <v>57</v>
      </c>
      <c r="H39" s="26" t="s">
        <v>57</v>
      </c>
      <c r="I39" s="26" t="s">
        <v>90</v>
      </c>
      <c r="J39" s="26" t="s">
        <v>57</v>
      </c>
      <c r="K39" s="27" t="s">
        <v>91</v>
      </c>
      <c r="L39" s="28" t="s">
        <v>56</v>
      </c>
      <c r="M39" s="29" t="str">
        <f t="shared" si="0"/>
        <v>⚠ Missing</v>
      </c>
      <c r="N39" s="42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1401</v>
      </c>
      <c r="C40" s="41" t="s">
        <v>1402</v>
      </c>
      <c r="D40" s="39" t="s">
        <v>1332</v>
      </c>
      <c r="E40" s="42">
        <v>46132</v>
      </c>
      <c r="F40" s="26" t="s">
        <v>55</v>
      </c>
      <c r="G40" s="26" t="s">
        <v>57</v>
      </c>
      <c r="H40" s="26" t="s">
        <v>57</v>
      </c>
      <c r="I40" s="26" t="s">
        <v>90</v>
      </c>
      <c r="J40" s="26" t="s">
        <v>57</v>
      </c>
      <c r="K40" s="27" t="s">
        <v>91</v>
      </c>
      <c r="L40" s="28" t="s">
        <v>56</v>
      </c>
      <c r="M40" s="29" t="str">
        <f t="shared" si="0"/>
        <v>⚠ Missing</v>
      </c>
      <c r="N40" s="42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 t="s">
        <v>61</v>
      </c>
      <c r="AG40" s="33" t="s">
        <v>55</v>
      </c>
      <c r="AH40" s="33" t="s">
        <v>56</v>
      </c>
      <c r="AI40" s="33" t="s">
        <v>57</v>
      </c>
      <c r="AJ40" s="33" t="s">
        <v>58</v>
      </c>
      <c r="AK40" s="33" t="s">
        <v>56</v>
      </c>
      <c r="AL40" s="27"/>
      <c r="AM40" s="34" t="s">
        <v>57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1403</v>
      </c>
      <c r="C41" s="25" t="s">
        <v>1404</v>
      </c>
      <c r="D41" s="23" t="s">
        <v>1332</v>
      </c>
      <c r="E41" s="42">
        <v>46132</v>
      </c>
      <c r="F41" s="26" t="s">
        <v>55</v>
      </c>
      <c r="G41" s="26" t="s">
        <v>57</v>
      </c>
      <c r="H41" s="26" t="s">
        <v>57</v>
      </c>
      <c r="I41" s="26" t="s">
        <v>90</v>
      </c>
      <c r="J41" s="26" t="s">
        <v>57</v>
      </c>
      <c r="K41" s="27" t="s">
        <v>91</v>
      </c>
      <c r="L41" s="28" t="s">
        <v>56</v>
      </c>
      <c r="M41" s="29" t="str">
        <f t="shared" si="0"/>
        <v>⚠ Missing</v>
      </c>
      <c r="N41" s="42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 t="s">
        <v>61</v>
      </c>
      <c r="AG41" s="33" t="s">
        <v>55</v>
      </c>
      <c r="AH41" s="33" t="s">
        <v>56</v>
      </c>
      <c r="AI41" s="33" t="s">
        <v>57</v>
      </c>
      <c r="AJ41" s="33" t="s">
        <v>58</v>
      </c>
      <c r="AK41" s="33" t="s">
        <v>56</v>
      </c>
      <c r="AL41" s="27"/>
      <c r="AM41" s="34" t="s">
        <v>57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1405</v>
      </c>
      <c r="C42" s="41" t="s">
        <v>1406</v>
      </c>
      <c r="D42" s="39" t="s">
        <v>1332</v>
      </c>
      <c r="E42" s="42">
        <v>46132</v>
      </c>
      <c r="F42" s="26" t="s">
        <v>55</v>
      </c>
      <c r="G42" s="26" t="s">
        <v>57</v>
      </c>
      <c r="H42" s="26" t="s">
        <v>57</v>
      </c>
      <c r="I42" s="26" t="s">
        <v>90</v>
      </c>
      <c r="J42" s="26" t="s">
        <v>57</v>
      </c>
      <c r="K42" s="27" t="s">
        <v>91</v>
      </c>
      <c r="L42" s="28" t="s">
        <v>56</v>
      </c>
      <c r="M42" s="29" t="str">
        <f t="shared" si="0"/>
        <v>⚠ Missing</v>
      </c>
      <c r="N42" s="42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 t="s">
        <v>61</v>
      </c>
      <c r="AG42" s="33" t="s">
        <v>55</v>
      </c>
      <c r="AH42" s="33" t="s">
        <v>56</v>
      </c>
      <c r="AI42" s="33" t="s">
        <v>57</v>
      </c>
      <c r="AJ42" s="33" t="s">
        <v>58</v>
      </c>
      <c r="AK42" s="33" t="s">
        <v>56</v>
      </c>
      <c r="AL42" s="27"/>
      <c r="AM42" s="34" t="s">
        <v>57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1407</v>
      </c>
      <c r="C43" s="25" t="s">
        <v>1408</v>
      </c>
      <c r="D43" s="23" t="s">
        <v>1332</v>
      </c>
      <c r="E43" s="42">
        <v>46132</v>
      </c>
      <c r="F43" s="26" t="s">
        <v>55</v>
      </c>
      <c r="G43" s="26" t="s">
        <v>57</v>
      </c>
      <c r="H43" s="26" t="s">
        <v>57</v>
      </c>
      <c r="I43" s="26" t="s">
        <v>90</v>
      </c>
      <c r="J43" s="26" t="s">
        <v>57</v>
      </c>
      <c r="K43" s="27" t="s">
        <v>91</v>
      </c>
      <c r="L43" s="28" t="s">
        <v>56</v>
      </c>
      <c r="M43" s="29" t="str">
        <f t="shared" si="0"/>
        <v>⚠ Missing</v>
      </c>
      <c r="N43" s="42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1409</v>
      </c>
      <c r="C44" s="41" t="s">
        <v>1410</v>
      </c>
      <c r="D44" s="39" t="s">
        <v>1332</v>
      </c>
      <c r="E44" s="42">
        <v>46132</v>
      </c>
      <c r="F44" s="26" t="s">
        <v>55</v>
      </c>
      <c r="G44" s="26" t="s">
        <v>57</v>
      </c>
      <c r="H44" s="26" t="s">
        <v>57</v>
      </c>
      <c r="I44" s="26" t="s">
        <v>90</v>
      </c>
      <c r="J44" s="26" t="s">
        <v>57</v>
      </c>
      <c r="K44" s="27" t="s">
        <v>91</v>
      </c>
      <c r="L44" s="28" t="s">
        <v>56</v>
      </c>
      <c r="M44" s="29" t="str">
        <f t="shared" si="0"/>
        <v>⚠ Missing</v>
      </c>
      <c r="N44" s="42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1411</v>
      </c>
      <c r="C45" s="25" t="s">
        <v>1412</v>
      </c>
      <c r="D45" s="23" t="s">
        <v>1332</v>
      </c>
      <c r="E45" s="42">
        <v>46132</v>
      </c>
      <c r="F45" s="26" t="s">
        <v>55</v>
      </c>
      <c r="G45" s="26" t="s">
        <v>57</v>
      </c>
      <c r="H45" s="26" t="s">
        <v>57</v>
      </c>
      <c r="I45" s="26" t="s">
        <v>90</v>
      </c>
      <c r="J45" s="26" t="s">
        <v>57</v>
      </c>
      <c r="K45" s="27" t="s">
        <v>91</v>
      </c>
      <c r="L45" s="28" t="s">
        <v>56</v>
      </c>
      <c r="M45" s="29" t="str">
        <f t="shared" si="0"/>
        <v>⚠ Missing</v>
      </c>
      <c r="N45" s="42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1413</v>
      </c>
      <c r="C46" s="41" t="s">
        <v>1414</v>
      </c>
      <c r="D46" s="39" t="s">
        <v>1332</v>
      </c>
      <c r="E46" s="42">
        <v>46132</v>
      </c>
      <c r="F46" s="26" t="s">
        <v>55</v>
      </c>
      <c r="G46" s="26" t="s">
        <v>57</v>
      </c>
      <c r="H46" s="26" t="s">
        <v>57</v>
      </c>
      <c r="I46" s="26" t="s">
        <v>90</v>
      </c>
      <c r="J46" s="26" t="s">
        <v>57</v>
      </c>
      <c r="K46" s="27" t="s">
        <v>91</v>
      </c>
      <c r="L46" s="28" t="s">
        <v>56</v>
      </c>
      <c r="M46" s="29" t="str">
        <f t="shared" si="0"/>
        <v>⚠ Missing</v>
      </c>
      <c r="N46" s="42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1415</v>
      </c>
      <c r="C47" s="25" t="s">
        <v>1416</v>
      </c>
      <c r="D47" s="23" t="s">
        <v>1332</v>
      </c>
      <c r="E47" s="42">
        <v>46132</v>
      </c>
      <c r="F47" s="26" t="s">
        <v>55</v>
      </c>
      <c r="G47" s="26" t="s">
        <v>57</v>
      </c>
      <c r="H47" s="26" t="s">
        <v>57</v>
      </c>
      <c r="I47" s="26" t="s">
        <v>90</v>
      </c>
      <c r="J47" s="26" t="s">
        <v>57</v>
      </c>
      <c r="K47" s="27" t="s">
        <v>91</v>
      </c>
      <c r="L47" s="28" t="s">
        <v>56</v>
      </c>
      <c r="M47" s="29" t="str">
        <f t="shared" si="0"/>
        <v>⚠ Missing</v>
      </c>
      <c r="N47" s="42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 t="s">
        <v>61</v>
      </c>
      <c r="AG47" s="33" t="s">
        <v>55</v>
      </c>
      <c r="AH47" s="33" t="s">
        <v>56</v>
      </c>
      <c r="AI47" s="33" t="s">
        <v>57</v>
      </c>
      <c r="AJ47" s="33" t="s">
        <v>58</v>
      </c>
      <c r="AK47" s="33" t="s">
        <v>56</v>
      </c>
      <c r="AL47" s="27"/>
      <c r="AM47" s="34" t="s">
        <v>57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1417</v>
      </c>
      <c r="C48" s="41" t="s">
        <v>1418</v>
      </c>
      <c r="D48" s="39" t="s">
        <v>1332</v>
      </c>
      <c r="E48" s="42">
        <v>46132</v>
      </c>
      <c r="F48" s="26" t="s">
        <v>55</v>
      </c>
      <c r="G48" s="26" t="s">
        <v>57</v>
      </c>
      <c r="H48" s="26" t="s">
        <v>57</v>
      </c>
      <c r="I48" s="26" t="s">
        <v>90</v>
      </c>
      <c r="J48" s="26" t="s">
        <v>57</v>
      </c>
      <c r="K48" s="27" t="s">
        <v>91</v>
      </c>
      <c r="L48" s="28" t="s">
        <v>56</v>
      </c>
      <c r="M48" s="29" t="str">
        <f t="shared" si="0"/>
        <v>⚠ Missing</v>
      </c>
      <c r="N48" s="42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 t="s">
        <v>61</v>
      </c>
      <c r="AG48" s="33" t="s">
        <v>55</v>
      </c>
      <c r="AH48" s="33" t="s">
        <v>56</v>
      </c>
      <c r="AI48" s="33" t="s">
        <v>57</v>
      </c>
      <c r="AJ48" s="33" t="s">
        <v>58</v>
      </c>
      <c r="AK48" s="33" t="s">
        <v>56</v>
      </c>
      <c r="AL48" s="27"/>
      <c r="AM48" s="34" t="s">
        <v>57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1419</v>
      </c>
      <c r="C49" s="25" t="s">
        <v>1420</v>
      </c>
      <c r="D49" s="23" t="s">
        <v>1332</v>
      </c>
      <c r="E49" s="42">
        <v>46132</v>
      </c>
      <c r="F49" s="26" t="s">
        <v>55</v>
      </c>
      <c r="G49" s="26" t="s">
        <v>57</v>
      </c>
      <c r="H49" s="26" t="s">
        <v>57</v>
      </c>
      <c r="I49" s="26" t="s">
        <v>90</v>
      </c>
      <c r="J49" s="26" t="s">
        <v>57</v>
      </c>
      <c r="K49" s="27" t="s">
        <v>91</v>
      </c>
      <c r="L49" s="28" t="s">
        <v>56</v>
      </c>
      <c r="M49" s="29" t="str">
        <f t="shared" si="0"/>
        <v>⚠ Missing</v>
      </c>
      <c r="N49" s="42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 t="s">
        <v>61</v>
      </c>
      <c r="AG49" s="33" t="s">
        <v>55</v>
      </c>
      <c r="AH49" s="33" t="s">
        <v>56</v>
      </c>
      <c r="AI49" s="33" t="s">
        <v>57</v>
      </c>
      <c r="AJ49" s="33" t="s">
        <v>58</v>
      </c>
      <c r="AK49" s="33" t="s">
        <v>56</v>
      </c>
      <c r="AL49" s="27"/>
      <c r="AM49" s="34" t="s">
        <v>57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1421</v>
      </c>
      <c r="C50" s="41" t="s">
        <v>1422</v>
      </c>
      <c r="D50" s="39" t="s">
        <v>1332</v>
      </c>
      <c r="E50" s="42">
        <v>46132</v>
      </c>
      <c r="F50" s="26" t="s">
        <v>55</v>
      </c>
      <c r="G50" s="26" t="s">
        <v>57</v>
      </c>
      <c r="H50" s="26" t="s">
        <v>57</v>
      </c>
      <c r="I50" s="26" t="s">
        <v>90</v>
      </c>
      <c r="J50" s="26" t="s">
        <v>57</v>
      </c>
      <c r="K50" s="27" t="s">
        <v>91</v>
      </c>
      <c r="L50" s="28" t="s">
        <v>56</v>
      </c>
      <c r="M50" s="29" t="str">
        <f t="shared" si="0"/>
        <v>⚠ Missing</v>
      </c>
      <c r="N50" s="42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 t="s">
        <v>61</v>
      </c>
      <c r="AG50" s="33" t="s">
        <v>55</v>
      </c>
      <c r="AH50" s="33" t="s">
        <v>56</v>
      </c>
      <c r="AI50" s="33" t="s">
        <v>57</v>
      </c>
      <c r="AJ50" s="33" t="s">
        <v>58</v>
      </c>
      <c r="AK50" s="33" t="s">
        <v>56</v>
      </c>
      <c r="AL50" s="27"/>
      <c r="AM50" s="34" t="s">
        <v>57</v>
      </c>
      <c r="AN50" s="35" t="str">
        <f t="shared" si="3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1423</v>
      </c>
      <c r="C51" s="25" t="s">
        <v>1424</v>
      </c>
      <c r="D51" s="23" t="s">
        <v>1332</v>
      </c>
      <c r="E51" s="42">
        <v>46132</v>
      </c>
      <c r="F51" s="26" t="s">
        <v>55</v>
      </c>
      <c r="G51" s="26" t="s">
        <v>57</v>
      </c>
      <c r="H51" s="26" t="s">
        <v>57</v>
      </c>
      <c r="I51" s="26" t="s">
        <v>90</v>
      </c>
      <c r="J51" s="26" t="s">
        <v>57</v>
      </c>
      <c r="K51" s="27" t="s">
        <v>91</v>
      </c>
      <c r="L51" s="28" t="s">
        <v>56</v>
      </c>
      <c r="M51" s="29" t="str">
        <f t="shared" si="0"/>
        <v>⚠ Missing</v>
      </c>
      <c r="N51" s="42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1425</v>
      </c>
      <c r="C52" s="41" t="s">
        <v>1426</v>
      </c>
      <c r="D52" s="39" t="s">
        <v>1332</v>
      </c>
      <c r="E52" s="42">
        <v>46132</v>
      </c>
      <c r="F52" s="26" t="s">
        <v>55</v>
      </c>
      <c r="G52" s="26" t="s">
        <v>57</v>
      </c>
      <c r="H52" s="26" t="s">
        <v>57</v>
      </c>
      <c r="I52" s="26" t="s">
        <v>90</v>
      </c>
      <c r="J52" s="26" t="s">
        <v>57</v>
      </c>
      <c r="K52" s="27" t="s">
        <v>91</v>
      </c>
      <c r="L52" s="28" t="s">
        <v>56</v>
      </c>
      <c r="M52" s="29" t="str">
        <f t="shared" si="0"/>
        <v>⚠ Missing</v>
      </c>
      <c r="N52" s="42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 t="s">
        <v>61</v>
      </c>
      <c r="AG52" s="33" t="s">
        <v>55</v>
      </c>
      <c r="AH52" s="33" t="s">
        <v>56</v>
      </c>
      <c r="AI52" s="33" t="s">
        <v>57</v>
      </c>
      <c r="AJ52" s="33" t="s">
        <v>58</v>
      </c>
      <c r="AK52" s="33" t="s">
        <v>56</v>
      </c>
      <c r="AL52" s="27"/>
      <c r="AM52" s="34" t="s">
        <v>57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1427</v>
      </c>
      <c r="C53" s="25" t="s">
        <v>1428</v>
      </c>
      <c r="D53" s="23" t="s">
        <v>1332</v>
      </c>
      <c r="E53" s="42">
        <v>46132</v>
      </c>
      <c r="F53" s="26" t="s">
        <v>55</v>
      </c>
      <c r="G53" s="26" t="s">
        <v>57</v>
      </c>
      <c r="H53" s="26" t="s">
        <v>57</v>
      </c>
      <c r="I53" s="26" t="s">
        <v>90</v>
      </c>
      <c r="J53" s="26" t="s">
        <v>57</v>
      </c>
      <c r="K53" s="27" t="s">
        <v>91</v>
      </c>
      <c r="L53" s="28" t="s">
        <v>56</v>
      </c>
      <c r="M53" s="29" t="str">
        <f t="shared" si="0"/>
        <v>⚠ Missing</v>
      </c>
      <c r="N53" s="42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 t="s">
        <v>61</v>
      </c>
      <c r="AG53" s="33" t="s">
        <v>55</v>
      </c>
      <c r="AH53" s="33" t="s">
        <v>56</v>
      </c>
      <c r="AI53" s="33" t="s">
        <v>57</v>
      </c>
      <c r="AJ53" s="33" t="s">
        <v>58</v>
      </c>
      <c r="AK53" s="33" t="s">
        <v>56</v>
      </c>
      <c r="AL53" s="27"/>
      <c r="AM53" s="34" t="s">
        <v>57</v>
      </c>
      <c r="AN53" s="35" t="str">
        <f t="shared" si="3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1429</v>
      </c>
      <c r="C54" s="41" t="s">
        <v>1430</v>
      </c>
      <c r="D54" s="39" t="s">
        <v>1332</v>
      </c>
      <c r="E54" s="42">
        <v>46132</v>
      </c>
      <c r="F54" s="26" t="s">
        <v>55</v>
      </c>
      <c r="G54" s="26" t="s">
        <v>57</v>
      </c>
      <c r="H54" s="26" t="s">
        <v>57</v>
      </c>
      <c r="I54" s="26" t="s">
        <v>90</v>
      </c>
      <c r="J54" s="26" t="s">
        <v>57</v>
      </c>
      <c r="K54" s="27" t="s">
        <v>91</v>
      </c>
      <c r="L54" s="28" t="s">
        <v>56</v>
      </c>
      <c r="M54" s="29" t="str">
        <f t="shared" si="0"/>
        <v>⚠ Missing</v>
      </c>
      <c r="N54" s="42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 t="s">
        <v>61</v>
      </c>
      <c r="AG54" s="33" t="s">
        <v>55</v>
      </c>
      <c r="AH54" s="33" t="s">
        <v>56</v>
      </c>
      <c r="AI54" s="33" t="s">
        <v>57</v>
      </c>
      <c r="AJ54" s="33" t="s">
        <v>58</v>
      </c>
      <c r="AK54" s="33" t="s">
        <v>56</v>
      </c>
      <c r="AL54" s="27"/>
      <c r="AM54" s="34" t="s">
        <v>57</v>
      </c>
      <c r="AN54" s="35" t="str">
        <f t="shared" si="3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1431</v>
      </c>
      <c r="C55" s="25" t="s">
        <v>1432</v>
      </c>
      <c r="D55" s="23" t="s">
        <v>1332</v>
      </c>
      <c r="E55" s="42">
        <v>46132</v>
      </c>
      <c r="F55" s="26" t="s">
        <v>55</v>
      </c>
      <c r="G55" s="26" t="s">
        <v>57</v>
      </c>
      <c r="H55" s="26" t="s">
        <v>57</v>
      </c>
      <c r="I55" s="26" t="s">
        <v>90</v>
      </c>
      <c r="J55" s="26" t="s">
        <v>57</v>
      </c>
      <c r="K55" s="27" t="s">
        <v>91</v>
      </c>
      <c r="L55" s="28" t="s">
        <v>56</v>
      </c>
      <c r="M55" s="29" t="str">
        <f t="shared" si="0"/>
        <v>⚠ Missing</v>
      </c>
      <c r="N55" s="42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 t="s">
        <v>61</v>
      </c>
      <c r="AG55" s="33" t="s">
        <v>55</v>
      </c>
      <c r="AH55" s="33" t="s">
        <v>56</v>
      </c>
      <c r="AI55" s="33" t="s">
        <v>57</v>
      </c>
      <c r="AJ55" s="33" t="s">
        <v>58</v>
      </c>
      <c r="AK55" s="33" t="s">
        <v>56</v>
      </c>
      <c r="AL55" s="27"/>
      <c r="AM55" s="34" t="s">
        <v>57</v>
      </c>
      <c r="AN55" s="35" t="str">
        <f t="shared" si="3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1433</v>
      </c>
      <c r="C56" s="41" t="s">
        <v>1434</v>
      </c>
      <c r="D56" s="39" t="s">
        <v>1332</v>
      </c>
      <c r="E56" s="42">
        <v>46132</v>
      </c>
      <c r="F56" s="26" t="s">
        <v>55</v>
      </c>
      <c r="G56" s="26" t="s">
        <v>57</v>
      </c>
      <c r="H56" s="26" t="s">
        <v>57</v>
      </c>
      <c r="I56" s="26" t="s">
        <v>90</v>
      </c>
      <c r="J56" s="26" t="s">
        <v>57</v>
      </c>
      <c r="K56" s="27" t="s">
        <v>91</v>
      </c>
      <c r="L56" s="28" t="s">
        <v>56</v>
      </c>
      <c r="M56" s="29" t="str">
        <f t="shared" si="0"/>
        <v>⚠ Missing</v>
      </c>
      <c r="N56" s="42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 t="s">
        <v>61</v>
      </c>
      <c r="AG56" s="33" t="s">
        <v>55</v>
      </c>
      <c r="AH56" s="33" t="s">
        <v>56</v>
      </c>
      <c r="AI56" s="33" t="s">
        <v>57</v>
      </c>
      <c r="AJ56" s="33" t="s">
        <v>58</v>
      </c>
      <c r="AK56" s="33" t="s">
        <v>56</v>
      </c>
      <c r="AL56" s="27"/>
      <c r="AM56" s="34" t="s">
        <v>57</v>
      </c>
      <c r="AN56" s="35" t="str">
        <f t="shared" si="3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1435</v>
      </c>
      <c r="C57" s="25" t="s">
        <v>1436</v>
      </c>
      <c r="D57" s="23" t="s">
        <v>1332</v>
      </c>
      <c r="E57" s="42">
        <v>46132</v>
      </c>
      <c r="F57" s="26" t="s">
        <v>55</v>
      </c>
      <c r="G57" s="26" t="s">
        <v>57</v>
      </c>
      <c r="H57" s="26" t="s">
        <v>57</v>
      </c>
      <c r="I57" s="26" t="s">
        <v>90</v>
      </c>
      <c r="J57" s="26" t="s">
        <v>57</v>
      </c>
      <c r="K57" s="27" t="s">
        <v>91</v>
      </c>
      <c r="L57" s="28" t="s">
        <v>56</v>
      </c>
      <c r="M57" s="29" t="str">
        <f t="shared" si="0"/>
        <v>⚠ Missing</v>
      </c>
      <c r="N57" s="42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 t="s">
        <v>61</v>
      </c>
      <c r="AG57" s="33" t="s">
        <v>55</v>
      </c>
      <c r="AH57" s="33" t="s">
        <v>56</v>
      </c>
      <c r="AI57" s="33" t="s">
        <v>57</v>
      </c>
      <c r="AJ57" s="33" t="s">
        <v>58</v>
      </c>
      <c r="AK57" s="33" t="s">
        <v>56</v>
      </c>
      <c r="AL57" s="27"/>
      <c r="AM57" s="34" t="s">
        <v>57</v>
      </c>
      <c r="AN57" s="35" t="str">
        <f t="shared" si="3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1437</v>
      </c>
      <c r="C58" s="41" t="s">
        <v>1438</v>
      </c>
      <c r="D58" s="39" t="s">
        <v>1332</v>
      </c>
      <c r="E58" s="42">
        <v>46132</v>
      </c>
      <c r="F58" s="26" t="s">
        <v>55</v>
      </c>
      <c r="G58" s="26" t="s">
        <v>57</v>
      </c>
      <c r="H58" s="26" t="s">
        <v>57</v>
      </c>
      <c r="I58" s="26" t="s">
        <v>90</v>
      </c>
      <c r="J58" s="26" t="s">
        <v>57</v>
      </c>
      <c r="K58" s="27" t="s">
        <v>91</v>
      </c>
      <c r="L58" s="28" t="s">
        <v>56</v>
      </c>
      <c r="M58" s="29" t="str">
        <f t="shared" si="0"/>
        <v>⚠ Missing</v>
      </c>
      <c r="N58" s="42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2"/>
        <v>✓ OK</v>
      </c>
      <c r="AF58" s="33" t="s">
        <v>61</v>
      </c>
      <c r="AG58" s="33" t="s">
        <v>55</v>
      </c>
      <c r="AH58" s="33" t="s">
        <v>56</v>
      </c>
      <c r="AI58" s="33" t="s">
        <v>57</v>
      </c>
      <c r="AJ58" s="33" t="s">
        <v>58</v>
      </c>
      <c r="AK58" s="33" t="s">
        <v>56</v>
      </c>
      <c r="AL58" s="27"/>
      <c r="AM58" s="34" t="s">
        <v>57</v>
      </c>
      <c r="AN58" s="35" t="str">
        <f t="shared" si="3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1439</v>
      </c>
      <c r="C59" s="25" t="s">
        <v>1440</v>
      </c>
      <c r="D59" s="23" t="s">
        <v>1332</v>
      </c>
      <c r="E59" s="42">
        <v>46132</v>
      </c>
      <c r="F59" s="26" t="s">
        <v>55</v>
      </c>
      <c r="G59" s="26" t="s">
        <v>57</v>
      </c>
      <c r="H59" s="26" t="s">
        <v>57</v>
      </c>
      <c r="I59" s="26" t="s">
        <v>90</v>
      </c>
      <c r="J59" s="26" t="s">
        <v>57</v>
      </c>
      <c r="K59" s="27" t="s">
        <v>91</v>
      </c>
      <c r="L59" s="28" t="s">
        <v>56</v>
      </c>
      <c r="M59" s="29" t="str">
        <f t="shared" si="0"/>
        <v>⚠ Missing</v>
      </c>
      <c r="N59" s="42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2"/>
        <v>✓ OK</v>
      </c>
      <c r="AF59" s="33" t="s">
        <v>61</v>
      </c>
      <c r="AG59" s="33" t="s">
        <v>55</v>
      </c>
      <c r="AH59" s="33" t="s">
        <v>56</v>
      </c>
      <c r="AI59" s="33" t="s">
        <v>57</v>
      </c>
      <c r="AJ59" s="33" t="s">
        <v>58</v>
      </c>
      <c r="AK59" s="33" t="s">
        <v>56</v>
      </c>
      <c r="AL59" s="27"/>
      <c r="AM59" s="34" t="s">
        <v>57</v>
      </c>
      <c r="AN59" s="35" t="str">
        <f t="shared" si="3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1441</v>
      </c>
      <c r="C60" s="41" t="s">
        <v>1442</v>
      </c>
      <c r="D60" s="39" t="s">
        <v>1332</v>
      </c>
      <c r="E60" s="42">
        <v>46132</v>
      </c>
      <c r="F60" s="26" t="s">
        <v>55</v>
      </c>
      <c r="G60" s="26" t="s">
        <v>57</v>
      </c>
      <c r="H60" s="26" t="s">
        <v>57</v>
      </c>
      <c r="I60" s="26" t="s">
        <v>90</v>
      </c>
      <c r="J60" s="26" t="s">
        <v>57</v>
      </c>
      <c r="K60" s="27" t="s">
        <v>91</v>
      </c>
      <c r="L60" s="28" t="s">
        <v>56</v>
      </c>
      <c r="M60" s="29" t="str">
        <f t="shared" si="0"/>
        <v>⚠ Missing</v>
      </c>
      <c r="N60" s="42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2"/>
        <v>✓ OK</v>
      </c>
      <c r="AF60" s="33" t="s">
        <v>61</v>
      </c>
      <c r="AG60" s="33" t="s">
        <v>55</v>
      </c>
      <c r="AH60" s="33" t="s">
        <v>56</v>
      </c>
      <c r="AI60" s="33" t="s">
        <v>57</v>
      </c>
      <c r="AJ60" s="33" t="s">
        <v>58</v>
      </c>
      <c r="AK60" s="33" t="s">
        <v>56</v>
      </c>
      <c r="AL60" s="27"/>
      <c r="AM60" s="34" t="s">
        <v>57</v>
      </c>
      <c r="AN60" s="35" t="str">
        <f t="shared" si="3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1443</v>
      </c>
      <c r="C61" s="25" t="s">
        <v>1444</v>
      </c>
      <c r="D61" s="23" t="s">
        <v>1332</v>
      </c>
      <c r="E61" s="42">
        <v>46132</v>
      </c>
      <c r="F61" s="26" t="s">
        <v>55</v>
      </c>
      <c r="G61" s="26" t="s">
        <v>57</v>
      </c>
      <c r="H61" s="26" t="s">
        <v>57</v>
      </c>
      <c r="I61" s="26" t="s">
        <v>90</v>
      </c>
      <c r="J61" s="26" t="s">
        <v>57</v>
      </c>
      <c r="K61" s="27" t="s">
        <v>91</v>
      </c>
      <c r="L61" s="28" t="s">
        <v>56</v>
      </c>
      <c r="M61" s="29" t="str">
        <f t="shared" si="0"/>
        <v>⚠ Missing</v>
      </c>
      <c r="N61" s="42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70">
        <v>46248</v>
      </c>
      <c r="X61" s="30" t="s">
        <v>55</v>
      </c>
      <c r="Y61" s="30" t="s">
        <v>56</v>
      </c>
      <c r="Z61" s="30" t="s">
        <v>57</v>
      </c>
      <c r="AA61" s="30" t="s">
        <v>58</v>
      </c>
      <c r="AB61" s="30" t="s">
        <v>56</v>
      </c>
      <c r="AC61" s="27"/>
      <c r="AD61" s="31" t="s">
        <v>57</v>
      </c>
      <c r="AE61" s="32" t="str">
        <f t="shared" si="2"/>
        <v>✓ OK</v>
      </c>
      <c r="AF61" s="33" t="s">
        <v>61</v>
      </c>
      <c r="AG61" s="33" t="s">
        <v>55</v>
      </c>
      <c r="AH61" s="33" t="s">
        <v>56</v>
      </c>
      <c r="AI61" s="33" t="s">
        <v>57</v>
      </c>
      <c r="AJ61" s="33" t="s">
        <v>58</v>
      </c>
      <c r="AK61" s="33" t="s">
        <v>56</v>
      </c>
      <c r="AL61" s="27"/>
      <c r="AM61" s="34" t="s">
        <v>57</v>
      </c>
      <c r="AN61" s="35" t="str">
        <f t="shared" si="3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1445</v>
      </c>
      <c r="C62" s="41" t="s">
        <v>1446</v>
      </c>
      <c r="D62" s="39" t="s">
        <v>1332</v>
      </c>
      <c r="E62" s="42">
        <v>46132</v>
      </c>
      <c r="F62" s="26" t="s">
        <v>55</v>
      </c>
      <c r="G62" s="26" t="s">
        <v>57</v>
      </c>
      <c r="H62" s="26" t="s">
        <v>57</v>
      </c>
      <c r="I62" s="26" t="s">
        <v>90</v>
      </c>
      <c r="J62" s="26" t="s">
        <v>57</v>
      </c>
      <c r="K62" s="27" t="s">
        <v>91</v>
      </c>
      <c r="L62" s="28" t="s">
        <v>56</v>
      </c>
      <c r="M62" s="29" t="str">
        <f t="shared" si="0"/>
        <v>⚠ Missing</v>
      </c>
      <c r="N62" s="42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2"/>
        <v>✓ OK</v>
      </c>
      <c r="AF62" s="33" t="s">
        <v>61</v>
      </c>
      <c r="AG62" s="33" t="s">
        <v>55</v>
      </c>
      <c r="AH62" s="33" t="s">
        <v>56</v>
      </c>
      <c r="AI62" s="33" t="s">
        <v>57</v>
      </c>
      <c r="AJ62" s="33" t="s">
        <v>58</v>
      </c>
      <c r="AK62" s="33" t="s">
        <v>56</v>
      </c>
      <c r="AL62" s="27"/>
      <c r="AM62" s="34" t="s">
        <v>57</v>
      </c>
      <c r="AN62" s="35" t="str">
        <f t="shared" si="3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1447</v>
      </c>
      <c r="C63" s="25" t="s">
        <v>1448</v>
      </c>
      <c r="D63" s="23" t="s">
        <v>1332</v>
      </c>
      <c r="E63" s="42">
        <v>46132</v>
      </c>
      <c r="F63" s="26" t="s">
        <v>55</v>
      </c>
      <c r="G63" s="26" t="s">
        <v>57</v>
      </c>
      <c r="H63" s="26" t="s">
        <v>57</v>
      </c>
      <c r="I63" s="26" t="s">
        <v>90</v>
      </c>
      <c r="J63" s="26" t="s">
        <v>57</v>
      </c>
      <c r="K63" s="27" t="s">
        <v>91</v>
      </c>
      <c r="L63" s="28" t="s">
        <v>56</v>
      </c>
      <c r="M63" s="29" t="str">
        <f t="shared" si="0"/>
        <v>⚠ Missing</v>
      </c>
      <c r="N63" s="42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57</v>
      </c>
      <c r="AE63" s="32" t="str">
        <f t="shared" si="2"/>
        <v>✓ OK</v>
      </c>
      <c r="AF63" s="33" t="s">
        <v>61</v>
      </c>
      <c r="AG63" s="33" t="s">
        <v>55</v>
      </c>
      <c r="AH63" s="33" t="s">
        <v>56</v>
      </c>
      <c r="AI63" s="33" t="s">
        <v>57</v>
      </c>
      <c r="AJ63" s="33" t="s">
        <v>58</v>
      </c>
      <c r="AK63" s="33" t="s">
        <v>56</v>
      </c>
      <c r="AL63" s="27"/>
      <c r="AM63" s="34" t="s">
        <v>57</v>
      </c>
      <c r="AN63" s="35" t="str">
        <f t="shared" si="3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1449</v>
      </c>
      <c r="C64" s="41" t="s">
        <v>1450</v>
      </c>
      <c r="D64" s="39" t="s">
        <v>1332</v>
      </c>
      <c r="E64" s="42">
        <v>46132</v>
      </c>
      <c r="F64" s="26" t="s">
        <v>55</v>
      </c>
      <c r="G64" s="26" t="s">
        <v>57</v>
      </c>
      <c r="H64" s="26" t="s">
        <v>57</v>
      </c>
      <c r="I64" s="26" t="s">
        <v>90</v>
      </c>
      <c r="J64" s="26" t="s">
        <v>57</v>
      </c>
      <c r="K64" s="27" t="s">
        <v>91</v>
      </c>
      <c r="L64" s="28" t="s">
        <v>56</v>
      </c>
      <c r="M64" s="29" t="str">
        <f t="shared" si="0"/>
        <v>⚠ Missing</v>
      </c>
      <c r="N64" s="42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2"/>
        <v>✓ OK</v>
      </c>
      <c r="AF64" s="33" t="s">
        <v>61</v>
      </c>
      <c r="AG64" s="33" t="s">
        <v>55</v>
      </c>
      <c r="AH64" s="33" t="s">
        <v>56</v>
      </c>
      <c r="AI64" s="33" t="s">
        <v>57</v>
      </c>
      <c r="AJ64" s="33" t="s">
        <v>58</v>
      </c>
      <c r="AK64" s="33" t="s">
        <v>56</v>
      </c>
      <c r="AL64" s="27"/>
      <c r="AM64" s="34" t="s">
        <v>57</v>
      </c>
      <c r="AN64" s="35" t="str">
        <f t="shared" si="3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1451</v>
      </c>
      <c r="C65" s="25" t="s">
        <v>1452</v>
      </c>
      <c r="D65" s="23" t="s">
        <v>1332</v>
      </c>
      <c r="E65" s="42">
        <v>46132</v>
      </c>
      <c r="F65" s="26" t="s">
        <v>55</v>
      </c>
      <c r="G65" s="26" t="s">
        <v>57</v>
      </c>
      <c r="H65" s="26" t="s">
        <v>57</v>
      </c>
      <c r="I65" s="26" t="s">
        <v>90</v>
      </c>
      <c r="J65" s="26" t="s">
        <v>57</v>
      </c>
      <c r="K65" s="27" t="s">
        <v>91</v>
      </c>
      <c r="L65" s="28" t="s">
        <v>56</v>
      </c>
      <c r="M65" s="29" t="str">
        <f t="shared" si="0"/>
        <v>⚠ Missing</v>
      </c>
      <c r="N65" s="42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58</v>
      </c>
      <c r="AB65" s="30" t="s">
        <v>56</v>
      </c>
      <c r="AC65" s="27"/>
      <c r="AD65" s="31" t="s">
        <v>57</v>
      </c>
      <c r="AE65" s="32" t="str">
        <f t="shared" si="2"/>
        <v>✓ OK</v>
      </c>
      <c r="AF65" s="33" t="s">
        <v>61</v>
      </c>
      <c r="AG65" s="33" t="s">
        <v>55</v>
      </c>
      <c r="AH65" s="33" t="s">
        <v>56</v>
      </c>
      <c r="AI65" s="33" t="s">
        <v>57</v>
      </c>
      <c r="AJ65" s="33" t="s">
        <v>58</v>
      </c>
      <c r="AK65" s="33" t="s">
        <v>56</v>
      </c>
      <c r="AL65" s="27"/>
      <c r="AM65" s="34" t="s">
        <v>57</v>
      </c>
      <c r="AN65" s="35" t="str">
        <f t="shared" si="3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1453</v>
      </c>
      <c r="C66" s="41" t="s">
        <v>1454</v>
      </c>
      <c r="D66" s="39" t="s">
        <v>1332</v>
      </c>
      <c r="E66" s="42">
        <v>46132</v>
      </c>
      <c r="F66" s="26" t="s">
        <v>55</v>
      </c>
      <c r="G66" s="26" t="s">
        <v>57</v>
      </c>
      <c r="H66" s="26" t="s">
        <v>57</v>
      </c>
      <c r="I66" s="26" t="s">
        <v>90</v>
      </c>
      <c r="J66" s="26" t="s">
        <v>57</v>
      </c>
      <c r="K66" s="27" t="s">
        <v>91</v>
      </c>
      <c r="L66" s="28" t="s">
        <v>56</v>
      </c>
      <c r="M66" s="29" t="str">
        <f t="shared" si="0"/>
        <v>⚠ Missing</v>
      </c>
      <c r="N66" s="42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2"/>
        <v>✓ OK</v>
      </c>
      <c r="AF66" s="33" t="s">
        <v>61</v>
      </c>
      <c r="AG66" s="33" t="s">
        <v>55</v>
      </c>
      <c r="AH66" s="33" t="s">
        <v>56</v>
      </c>
      <c r="AI66" s="33" t="s">
        <v>57</v>
      </c>
      <c r="AJ66" s="33" t="s">
        <v>58</v>
      </c>
      <c r="AK66" s="33" t="s">
        <v>56</v>
      </c>
      <c r="AL66" s="27"/>
      <c r="AM66" s="34" t="s">
        <v>57</v>
      </c>
      <c r="AN66" s="35" t="str">
        <f t="shared" si="3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1455</v>
      </c>
      <c r="C67" s="25" t="s">
        <v>1456</v>
      </c>
      <c r="D67" s="23" t="s">
        <v>1332</v>
      </c>
      <c r="E67" s="42">
        <v>46132</v>
      </c>
      <c r="F67" s="26" t="s">
        <v>55</v>
      </c>
      <c r="G67" s="26" t="s">
        <v>57</v>
      </c>
      <c r="H67" s="26" t="s">
        <v>57</v>
      </c>
      <c r="I67" s="26" t="s">
        <v>90</v>
      </c>
      <c r="J67" s="26" t="s">
        <v>57</v>
      </c>
      <c r="K67" s="27" t="s">
        <v>91</v>
      </c>
      <c r="L67" s="28" t="s">
        <v>56</v>
      </c>
      <c r="M67" s="29" t="str">
        <f t="shared" si="0"/>
        <v>⚠ Missing</v>
      </c>
      <c r="N67" s="42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2"/>
        <v>✓ OK</v>
      </c>
      <c r="AF67" s="33" t="s">
        <v>61</v>
      </c>
      <c r="AG67" s="33" t="s">
        <v>55</v>
      </c>
      <c r="AH67" s="33" t="s">
        <v>56</v>
      </c>
      <c r="AI67" s="33" t="s">
        <v>57</v>
      </c>
      <c r="AJ67" s="33" t="s">
        <v>58</v>
      </c>
      <c r="AK67" s="33" t="s">
        <v>56</v>
      </c>
      <c r="AL67" s="27"/>
      <c r="AM67" s="34" t="s">
        <v>57</v>
      </c>
      <c r="AN67" s="35" t="str">
        <f t="shared" si="3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1457</v>
      </c>
      <c r="C68" s="41" t="s">
        <v>1458</v>
      </c>
      <c r="D68" s="39" t="s">
        <v>1332</v>
      </c>
      <c r="E68" s="42">
        <v>46132</v>
      </c>
      <c r="F68" s="26" t="s">
        <v>55</v>
      </c>
      <c r="G68" s="26" t="s">
        <v>57</v>
      </c>
      <c r="H68" s="26" t="s">
        <v>57</v>
      </c>
      <c r="I68" s="26" t="s">
        <v>90</v>
      </c>
      <c r="J68" s="26" t="s">
        <v>57</v>
      </c>
      <c r="K68" s="27" t="s">
        <v>91</v>
      </c>
      <c r="L68" s="28" t="s">
        <v>56</v>
      </c>
      <c r="M68" s="29" t="str">
        <f t="shared" si="0"/>
        <v>⚠ Missing</v>
      </c>
      <c r="N68" s="42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2"/>
        <v>✓ OK</v>
      </c>
      <c r="AF68" s="33" t="s">
        <v>61</v>
      </c>
      <c r="AG68" s="33" t="s">
        <v>55</v>
      </c>
      <c r="AH68" s="33" t="s">
        <v>56</v>
      </c>
      <c r="AI68" s="33" t="s">
        <v>57</v>
      </c>
      <c r="AJ68" s="33" t="s">
        <v>58</v>
      </c>
      <c r="AK68" s="33" t="s">
        <v>56</v>
      </c>
      <c r="AL68" s="27"/>
      <c r="AM68" s="34" t="s">
        <v>57</v>
      </c>
      <c r="AN68" s="35" t="str">
        <f t="shared" si="3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1459</v>
      </c>
      <c r="C69" s="25" t="s">
        <v>1460</v>
      </c>
      <c r="D69" s="23" t="s">
        <v>1332</v>
      </c>
      <c r="E69" s="42">
        <v>46132</v>
      </c>
      <c r="F69" s="26" t="s">
        <v>55</v>
      </c>
      <c r="G69" s="26" t="s">
        <v>57</v>
      </c>
      <c r="H69" s="26" t="s">
        <v>57</v>
      </c>
      <c r="I69" s="26" t="s">
        <v>90</v>
      </c>
      <c r="J69" s="26" t="s">
        <v>57</v>
      </c>
      <c r="K69" s="27" t="s">
        <v>91</v>
      </c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✓ OK</v>
      </c>
      <c r="AF69" s="33" t="s">
        <v>61</v>
      </c>
      <c r="AG69" s="33" t="s">
        <v>55</v>
      </c>
      <c r="AH69" s="33" t="s">
        <v>56</v>
      </c>
      <c r="AI69" s="33" t="s">
        <v>57</v>
      </c>
      <c r="AJ69" s="33" t="s">
        <v>58</v>
      </c>
      <c r="AK69" s="33" t="s">
        <v>56</v>
      </c>
      <c r="AL69" s="27"/>
      <c r="AM69" s="34" t="s">
        <v>57</v>
      </c>
      <c r="AN69" s="35" t="str">
        <f t="shared" ref="AN69:AN132" si="8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1461</v>
      </c>
      <c r="C70" s="41" t="s">
        <v>1462</v>
      </c>
      <c r="D70" s="39" t="s">
        <v>1332</v>
      </c>
      <c r="E70" s="42">
        <v>46132</v>
      </c>
      <c r="F70" s="26" t="s">
        <v>55</v>
      </c>
      <c r="G70" s="26" t="s">
        <v>57</v>
      </c>
      <c r="H70" s="26" t="s">
        <v>57</v>
      </c>
      <c r="I70" s="26" t="s">
        <v>90</v>
      </c>
      <c r="J70" s="26" t="s">
        <v>57</v>
      </c>
      <c r="K70" s="27" t="s">
        <v>91</v>
      </c>
      <c r="L70" s="28" t="s">
        <v>56</v>
      </c>
      <c r="M70" s="29" t="str">
        <f t="shared" si="5"/>
        <v>⚠ Missing</v>
      </c>
      <c r="N70" s="42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56</v>
      </c>
      <c r="AC70" s="27"/>
      <c r="AD70" s="31" t="s">
        <v>57</v>
      </c>
      <c r="AE70" s="32" t="str">
        <f t="shared" si="7"/>
        <v>✓ OK</v>
      </c>
      <c r="AF70" s="33" t="s">
        <v>61</v>
      </c>
      <c r="AG70" s="33" t="s">
        <v>55</v>
      </c>
      <c r="AH70" s="33" t="s">
        <v>56</v>
      </c>
      <c r="AI70" s="33" t="s">
        <v>57</v>
      </c>
      <c r="AJ70" s="33" t="s">
        <v>58</v>
      </c>
      <c r="AK70" s="33" t="s">
        <v>56</v>
      </c>
      <c r="AL70" s="27"/>
      <c r="AM70" s="34" t="s">
        <v>57</v>
      </c>
      <c r="AN70" s="35" t="str">
        <f t="shared" si="8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1463</v>
      </c>
      <c r="C71" s="25" t="s">
        <v>1464</v>
      </c>
      <c r="D71" s="23" t="s">
        <v>1332</v>
      </c>
      <c r="E71" s="42">
        <v>46132</v>
      </c>
      <c r="F71" s="26" t="s">
        <v>55</v>
      </c>
      <c r="G71" s="26" t="s">
        <v>57</v>
      </c>
      <c r="H71" s="26" t="s">
        <v>57</v>
      </c>
      <c r="I71" s="26" t="s">
        <v>90</v>
      </c>
      <c r="J71" s="26" t="s">
        <v>57</v>
      </c>
      <c r="K71" s="27" t="s">
        <v>91</v>
      </c>
      <c r="L71" s="28" t="s">
        <v>56</v>
      </c>
      <c r="M71" s="29" t="str">
        <f t="shared" si="5"/>
        <v>⚠ Missing</v>
      </c>
      <c r="N71" s="42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7"/>
        <v>✓ OK</v>
      </c>
      <c r="AF71" s="33" t="s">
        <v>61</v>
      </c>
      <c r="AG71" s="33" t="s">
        <v>55</v>
      </c>
      <c r="AH71" s="33" t="s">
        <v>56</v>
      </c>
      <c r="AI71" s="33" t="s">
        <v>57</v>
      </c>
      <c r="AJ71" s="33" t="s">
        <v>58</v>
      </c>
      <c r="AK71" s="33" t="s">
        <v>56</v>
      </c>
      <c r="AL71" s="27"/>
      <c r="AM71" s="34" t="s">
        <v>57</v>
      </c>
      <c r="AN71" s="35" t="str">
        <f t="shared" si="8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1465</v>
      </c>
      <c r="C72" s="41" t="s">
        <v>1466</v>
      </c>
      <c r="D72" s="39" t="s">
        <v>1332</v>
      </c>
      <c r="E72" s="42">
        <v>46132</v>
      </c>
      <c r="F72" s="26" t="s">
        <v>55</v>
      </c>
      <c r="G72" s="26" t="s">
        <v>57</v>
      </c>
      <c r="H72" s="26" t="s">
        <v>57</v>
      </c>
      <c r="I72" s="26" t="s">
        <v>90</v>
      </c>
      <c r="J72" s="26" t="s">
        <v>57</v>
      </c>
      <c r="K72" s="27" t="s">
        <v>91</v>
      </c>
      <c r="L72" s="28" t="s">
        <v>56</v>
      </c>
      <c r="M72" s="29" t="str">
        <f t="shared" si="5"/>
        <v>⚠ Missing</v>
      </c>
      <c r="N72" s="42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7"/>
        <v>✓ OK</v>
      </c>
      <c r="AF72" s="33" t="s">
        <v>61</v>
      </c>
      <c r="AG72" s="33" t="s">
        <v>55</v>
      </c>
      <c r="AH72" s="33" t="s">
        <v>56</v>
      </c>
      <c r="AI72" s="33" t="s">
        <v>57</v>
      </c>
      <c r="AJ72" s="33" t="s">
        <v>58</v>
      </c>
      <c r="AK72" s="33" t="s">
        <v>56</v>
      </c>
      <c r="AL72" s="27"/>
      <c r="AM72" s="34" t="s">
        <v>57</v>
      </c>
      <c r="AN72" s="35" t="str">
        <f t="shared" si="8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1467</v>
      </c>
      <c r="C73" s="25" t="s">
        <v>1468</v>
      </c>
      <c r="D73" s="23" t="s">
        <v>1332</v>
      </c>
      <c r="E73" s="42">
        <v>46132</v>
      </c>
      <c r="F73" s="26" t="s">
        <v>55</v>
      </c>
      <c r="G73" s="26" t="s">
        <v>57</v>
      </c>
      <c r="H73" s="26" t="s">
        <v>57</v>
      </c>
      <c r="I73" s="26" t="s">
        <v>90</v>
      </c>
      <c r="J73" s="26" t="s">
        <v>57</v>
      </c>
      <c r="K73" s="27" t="s">
        <v>91</v>
      </c>
      <c r="L73" s="28" t="s">
        <v>56</v>
      </c>
      <c r="M73" s="29" t="str">
        <f t="shared" si="5"/>
        <v>⚠ Missing</v>
      </c>
      <c r="N73" s="42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57</v>
      </c>
      <c r="AE73" s="32" t="str">
        <f t="shared" si="7"/>
        <v>✓ OK</v>
      </c>
      <c r="AF73" s="33" t="s">
        <v>61</v>
      </c>
      <c r="AG73" s="33" t="s">
        <v>55</v>
      </c>
      <c r="AH73" s="33" t="s">
        <v>56</v>
      </c>
      <c r="AI73" s="33" t="s">
        <v>57</v>
      </c>
      <c r="AJ73" s="33" t="s">
        <v>58</v>
      </c>
      <c r="AK73" s="33" t="s">
        <v>56</v>
      </c>
      <c r="AL73" s="27"/>
      <c r="AM73" s="34" t="s">
        <v>57</v>
      </c>
      <c r="AN73" s="35" t="str">
        <f t="shared" si="8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1469</v>
      </c>
      <c r="C74" s="41" t="s">
        <v>1470</v>
      </c>
      <c r="D74" s="39" t="s">
        <v>1332</v>
      </c>
      <c r="E74" s="42">
        <v>46132</v>
      </c>
      <c r="F74" s="26" t="s">
        <v>55</v>
      </c>
      <c r="G74" s="26" t="s">
        <v>57</v>
      </c>
      <c r="H74" s="26" t="s">
        <v>57</v>
      </c>
      <c r="I74" s="26" t="s">
        <v>90</v>
      </c>
      <c r="J74" s="26" t="s">
        <v>57</v>
      </c>
      <c r="K74" s="27" t="s">
        <v>91</v>
      </c>
      <c r="L74" s="28" t="s">
        <v>56</v>
      </c>
      <c r="M74" s="29" t="str">
        <f t="shared" si="5"/>
        <v>⚠ Missing</v>
      </c>
      <c r="N74" s="42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58</v>
      </c>
      <c r="AB74" s="30" t="s">
        <v>56</v>
      </c>
      <c r="AC74" s="27"/>
      <c r="AD74" s="31" t="s">
        <v>57</v>
      </c>
      <c r="AE74" s="32" t="str">
        <f t="shared" si="7"/>
        <v>✓ OK</v>
      </c>
      <c r="AF74" s="33" t="s">
        <v>61</v>
      </c>
      <c r="AG74" s="33" t="s">
        <v>55</v>
      </c>
      <c r="AH74" s="33" t="s">
        <v>56</v>
      </c>
      <c r="AI74" s="33" t="s">
        <v>57</v>
      </c>
      <c r="AJ74" s="33" t="s">
        <v>58</v>
      </c>
      <c r="AK74" s="33" t="s">
        <v>56</v>
      </c>
      <c r="AL74" s="27"/>
      <c r="AM74" s="34" t="s">
        <v>57</v>
      </c>
      <c r="AN74" s="35" t="str">
        <f t="shared" si="8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1471</v>
      </c>
      <c r="C75" s="25" t="s">
        <v>1472</v>
      </c>
      <c r="D75" s="23" t="s">
        <v>1332</v>
      </c>
      <c r="E75" s="42">
        <v>46132</v>
      </c>
      <c r="F75" s="26" t="s">
        <v>55</v>
      </c>
      <c r="G75" s="26" t="s">
        <v>57</v>
      </c>
      <c r="H75" s="26" t="s">
        <v>57</v>
      </c>
      <c r="I75" s="26" t="s">
        <v>90</v>
      </c>
      <c r="J75" s="26" t="s">
        <v>57</v>
      </c>
      <c r="K75" s="27" t="s">
        <v>91</v>
      </c>
      <c r="L75" s="28" t="s">
        <v>56</v>
      </c>
      <c r="M75" s="29" t="str">
        <f t="shared" si="5"/>
        <v>⚠ Missing</v>
      </c>
      <c r="N75" s="42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7"/>
        <v>✓ OK</v>
      </c>
      <c r="AF75" s="33" t="s">
        <v>61</v>
      </c>
      <c r="AG75" s="33" t="s">
        <v>55</v>
      </c>
      <c r="AH75" s="33" t="s">
        <v>56</v>
      </c>
      <c r="AI75" s="33" t="s">
        <v>57</v>
      </c>
      <c r="AJ75" s="33" t="s">
        <v>58</v>
      </c>
      <c r="AK75" s="33" t="s">
        <v>56</v>
      </c>
      <c r="AL75" s="27"/>
      <c r="AM75" s="34" t="s">
        <v>57</v>
      </c>
      <c r="AN75" s="35" t="str">
        <f t="shared" si="8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1473</v>
      </c>
      <c r="C76" s="41" t="s">
        <v>1474</v>
      </c>
      <c r="D76" s="39" t="s">
        <v>1332</v>
      </c>
      <c r="E76" s="42">
        <v>46132</v>
      </c>
      <c r="F76" s="26" t="s">
        <v>55</v>
      </c>
      <c r="G76" s="26" t="s">
        <v>57</v>
      </c>
      <c r="H76" s="26" t="s">
        <v>57</v>
      </c>
      <c r="I76" s="26" t="s">
        <v>90</v>
      </c>
      <c r="J76" s="26" t="s">
        <v>57</v>
      </c>
      <c r="K76" s="27" t="s">
        <v>91</v>
      </c>
      <c r="L76" s="28" t="s">
        <v>56</v>
      </c>
      <c r="M76" s="29" t="str">
        <f t="shared" si="5"/>
        <v>⚠ Missing</v>
      </c>
      <c r="N76" s="42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7"/>
        <v>✓ OK</v>
      </c>
      <c r="AF76" s="33" t="s">
        <v>61</v>
      </c>
      <c r="AG76" s="33" t="s">
        <v>55</v>
      </c>
      <c r="AH76" s="33" t="s">
        <v>56</v>
      </c>
      <c r="AI76" s="33" t="s">
        <v>57</v>
      </c>
      <c r="AJ76" s="33" t="s">
        <v>58</v>
      </c>
      <c r="AK76" s="33" t="s">
        <v>56</v>
      </c>
      <c r="AL76" s="27"/>
      <c r="AM76" s="34" t="s">
        <v>57</v>
      </c>
      <c r="AN76" s="35" t="str">
        <f t="shared" si="8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1475</v>
      </c>
      <c r="C77" s="25" t="s">
        <v>1476</v>
      </c>
      <c r="D77" s="23" t="s">
        <v>1332</v>
      </c>
      <c r="E77" s="42">
        <v>46132</v>
      </c>
      <c r="F77" s="26" t="s">
        <v>55</v>
      </c>
      <c r="G77" s="26" t="s">
        <v>57</v>
      </c>
      <c r="H77" s="26" t="s">
        <v>57</v>
      </c>
      <c r="I77" s="26" t="s">
        <v>90</v>
      </c>
      <c r="J77" s="26" t="s">
        <v>57</v>
      </c>
      <c r="K77" s="27" t="s">
        <v>91</v>
      </c>
      <c r="L77" s="28" t="s">
        <v>56</v>
      </c>
      <c r="M77" s="29" t="str">
        <f t="shared" si="5"/>
        <v>⚠ Missing</v>
      </c>
      <c r="N77" s="42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7"/>
        <v>✓ OK</v>
      </c>
      <c r="AF77" s="33" t="s">
        <v>61</v>
      </c>
      <c r="AG77" s="33" t="s">
        <v>55</v>
      </c>
      <c r="AH77" s="33" t="s">
        <v>56</v>
      </c>
      <c r="AI77" s="33" t="s">
        <v>57</v>
      </c>
      <c r="AJ77" s="33" t="s">
        <v>58</v>
      </c>
      <c r="AK77" s="33" t="s">
        <v>56</v>
      </c>
      <c r="AL77" s="27"/>
      <c r="AM77" s="34" t="s">
        <v>57</v>
      </c>
      <c r="AN77" s="35" t="str">
        <f t="shared" si="8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1477</v>
      </c>
      <c r="C78" s="41" t="s">
        <v>1478</v>
      </c>
      <c r="D78" s="39" t="s">
        <v>1332</v>
      </c>
      <c r="E78" s="42">
        <v>46132</v>
      </c>
      <c r="F78" s="26" t="s">
        <v>55</v>
      </c>
      <c r="G78" s="26" t="s">
        <v>57</v>
      </c>
      <c r="H78" s="26" t="s">
        <v>57</v>
      </c>
      <c r="I78" s="26" t="s">
        <v>90</v>
      </c>
      <c r="J78" s="26" t="s">
        <v>57</v>
      </c>
      <c r="K78" s="27" t="s">
        <v>91</v>
      </c>
      <c r="L78" s="28" t="s">
        <v>56</v>
      </c>
      <c r="M78" s="29" t="str">
        <f t="shared" si="5"/>
        <v>⚠ Missing</v>
      </c>
      <c r="N78" s="42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7"/>
        <v>✓ OK</v>
      </c>
      <c r="AF78" s="33" t="s">
        <v>61</v>
      </c>
      <c r="AG78" s="33" t="s">
        <v>55</v>
      </c>
      <c r="AH78" s="33" t="s">
        <v>56</v>
      </c>
      <c r="AI78" s="33" t="s">
        <v>57</v>
      </c>
      <c r="AJ78" s="33" t="s">
        <v>58</v>
      </c>
      <c r="AK78" s="33" t="s">
        <v>56</v>
      </c>
      <c r="AL78" s="27"/>
      <c r="AM78" s="34" t="s">
        <v>57</v>
      </c>
      <c r="AN78" s="35" t="str">
        <f t="shared" si="8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1479</v>
      </c>
      <c r="C79" s="25" t="s">
        <v>1480</v>
      </c>
      <c r="D79" s="23" t="s">
        <v>1332</v>
      </c>
      <c r="E79" s="42">
        <v>46132</v>
      </c>
      <c r="F79" s="26" t="s">
        <v>55</v>
      </c>
      <c r="G79" s="26" t="s">
        <v>57</v>
      </c>
      <c r="H79" s="26" t="s">
        <v>57</v>
      </c>
      <c r="I79" s="26" t="s">
        <v>90</v>
      </c>
      <c r="J79" s="26" t="s">
        <v>57</v>
      </c>
      <c r="K79" s="27" t="s">
        <v>91</v>
      </c>
      <c r="L79" s="28" t="s">
        <v>56</v>
      </c>
      <c r="M79" s="29" t="str">
        <f t="shared" si="5"/>
        <v>⚠ Missing</v>
      </c>
      <c r="N79" s="42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70">
        <v>46248</v>
      </c>
      <c r="X79" s="30" t="s">
        <v>55</v>
      </c>
      <c r="Y79" s="30" t="s">
        <v>56</v>
      </c>
      <c r="Z79" s="30" t="s">
        <v>57</v>
      </c>
      <c r="AA79" s="30" t="s">
        <v>58</v>
      </c>
      <c r="AB79" s="30" t="s">
        <v>56</v>
      </c>
      <c r="AC79" s="27"/>
      <c r="AD79" s="31" t="s">
        <v>57</v>
      </c>
      <c r="AE79" s="32" t="str">
        <f t="shared" si="7"/>
        <v>✓ OK</v>
      </c>
      <c r="AF79" s="33" t="s">
        <v>61</v>
      </c>
      <c r="AG79" s="33" t="s">
        <v>55</v>
      </c>
      <c r="AH79" s="33" t="s">
        <v>56</v>
      </c>
      <c r="AI79" s="33" t="s">
        <v>57</v>
      </c>
      <c r="AJ79" s="33" t="s">
        <v>58</v>
      </c>
      <c r="AK79" s="33" t="s">
        <v>56</v>
      </c>
      <c r="AL79" s="27"/>
      <c r="AM79" s="34" t="s">
        <v>57</v>
      </c>
      <c r="AN79" s="35" t="str">
        <f t="shared" si="8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1481</v>
      </c>
      <c r="C80" s="41" t="s">
        <v>1482</v>
      </c>
      <c r="D80" s="39" t="s">
        <v>1332</v>
      </c>
      <c r="E80" s="42">
        <v>46132</v>
      </c>
      <c r="F80" s="26" t="s">
        <v>55</v>
      </c>
      <c r="G80" s="26" t="s">
        <v>57</v>
      </c>
      <c r="H80" s="26" t="s">
        <v>57</v>
      </c>
      <c r="I80" s="26" t="s">
        <v>90</v>
      </c>
      <c r="J80" s="26" t="s">
        <v>57</v>
      </c>
      <c r="K80" s="27" t="s">
        <v>91</v>
      </c>
      <c r="L80" s="28" t="s">
        <v>56</v>
      </c>
      <c r="M80" s="29" t="str">
        <f t="shared" si="5"/>
        <v>⚠ Missing</v>
      </c>
      <c r="N80" s="42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70">
        <v>46248</v>
      </c>
      <c r="X80" s="30" t="s">
        <v>55</v>
      </c>
      <c r="Y80" s="30" t="s">
        <v>56</v>
      </c>
      <c r="Z80" s="30" t="s">
        <v>57</v>
      </c>
      <c r="AA80" s="30" t="s">
        <v>58</v>
      </c>
      <c r="AB80" s="30" t="s">
        <v>56</v>
      </c>
      <c r="AC80" s="27"/>
      <c r="AD80" s="31" t="s">
        <v>57</v>
      </c>
      <c r="AE80" s="32" t="str">
        <f t="shared" si="7"/>
        <v>✓ OK</v>
      </c>
      <c r="AF80" s="33" t="s">
        <v>61</v>
      </c>
      <c r="AG80" s="33" t="s">
        <v>55</v>
      </c>
      <c r="AH80" s="33" t="s">
        <v>56</v>
      </c>
      <c r="AI80" s="33" t="s">
        <v>57</v>
      </c>
      <c r="AJ80" s="33" t="s">
        <v>58</v>
      </c>
      <c r="AK80" s="33" t="s">
        <v>56</v>
      </c>
      <c r="AL80" s="27"/>
      <c r="AM80" s="34" t="s">
        <v>57</v>
      </c>
      <c r="AN80" s="35" t="str">
        <f t="shared" si="8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1483</v>
      </c>
      <c r="C81" s="25" t="s">
        <v>1484</v>
      </c>
      <c r="D81" s="23" t="s">
        <v>1332</v>
      </c>
      <c r="E81" s="42">
        <v>46132</v>
      </c>
      <c r="F81" s="26" t="s">
        <v>55</v>
      </c>
      <c r="G81" s="26" t="s">
        <v>57</v>
      </c>
      <c r="H81" s="26" t="s">
        <v>57</v>
      </c>
      <c r="I81" s="26" t="s">
        <v>90</v>
      </c>
      <c r="J81" s="26" t="s">
        <v>57</v>
      </c>
      <c r="K81" s="27" t="s">
        <v>91</v>
      </c>
      <c r="L81" s="28" t="s">
        <v>56</v>
      </c>
      <c r="M81" s="29" t="str">
        <f t="shared" si="5"/>
        <v>⚠ Missing</v>
      </c>
      <c r="N81" s="42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70">
        <v>46248</v>
      </c>
      <c r="X81" s="30" t="s">
        <v>55</v>
      </c>
      <c r="Y81" s="30" t="s">
        <v>56</v>
      </c>
      <c r="Z81" s="30" t="s">
        <v>57</v>
      </c>
      <c r="AA81" s="30" t="s">
        <v>58</v>
      </c>
      <c r="AB81" s="30" t="s">
        <v>56</v>
      </c>
      <c r="AC81" s="27"/>
      <c r="AD81" s="31" t="s">
        <v>57</v>
      </c>
      <c r="AE81" s="32" t="str">
        <f t="shared" si="7"/>
        <v>✓ OK</v>
      </c>
      <c r="AF81" s="33" t="s">
        <v>61</v>
      </c>
      <c r="AG81" s="33" t="s">
        <v>55</v>
      </c>
      <c r="AH81" s="33" t="s">
        <v>56</v>
      </c>
      <c r="AI81" s="33" t="s">
        <v>57</v>
      </c>
      <c r="AJ81" s="33" t="s">
        <v>58</v>
      </c>
      <c r="AK81" s="33" t="s">
        <v>56</v>
      </c>
      <c r="AL81" s="27"/>
      <c r="AM81" s="34" t="s">
        <v>57</v>
      </c>
      <c r="AN81" s="35" t="str">
        <f t="shared" si="8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1485</v>
      </c>
      <c r="C82" s="41" t="s">
        <v>1486</v>
      </c>
      <c r="D82" s="39" t="s">
        <v>1332</v>
      </c>
      <c r="E82" s="42">
        <v>46132</v>
      </c>
      <c r="F82" s="26" t="s">
        <v>55</v>
      </c>
      <c r="G82" s="26" t="s">
        <v>57</v>
      </c>
      <c r="H82" s="26" t="s">
        <v>57</v>
      </c>
      <c r="I82" s="26" t="s">
        <v>90</v>
      </c>
      <c r="J82" s="26" t="s">
        <v>57</v>
      </c>
      <c r="K82" s="27" t="s">
        <v>91</v>
      </c>
      <c r="L82" s="28" t="s">
        <v>56</v>
      </c>
      <c r="M82" s="29" t="str">
        <f t="shared" si="5"/>
        <v>⚠ Missing</v>
      </c>
      <c r="N82" s="42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70">
        <v>46248</v>
      </c>
      <c r="X82" s="30" t="s">
        <v>55</v>
      </c>
      <c r="Y82" s="30" t="s">
        <v>56</v>
      </c>
      <c r="Z82" s="30" t="s">
        <v>57</v>
      </c>
      <c r="AA82" s="30" t="s">
        <v>58</v>
      </c>
      <c r="AB82" s="30" t="s">
        <v>56</v>
      </c>
      <c r="AC82" s="27"/>
      <c r="AD82" s="31" t="s">
        <v>57</v>
      </c>
      <c r="AE82" s="32" t="str">
        <f t="shared" si="7"/>
        <v>✓ OK</v>
      </c>
      <c r="AF82" s="33" t="s">
        <v>61</v>
      </c>
      <c r="AG82" s="33" t="s">
        <v>55</v>
      </c>
      <c r="AH82" s="33" t="s">
        <v>56</v>
      </c>
      <c r="AI82" s="33" t="s">
        <v>57</v>
      </c>
      <c r="AJ82" s="33" t="s">
        <v>58</v>
      </c>
      <c r="AK82" s="33" t="s">
        <v>56</v>
      </c>
      <c r="AL82" s="27"/>
      <c r="AM82" s="34" t="s">
        <v>57</v>
      </c>
      <c r="AN82" s="35" t="str">
        <f t="shared" si="8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1487</v>
      </c>
      <c r="C83" s="25" t="s">
        <v>1488</v>
      </c>
      <c r="D83" s="23" t="s">
        <v>1332</v>
      </c>
      <c r="E83" s="42">
        <v>46132</v>
      </c>
      <c r="F83" s="26" t="s">
        <v>55</v>
      </c>
      <c r="G83" s="26" t="s">
        <v>57</v>
      </c>
      <c r="H83" s="26" t="s">
        <v>57</v>
      </c>
      <c r="I83" s="26" t="s">
        <v>90</v>
      </c>
      <c r="J83" s="26" t="s">
        <v>57</v>
      </c>
      <c r="K83" s="27" t="s">
        <v>91</v>
      </c>
      <c r="L83" s="28" t="s">
        <v>56</v>
      </c>
      <c r="M83" s="29" t="str">
        <f t="shared" si="5"/>
        <v>⚠ Missing</v>
      </c>
      <c r="N83" s="42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70">
        <v>46248</v>
      </c>
      <c r="X83" s="30" t="s">
        <v>55</v>
      </c>
      <c r="Y83" s="30" t="s">
        <v>56</v>
      </c>
      <c r="Z83" s="30" t="s">
        <v>57</v>
      </c>
      <c r="AA83" s="30" t="s">
        <v>58</v>
      </c>
      <c r="AB83" s="30" t="s">
        <v>56</v>
      </c>
      <c r="AC83" s="27"/>
      <c r="AD83" s="31" t="s">
        <v>57</v>
      </c>
      <c r="AE83" s="32" t="str">
        <f t="shared" si="7"/>
        <v>✓ OK</v>
      </c>
      <c r="AF83" s="33" t="s">
        <v>61</v>
      </c>
      <c r="AG83" s="33" t="s">
        <v>55</v>
      </c>
      <c r="AH83" s="33" t="s">
        <v>56</v>
      </c>
      <c r="AI83" s="33" t="s">
        <v>57</v>
      </c>
      <c r="AJ83" s="33" t="s">
        <v>58</v>
      </c>
      <c r="AK83" s="33" t="s">
        <v>56</v>
      </c>
      <c r="AL83" s="27"/>
      <c r="AM83" s="34" t="s">
        <v>57</v>
      </c>
      <c r="AN83" s="35" t="str">
        <f t="shared" si="8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1489</v>
      </c>
      <c r="C84" s="41" t="s">
        <v>1490</v>
      </c>
      <c r="D84" s="39" t="s">
        <v>1332</v>
      </c>
      <c r="E84" s="42">
        <v>46132</v>
      </c>
      <c r="F84" s="26" t="s">
        <v>55</v>
      </c>
      <c r="G84" s="26" t="s">
        <v>57</v>
      </c>
      <c r="H84" s="26" t="s">
        <v>57</v>
      </c>
      <c r="I84" s="26" t="s">
        <v>90</v>
      </c>
      <c r="J84" s="26" t="s">
        <v>57</v>
      </c>
      <c r="K84" s="27" t="s">
        <v>91</v>
      </c>
      <c r="L84" s="28" t="s">
        <v>56</v>
      </c>
      <c r="M84" s="29" t="str">
        <f t="shared" si="5"/>
        <v>⚠ Missing</v>
      </c>
      <c r="N84" s="42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70">
        <v>46248</v>
      </c>
      <c r="X84" s="30" t="s">
        <v>55</v>
      </c>
      <c r="Y84" s="30" t="s">
        <v>56</v>
      </c>
      <c r="Z84" s="30" t="s">
        <v>57</v>
      </c>
      <c r="AA84" s="30" t="s">
        <v>58</v>
      </c>
      <c r="AB84" s="30" t="s">
        <v>56</v>
      </c>
      <c r="AC84" s="27"/>
      <c r="AD84" s="31" t="s">
        <v>57</v>
      </c>
      <c r="AE84" s="32" t="str">
        <f t="shared" si="7"/>
        <v>✓ OK</v>
      </c>
      <c r="AF84" s="33" t="s">
        <v>61</v>
      </c>
      <c r="AG84" s="33" t="s">
        <v>55</v>
      </c>
      <c r="AH84" s="33" t="s">
        <v>56</v>
      </c>
      <c r="AI84" s="33" t="s">
        <v>57</v>
      </c>
      <c r="AJ84" s="33" t="s">
        <v>58</v>
      </c>
      <c r="AK84" s="33" t="s">
        <v>56</v>
      </c>
      <c r="AL84" s="27"/>
      <c r="AM84" s="34" t="s">
        <v>57</v>
      </c>
      <c r="AN84" s="35" t="str">
        <f t="shared" si="8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1491</v>
      </c>
      <c r="C85" s="25" t="s">
        <v>1492</v>
      </c>
      <c r="D85" s="23" t="s">
        <v>1332</v>
      </c>
      <c r="E85" s="42">
        <v>46132</v>
      </c>
      <c r="F85" s="26" t="s">
        <v>55</v>
      </c>
      <c r="G85" s="26" t="s">
        <v>57</v>
      </c>
      <c r="H85" s="26" t="s">
        <v>57</v>
      </c>
      <c r="I85" s="26" t="s">
        <v>90</v>
      </c>
      <c r="J85" s="26" t="s">
        <v>57</v>
      </c>
      <c r="K85" s="27" t="s">
        <v>91</v>
      </c>
      <c r="L85" s="28" t="s">
        <v>56</v>
      </c>
      <c r="M85" s="29" t="str">
        <f t="shared" si="5"/>
        <v>⚠ Missing</v>
      </c>
      <c r="N85" s="42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70">
        <v>46248</v>
      </c>
      <c r="X85" s="30" t="s">
        <v>55</v>
      </c>
      <c r="Y85" s="30" t="s">
        <v>56</v>
      </c>
      <c r="Z85" s="30" t="s">
        <v>57</v>
      </c>
      <c r="AA85" s="30" t="s">
        <v>58</v>
      </c>
      <c r="AB85" s="30" t="s">
        <v>56</v>
      </c>
      <c r="AC85" s="27"/>
      <c r="AD85" s="31" t="s">
        <v>57</v>
      </c>
      <c r="AE85" s="32" t="str">
        <f t="shared" si="7"/>
        <v>✓ OK</v>
      </c>
      <c r="AF85" s="33" t="s">
        <v>61</v>
      </c>
      <c r="AG85" s="33" t="s">
        <v>55</v>
      </c>
      <c r="AH85" s="33" t="s">
        <v>56</v>
      </c>
      <c r="AI85" s="33" t="s">
        <v>57</v>
      </c>
      <c r="AJ85" s="33" t="s">
        <v>58</v>
      </c>
      <c r="AK85" s="33" t="s">
        <v>56</v>
      </c>
      <c r="AL85" s="27"/>
      <c r="AM85" s="34" t="s">
        <v>57</v>
      </c>
      <c r="AN85" s="35" t="str">
        <f t="shared" si="8"/>
        <v>✓ OK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1493</v>
      </c>
      <c r="C86" s="41" t="s">
        <v>1494</v>
      </c>
      <c r="D86" s="39" t="s">
        <v>1332</v>
      </c>
      <c r="E86" s="42">
        <v>46132</v>
      </c>
      <c r="F86" s="26" t="s">
        <v>55</v>
      </c>
      <c r="G86" s="26" t="s">
        <v>57</v>
      </c>
      <c r="H86" s="26" t="s">
        <v>57</v>
      </c>
      <c r="I86" s="26" t="s">
        <v>90</v>
      </c>
      <c r="J86" s="26" t="s">
        <v>57</v>
      </c>
      <c r="K86" s="27" t="s">
        <v>91</v>
      </c>
      <c r="L86" s="28" t="s">
        <v>56</v>
      </c>
      <c r="M86" s="29" t="str">
        <f t="shared" si="5"/>
        <v>⚠ Missing</v>
      </c>
      <c r="N86" s="42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70">
        <v>46248</v>
      </c>
      <c r="X86" s="30" t="s">
        <v>55</v>
      </c>
      <c r="Y86" s="30" t="s">
        <v>56</v>
      </c>
      <c r="Z86" s="30" t="s">
        <v>57</v>
      </c>
      <c r="AA86" s="30" t="s">
        <v>58</v>
      </c>
      <c r="AB86" s="30" t="s">
        <v>56</v>
      </c>
      <c r="AC86" s="27"/>
      <c r="AD86" s="31" t="s">
        <v>57</v>
      </c>
      <c r="AE86" s="32" t="str">
        <f t="shared" si="7"/>
        <v>✓ OK</v>
      </c>
      <c r="AF86" s="33" t="s">
        <v>61</v>
      </c>
      <c r="AG86" s="33" t="s">
        <v>55</v>
      </c>
      <c r="AH86" s="33" t="s">
        <v>56</v>
      </c>
      <c r="AI86" s="33" t="s">
        <v>57</v>
      </c>
      <c r="AJ86" s="33" t="s">
        <v>58</v>
      </c>
      <c r="AK86" s="33" t="s">
        <v>56</v>
      </c>
      <c r="AL86" s="27"/>
      <c r="AM86" s="34" t="s">
        <v>57</v>
      </c>
      <c r="AN86" s="35" t="str">
        <f t="shared" si="8"/>
        <v>✓ OK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1495</v>
      </c>
      <c r="C87" s="25" t="s">
        <v>1496</v>
      </c>
      <c r="D87" s="23" t="s">
        <v>1332</v>
      </c>
      <c r="E87" s="42">
        <v>46132</v>
      </c>
      <c r="F87" s="26" t="s">
        <v>55</v>
      </c>
      <c r="G87" s="26" t="s">
        <v>57</v>
      </c>
      <c r="H87" s="26" t="s">
        <v>57</v>
      </c>
      <c r="I87" s="26" t="s">
        <v>90</v>
      </c>
      <c r="J87" s="26" t="s">
        <v>57</v>
      </c>
      <c r="K87" s="27" t="s">
        <v>91</v>
      </c>
      <c r="L87" s="28" t="s">
        <v>56</v>
      </c>
      <c r="M87" s="29" t="str">
        <f t="shared" si="5"/>
        <v>⚠ Missing</v>
      </c>
      <c r="N87" s="42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70">
        <v>46248</v>
      </c>
      <c r="X87" s="30" t="s">
        <v>55</v>
      </c>
      <c r="Y87" s="30" t="s">
        <v>56</v>
      </c>
      <c r="Z87" s="30" t="s">
        <v>57</v>
      </c>
      <c r="AA87" s="30" t="s">
        <v>58</v>
      </c>
      <c r="AB87" s="30" t="s">
        <v>56</v>
      </c>
      <c r="AC87" s="27"/>
      <c r="AD87" s="31" t="s">
        <v>57</v>
      </c>
      <c r="AE87" s="32" t="str">
        <f t="shared" si="7"/>
        <v>✓ OK</v>
      </c>
      <c r="AF87" s="33" t="s">
        <v>61</v>
      </c>
      <c r="AG87" s="33" t="s">
        <v>55</v>
      </c>
      <c r="AH87" s="33" t="s">
        <v>56</v>
      </c>
      <c r="AI87" s="33" t="s">
        <v>57</v>
      </c>
      <c r="AJ87" s="33" t="s">
        <v>58</v>
      </c>
      <c r="AK87" s="33" t="s">
        <v>56</v>
      </c>
      <c r="AL87" s="27"/>
      <c r="AM87" s="34" t="s">
        <v>57</v>
      </c>
      <c r="AN87" s="35" t="str">
        <f t="shared" si="8"/>
        <v>✓ OK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1497</v>
      </c>
      <c r="C88" s="41" t="s">
        <v>1498</v>
      </c>
      <c r="D88" s="39" t="s">
        <v>1332</v>
      </c>
      <c r="E88" s="42">
        <v>46132</v>
      </c>
      <c r="F88" s="26" t="s">
        <v>55</v>
      </c>
      <c r="G88" s="26" t="s">
        <v>57</v>
      </c>
      <c r="H88" s="26" t="s">
        <v>57</v>
      </c>
      <c r="I88" s="26" t="s">
        <v>90</v>
      </c>
      <c r="J88" s="26" t="s">
        <v>57</v>
      </c>
      <c r="K88" s="27" t="s">
        <v>91</v>
      </c>
      <c r="L88" s="28" t="s">
        <v>56</v>
      </c>
      <c r="M88" s="29" t="str">
        <f t="shared" si="5"/>
        <v>⚠ Missing</v>
      </c>
      <c r="N88" s="42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70">
        <v>46248</v>
      </c>
      <c r="X88" s="30" t="s">
        <v>55</v>
      </c>
      <c r="Y88" s="30" t="s">
        <v>56</v>
      </c>
      <c r="Z88" s="30" t="s">
        <v>57</v>
      </c>
      <c r="AA88" s="30" t="s">
        <v>58</v>
      </c>
      <c r="AB88" s="30" t="s">
        <v>56</v>
      </c>
      <c r="AC88" s="27"/>
      <c r="AD88" s="31" t="s">
        <v>57</v>
      </c>
      <c r="AE88" s="32" t="str">
        <f t="shared" si="7"/>
        <v>✓ OK</v>
      </c>
      <c r="AF88" s="33" t="s">
        <v>61</v>
      </c>
      <c r="AG88" s="33" t="s">
        <v>55</v>
      </c>
      <c r="AH88" s="33" t="s">
        <v>56</v>
      </c>
      <c r="AI88" s="33" t="s">
        <v>57</v>
      </c>
      <c r="AJ88" s="33" t="s">
        <v>58</v>
      </c>
      <c r="AK88" s="33" t="s">
        <v>56</v>
      </c>
      <c r="AL88" s="27"/>
      <c r="AM88" s="34" t="s">
        <v>57</v>
      </c>
      <c r="AN88" s="35" t="str">
        <f t="shared" si="8"/>
        <v>✓ OK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1499</v>
      </c>
      <c r="C89" s="25" t="s">
        <v>1500</v>
      </c>
      <c r="D89" s="23" t="s">
        <v>1332</v>
      </c>
      <c r="E89" s="42">
        <v>46132</v>
      </c>
      <c r="F89" s="26" t="s">
        <v>55</v>
      </c>
      <c r="G89" s="26" t="s">
        <v>57</v>
      </c>
      <c r="H89" s="26" t="s">
        <v>57</v>
      </c>
      <c r="I89" s="26" t="s">
        <v>90</v>
      </c>
      <c r="J89" s="26" t="s">
        <v>57</v>
      </c>
      <c r="K89" s="27" t="s">
        <v>91</v>
      </c>
      <c r="L89" s="28" t="s">
        <v>56</v>
      </c>
      <c r="M89" s="29" t="str">
        <f t="shared" si="5"/>
        <v>⚠ Missing</v>
      </c>
      <c r="N89" s="42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70">
        <v>46248</v>
      </c>
      <c r="X89" s="30" t="s">
        <v>55</v>
      </c>
      <c r="Y89" s="30" t="s">
        <v>56</v>
      </c>
      <c r="Z89" s="30" t="s">
        <v>57</v>
      </c>
      <c r="AA89" s="30" t="s">
        <v>58</v>
      </c>
      <c r="AB89" s="30" t="s">
        <v>56</v>
      </c>
      <c r="AC89" s="27"/>
      <c r="AD89" s="31" t="s">
        <v>57</v>
      </c>
      <c r="AE89" s="32" t="str">
        <f t="shared" si="7"/>
        <v>✓ OK</v>
      </c>
      <c r="AF89" s="33" t="s">
        <v>61</v>
      </c>
      <c r="AG89" s="33" t="s">
        <v>55</v>
      </c>
      <c r="AH89" s="33" t="s">
        <v>56</v>
      </c>
      <c r="AI89" s="33" t="s">
        <v>57</v>
      </c>
      <c r="AJ89" s="33" t="s">
        <v>58</v>
      </c>
      <c r="AK89" s="33" t="s">
        <v>56</v>
      </c>
      <c r="AL89" s="27"/>
      <c r="AM89" s="34" t="s">
        <v>57</v>
      </c>
      <c r="AN89" s="35" t="str">
        <f t="shared" si="8"/>
        <v>✓ OK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1501</v>
      </c>
      <c r="C90" s="41" t="s">
        <v>1502</v>
      </c>
      <c r="D90" s="39" t="s">
        <v>1332</v>
      </c>
      <c r="E90" s="42">
        <v>46132</v>
      </c>
      <c r="F90" s="26" t="s">
        <v>55</v>
      </c>
      <c r="G90" s="26" t="s">
        <v>57</v>
      </c>
      <c r="H90" s="26" t="s">
        <v>57</v>
      </c>
      <c r="I90" s="26" t="s">
        <v>90</v>
      </c>
      <c r="J90" s="26" t="s">
        <v>57</v>
      </c>
      <c r="K90" s="27" t="s">
        <v>91</v>
      </c>
      <c r="L90" s="28" t="s">
        <v>56</v>
      </c>
      <c r="M90" s="29" t="str">
        <f t="shared" si="5"/>
        <v>⚠ Missing</v>
      </c>
      <c r="N90" s="42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70">
        <v>46248</v>
      </c>
      <c r="X90" s="30" t="s">
        <v>55</v>
      </c>
      <c r="Y90" s="30" t="s">
        <v>56</v>
      </c>
      <c r="Z90" s="30" t="s">
        <v>57</v>
      </c>
      <c r="AA90" s="30" t="s">
        <v>58</v>
      </c>
      <c r="AB90" s="30" t="s">
        <v>56</v>
      </c>
      <c r="AC90" s="27"/>
      <c r="AD90" s="31" t="s">
        <v>57</v>
      </c>
      <c r="AE90" s="32" t="str">
        <f t="shared" si="7"/>
        <v>✓ OK</v>
      </c>
      <c r="AF90" s="33" t="s">
        <v>61</v>
      </c>
      <c r="AG90" s="33" t="s">
        <v>55</v>
      </c>
      <c r="AH90" s="33" t="s">
        <v>56</v>
      </c>
      <c r="AI90" s="33" t="s">
        <v>57</v>
      </c>
      <c r="AJ90" s="33" t="s">
        <v>58</v>
      </c>
      <c r="AK90" s="33" t="s">
        <v>56</v>
      </c>
      <c r="AL90" s="27"/>
      <c r="AM90" s="34" t="s">
        <v>57</v>
      </c>
      <c r="AN90" s="35" t="str">
        <f t="shared" si="8"/>
        <v>✓ OK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1503</v>
      </c>
      <c r="C91" s="25" t="s">
        <v>1504</v>
      </c>
      <c r="D91" s="23" t="s">
        <v>1332</v>
      </c>
      <c r="E91" s="42">
        <v>46132</v>
      </c>
      <c r="F91" s="26" t="s">
        <v>55</v>
      </c>
      <c r="G91" s="26" t="s">
        <v>57</v>
      </c>
      <c r="H91" s="26" t="s">
        <v>57</v>
      </c>
      <c r="I91" s="26" t="s">
        <v>90</v>
      </c>
      <c r="J91" s="26" t="s">
        <v>57</v>
      </c>
      <c r="K91" s="27" t="s">
        <v>91</v>
      </c>
      <c r="L91" s="28" t="s">
        <v>56</v>
      </c>
      <c r="M91" s="29" t="str">
        <f t="shared" si="5"/>
        <v>⚠ Missing</v>
      </c>
      <c r="N91" s="42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56</v>
      </c>
      <c r="Z91" s="30" t="s">
        <v>57</v>
      </c>
      <c r="AA91" s="30" t="s">
        <v>58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 t="s">
        <v>61</v>
      </c>
      <c r="AG91" s="33" t="s">
        <v>55</v>
      </c>
      <c r="AH91" s="33" t="s">
        <v>56</v>
      </c>
      <c r="AI91" s="33" t="s">
        <v>57</v>
      </c>
      <c r="AJ91" s="33" t="s">
        <v>58</v>
      </c>
      <c r="AK91" s="33" t="s">
        <v>56</v>
      </c>
      <c r="AL91" s="27"/>
      <c r="AM91" s="34" t="s">
        <v>57</v>
      </c>
      <c r="AN91" s="35" t="str">
        <f t="shared" si="8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1505</v>
      </c>
      <c r="C92" s="41" t="s">
        <v>1506</v>
      </c>
      <c r="D92" s="39" t="s">
        <v>1332</v>
      </c>
      <c r="E92" s="42">
        <v>46132</v>
      </c>
      <c r="F92" s="26" t="s">
        <v>55</v>
      </c>
      <c r="G92" s="26" t="s">
        <v>57</v>
      </c>
      <c r="H92" s="26" t="s">
        <v>57</v>
      </c>
      <c r="I92" s="26" t="s">
        <v>90</v>
      </c>
      <c r="J92" s="26" t="s">
        <v>57</v>
      </c>
      <c r="K92" s="27" t="s">
        <v>91</v>
      </c>
      <c r="L92" s="28" t="s">
        <v>56</v>
      </c>
      <c r="M92" s="29" t="str">
        <f t="shared" si="5"/>
        <v>⚠ Missing</v>
      </c>
      <c r="N92" s="42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70">
        <v>46248</v>
      </c>
      <c r="X92" s="30" t="s">
        <v>55</v>
      </c>
      <c r="Y92" s="30" t="s">
        <v>56</v>
      </c>
      <c r="Z92" s="30" t="s">
        <v>57</v>
      </c>
      <c r="AA92" s="30" t="s">
        <v>58</v>
      </c>
      <c r="AB92" s="30" t="s">
        <v>56</v>
      </c>
      <c r="AC92" s="27"/>
      <c r="AD92" s="31" t="s">
        <v>57</v>
      </c>
      <c r="AE92" s="32" t="str">
        <f t="shared" si="7"/>
        <v>✓ OK</v>
      </c>
      <c r="AF92" s="33" t="s">
        <v>61</v>
      </c>
      <c r="AG92" s="33" t="s">
        <v>55</v>
      </c>
      <c r="AH92" s="33" t="s">
        <v>56</v>
      </c>
      <c r="AI92" s="33" t="s">
        <v>57</v>
      </c>
      <c r="AJ92" s="33" t="s">
        <v>58</v>
      </c>
      <c r="AK92" s="33" t="s">
        <v>56</v>
      </c>
      <c r="AL92" s="27"/>
      <c r="AM92" s="34" t="s">
        <v>57</v>
      </c>
      <c r="AN92" s="35" t="str">
        <f t="shared" si="8"/>
        <v>✓ OK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1507</v>
      </c>
      <c r="C93" s="25" t="s">
        <v>1508</v>
      </c>
      <c r="D93" s="23" t="s">
        <v>1332</v>
      </c>
      <c r="E93" s="42">
        <v>46132</v>
      </c>
      <c r="F93" s="26" t="s">
        <v>55</v>
      </c>
      <c r="G93" s="26" t="s">
        <v>57</v>
      </c>
      <c r="H93" s="26" t="s">
        <v>57</v>
      </c>
      <c r="I93" s="26" t="s">
        <v>90</v>
      </c>
      <c r="J93" s="26" t="s">
        <v>57</v>
      </c>
      <c r="K93" s="27" t="s">
        <v>91</v>
      </c>
      <c r="L93" s="28" t="s">
        <v>56</v>
      </c>
      <c r="M93" s="29" t="str">
        <f t="shared" si="5"/>
        <v>⚠ Missing</v>
      </c>
      <c r="N93" s="42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56</v>
      </c>
      <c r="Z93" s="30" t="s">
        <v>57</v>
      </c>
      <c r="AA93" s="30" t="s">
        <v>58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 t="s">
        <v>61</v>
      </c>
      <c r="AG93" s="33" t="s">
        <v>55</v>
      </c>
      <c r="AH93" s="33" t="s">
        <v>56</v>
      </c>
      <c r="AI93" s="33" t="s">
        <v>57</v>
      </c>
      <c r="AJ93" s="33" t="s">
        <v>58</v>
      </c>
      <c r="AK93" s="33" t="s">
        <v>56</v>
      </c>
      <c r="AL93" s="27"/>
      <c r="AM93" s="34" t="s">
        <v>57</v>
      </c>
      <c r="AN93" s="35" t="str">
        <f t="shared" si="8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1509</v>
      </c>
      <c r="C94" s="41" t="s">
        <v>1510</v>
      </c>
      <c r="D94" s="39" t="s">
        <v>1332</v>
      </c>
      <c r="E94" s="42">
        <v>46132</v>
      </c>
      <c r="F94" s="26" t="s">
        <v>55</v>
      </c>
      <c r="G94" s="26" t="s">
        <v>57</v>
      </c>
      <c r="H94" s="26" t="s">
        <v>57</v>
      </c>
      <c r="I94" s="26" t="s">
        <v>90</v>
      </c>
      <c r="J94" s="26" t="s">
        <v>57</v>
      </c>
      <c r="K94" s="27" t="s">
        <v>91</v>
      </c>
      <c r="L94" s="28" t="s">
        <v>56</v>
      </c>
      <c r="M94" s="29" t="str">
        <f t="shared" si="5"/>
        <v>⚠ Missing</v>
      </c>
      <c r="N94" s="42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56</v>
      </c>
      <c r="Z94" s="30" t="s">
        <v>57</v>
      </c>
      <c r="AA94" s="30" t="s">
        <v>58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 t="s">
        <v>61</v>
      </c>
      <c r="AG94" s="33" t="s">
        <v>55</v>
      </c>
      <c r="AH94" s="33" t="s">
        <v>56</v>
      </c>
      <c r="AI94" s="33" t="s">
        <v>57</v>
      </c>
      <c r="AJ94" s="33" t="s">
        <v>58</v>
      </c>
      <c r="AK94" s="33" t="s">
        <v>56</v>
      </c>
      <c r="AL94" s="27"/>
      <c r="AM94" s="34" t="s">
        <v>57</v>
      </c>
      <c r="AN94" s="35" t="str">
        <f t="shared" si="8"/>
        <v>✓ OK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1511</v>
      </c>
      <c r="C95" s="25" t="s">
        <v>1512</v>
      </c>
      <c r="D95" s="23" t="s">
        <v>1332</v>
      </c>
      <c r="E95" s="42">
        <v>46132</v>
      </c>
      <c r="F95" s="26" t="s">
        <v>55</v>
      </c>
      <c r="G95" s="26" t="s">
        <v>57</v>
      </c>
      <c r="H95" s="26" t="s">
        <v>57</v>
      </c>
      <c r="I95" s="26" t="s">
        <v>90</v>
      </c>
      <c r="J95" s="26" t="s">
        <v>57</v>
      </c>
      <c r="K95" s="27" t="s">
        <v>91</v>
      </c>
      <c r="L95" s="28" t="s">
        <v>56</v>
      </c>
      <c r="M95" s="29" t="str">
        <f t="shared" si="5"/>
        <v>⚠ Missing</v>
      </c>
      <c r="N95" s="42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56</v>
      </c>
      <c r="Z95" s="30" t="s">
        <v>57</v>
      </c>
      <c r="AA95" s="30" t="s">
        <v>58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 t="s">
        <v>61</v>
      </c>
      <c r="AG95" s="33" t="s">
        <v>55</v>
      </c>
      <c r="AH95" s="33" t="s">
        <v>56</v>
      </c>
      <c r="AI95" s="33" t="s">
        <v>57</v>
      </c>
      <c r="AJ95" s="33" t="s">
        <v>58</v>
      </c>
      <c r="AK95" s="33" t="s">
        <v>56</v>
      </c>
      <c r="AL95" s="27"/>
      <c r="AM95" s="34" t="s">
        <v>57</v>
      </c>
      <c r="AN95" s="35" t="str">
        <f t="shared" si="8"/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1513</v>
      </c>
      <c r="C96" s="41" t="s">
        <v>1514</v>
      </c>
      <c r="D96" s="39" t="s">
        <v>1332</v>
      </c>
      <c r="E96" s="42">
        <v>46132</v>
      </c>
      <c r="F96" s="26" t="s">
        <v>55</v>
      </c>
      <c r="G96" s="26" t="s">
        <v>57</v>
      </c>
      <c r="H96" s="26" t="s">
        <v>57</v>
      </c>
      <c r="I96" s="26" t="s">
        <v>90</v>
      </c>
      <c r="J96" s="26" t="s">
        <v>57</v>
      </c>
      <c r="K96" s="27" t="s">
        <v>91</v>
      </c>
      <c r="L96" s="28" t="s">
        <v>56</v>
      </c>
      <c r="M96" s="29" t="str">
        <f t="shared" si="5"/>
        <v>⚠ Missing</v>
      </c>
      <c r="N96" s="42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70">
        <v>46248</v>
      </c>
      <c r="X96" s="30" t="s">
        <v>55</v>
      </c>
      <c r="Y96" s="30" t="s">
        <v>56</v>
      </c>
      <c r="Z96" s="30" t="s">
        <v>57</v>
      </c>
      <c r="AA96" s="30" t="s">
        <v>58</v>
      </c>
      <c r="AB96" s="30" t="s">
        <v>56</v>
      </c>
      <c r="AC96" s="27"/>
      <c r="AD96" s="31" t="s">
        <v>57</v>
      </c>
      <c r="AE96" s="32" t="str">
        <f t="shared" si="7"/>
        <v>✓ OK</v>
      </c>
      <c r="AF96" s="33" t="s">
        <v>61</v>
      </c>
      <c r="AG96" s="33" t="s">
        <v>55</v>
      </c>
      <c r="AH96" s="33" t="s">
        <v>56</v>
      </c>
      <c r="AI96" s="33" t="s">
        <v>57</v>
      </c>
      <c r="AJ96" s="33" t="s">
        <v>58</v>
      </c>
      <c r="AK96" s="33" t="s">
        <v>56</v>
      </c>
      <c r="AL96" s="27"/>
      <c r="AM96" s="34" t="s">
        <v>57</v>
      </c>
      <c r="AN96" s="35" t="str">
        <f t="shared" si="8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1515</v>
      </c>
      <c r="C97" s="25" t="s">
        <v>1516</v>
      </c>
      <c r="D97" s="23" t="s">
        <v>1332</v>
      </c>
      <c r="E97" s="42">
        <v>46132</v>
      </c>
      <c r="F97" s="26" t="s">
        <v>55</v>
      </c>
      <c r="G97" s="26" t="s">
        <v>57</v>
      </c>
      <c r="H97" s="26" t="s">
        <v>57</v>
      </c>
      <c r="I97" s="26" t="s">
        <v>90</v>
      </c>
      <c r="J97" s="26" t="s">
        <v>57</v>
      </c>
      <c r="K97" s="27" t="s">
        <v>91</v>
      </c>
      <c r="L97" s="28" t="s">
        <v>56</v>
      </c>
      <c r="M97" s="29" t="str">
        <f t="shared" si="5"/>
        <v>⚠ Missing</v>
      </c>
      <c r="N97" s="42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70">
        <v>46248</v>
      </c>
      <c r="X97" s="30" t="s">
        <v>55</v>
      </c>
      <c r="Y97" s="30" t="s">
        <v>56</v>
      </c>
      <c r="Z97" s="30" t="s">
        <v>57</v>
      </c>
      <c r="AA97" s="30" t="s">
        <v>58</v>
      </c>
      <c r="AB97" s="30" t="s">
        <v>56</v>
      </c>
      <c r="AC97" s="27"/>
      <c r="AD97" s="31" t="s">
        <v>57</v>
      </c>
      <c r="AE97" s="32" t="str">
        <f t="shared" si="7"/>
        <v>✓ OK</v>
      </c>
      <c r="AF97" s="33" t="s">
        <v>61</v>
      </c>
      <c r="AG97" s="33" t="s">
        <v>55</v>
      </c>
      <c r="AH97" s="33" t="s">
        <v>56</v>
      </c>
      <c r="AI97" s="33" t="s">
        <v>57</v>
      </c>
      <c r="AJ97" s="33" t="s">
        <v>58</v>
      </c>
      <c r="AK97" s="33" t="s">
        <v>56</v>
      </c>
      <c r="AL97" s="27"/>
      <c r="AM97" s="34" t="s">
        <v>57</v>
      </c>
      <c r="AN97" s="35" t="str">
        <f t="shared" si="8"/>
        <v>✓ OK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1517</v>
      </c>
      <c r="C98" s="41" t="s">
        <v>1518</v>
      </c>
      <c r="D98" s="39" t="s">
        <v>1332</v>
      </c>
      <c r="E98" s="42">
        <v>46132</v>
      </c>
      <c r="F98" s="26" t="s">
        <v>55</v>
      </c>
      <c r="G98" s="26" t="s">
        <v>57</v>
      </c>
      <c r="H98" s="26" t="s">
        <v>57</v>
      </c>
      <c r="I98" s="26" t="s">
        <v>90</v>
      </c>
      <c r="J98" s="26" t="s">
        <v>57</v>
      </c>
      <c r="K98" s="27" t="s">
        <v>91</v>
      </c>
      <c r="L98" s="28" t="s">
        <v>56</v>
      </c>
      <c r="M98" s="29" t="str">
        <f t="shared" si="5"/>
        <v>⚠ Missing</v>
      </c>
      <c r="N98" s="42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 t="s">
        <v>61</v>
      </c>
      <c r="AG98" s="33" t="s">
        <v>55</v>
      </c>
      <c r="AH98" s="33" t="s">
        <v>56</v>
      </c>
      <c r="AI98" s="33" t="s">
        <v>57</v>
      </c>
      <c r="AJ98" s="33" t="s">
        <v>58</v>
      </c>
      <c r="AK98" s="33" t="s">
        <v>56</v>
      </c>
      <c r="AL98" s="27"/>
      <c r="AM98" s="34" t="s">
        <v>57</v>
      </c>
      <c r="AN98" s="35" t="str">
        <f t="shared" si="8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1519</v>
      </c>
      <c r="C99" s="25" t="s">
        <v>1520</v>
      </c>
      <c r="D99" s="23" t="s">
        <v>1332</v>
      </c>
      <c r="E99" s="42">
        <v>46132</v>
      </c>
      <c r="F99" s="26" t="s">
        <v>55</v>
      </c>
      <c r="G99" s="26" t="s">
        <v>57</v>
      </c>
      <c r="H99" s="26" t="s">
        <v>57</v>
      </c>
      <c r="I99" s="26" t="s">
        <v>90</v>
      </c>
      <c r="J99" s="26" t="s">
        <v>57</v>
      </c>
      <c r="K99" s="27" t="s">
        <v>91</v>
      </c>
      <c r="L99" s="28" t="s">
        <v>56</v>
      </c>
      <c r="M99" s="29" t="str">
        <f t="shared" si="5"/>
        <v>⚠ Missing</v>
      </c>
      <c r="N99" s="42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 t="s">
        <v>61</v>
      </c>
      <c r="AG99" s="33" t="s">
        <v>55</v>
      </c>
      <c r="AH99" s="33" t="s">
        <v>56</v>
      </c>
      <c r="AI99" s="33" t="s">
        <v>57</v>
      </c>
      <c r="AJ99" s="33" t="s">
        <v>58</v>
      </c>
      <c r="AK99" s="33" t="s">
        <v>56</v>
      </c>
      <c r="AL99" s="27"/>
      <c r="AM99" s="34" t="s">
        <v>57</v>
      </c>
      <c r="AN99" s="35" t="str">
        <f t="shared" si="8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1521</v>
      </c>
      <c r="C100" s="41" t="s">
        <v>1522</v>
      </c>
      <c r="D100" s="39" t="s">
        <v>1332</v>
      </c>
      <c r="E100" s="42">
        <v>46132</v>
      </c>
      <c r="F100" s="26" t="s">
        <v>55</v>
      </c>
      <c r="G100" s="26" t="s">
        <v>57</v>
      </c>
      <c r="H100" s="26" t="s">
        <v>57</v>
      </c>
      <c r="I100" s="26" t="s">
        <v>90</v>
      </c>
      <c r="J100" s="26" t="s">
        <v>57</v>
      </c>
      <c r="K100" s="27" t="s">
        <v>91</v>
      </c>
      <c r="L100" s="28" t="s">
        <v>56</v>
      </c>
      <c r="M100" s="29" t="str">
        <f t="shared" si="5"/>
        <v>⚠ Missing</v>
      </c>
      <c r="N100" s="42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 t="s">
        <v>61</v>
      </c>
      <c r="AG100" s="33" t="s">
        <v>55</v>
      </c>
      <c r="AH100" s="33" t="s">
        <v>56</v>
      </c>
      <c r="AI100" s="33" t="s">
        <v>57</v>
      </c>
      <c r="AJ100" s="33" t="s">
        <v>58</v>
      </c>
      <c r="AK100" s="33" t="s">
        <v>56</v>
      </c>
      <c r="AL100" s="27"/>
      <c r="AM100" s="34" t="s">
        <v>57</v>
      </c>
      <c r="AN100" s="35" t="str">
        <f t="shared" si="8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1523</v>
      </c>
      <c r="C101" s="25" t="s">
        <v>1524</v>
      </c>
      <c r="D101" s="23" t="s">
        <v>1332</v>
      </c>
      <c r="E101" s="42">
        <v>46132</v>
      </c>
      <c r="F101" s="26" t="s">
        <v>55</v>
      </c>
      <c r="G101" s="26" t="s">
        <v>57</v>
      </c>
      <c r="H101" s="26" t="s">
        <v>57</v>
      </c>
      <c r="I101" s="26" t="s">
        <v>90</v>
      </c>
      <c r="J101" s="26" t="s">
        <v>57</v>
      </c>
      <c r="K101" s="27" t="s">
        <v>91</v>
      </c>
      <c r="L101" s="28" t="s">
        <v>56</v>
      </c>
      <c r="M101" s="29" t="str">
        <f t="shared" si="5"/>
        <v>⚠ Missing</v>
      </c>
      <c r="N101" s="42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 t="s">
        <v>61</v>
      </c>
      <c r="AG101" s="33" t="s">
        <v>55</v>
      </c>
      <c r="AH101" s="33" t="s">
        <v>56</v>
      </c>
      <c r="AI101" s="33" t="s">
        <v>57</v>
      </c>
      <c r="AJ101" s="33" t="s">
        <v>58</v>
      </c>
      <c r="AK101" s="33" t="s">
        <v>56</v>
      </c>
      <c r="AL101" s="27"/>
      <c r="AM101" s="34" t="s">
        <v>57</v>
      </c>
      <c r="AN101" s="35" t="str">
        <f t="shared" si="8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1525</v>
      </c>
      <c r="C102" s="41" t="s">
        <v>1526</v>
      </c>
      <c r="D102" s="39" t="s">
        <v>1332</v>
      </c>
      <c r="E102" s="42">
        <v>46132</v>
      </c>
      <c r="F102" s="26" t="s">
        <v>55</v>
      </c>
      <c r="G102" s="26" t="s">
        <v>57</v>
      </c>
      <c r="H102" s="26" t="s">
        <v>57</v>
      </c>
      <c r="I102" s="26" t="s">
        <v>90</v>
      </c>
      <c r="J102" s="26" t="s">
        <v>57</v>
      </c>
      <c r="K102" s="27" t="s">
        <v>91</v>
      </c>
      <c r="L102" s="28" t="s">
        <v>56</v>
      </c>
      <c r="M102" s="29" t="str">
        <f t="shared" si="5"/>
        <v>⚠ Missing</v>
      </c>
      <c r="N102" s="42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 t="s">
        <v>61</v>
      </c>
      <c r="AG102" s="33" t="s">
        <v>55</v>
      </c>
      <c r="AH102" s="33" t="s">
        <v>56</v>
      </c>
      <c r="AI102" s="33" t="s">
        <v>57</v>
      </c>
      <c r="AJ102" s="33" t="s">
        <v>58</v>
      </c>
      <c r="AK102" s="33" t="s">
        <v>56</v>
      </c>
      <c r="AL102" s="27"/>
      <c r="AM102" s="34" t="s">
        <v>57</v>
      </c>
      <c r="AN102" s="35" t="str">
        <f t="shared" si="8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1527</v>
      </c>
      <c r="C103" s="25" t="s">
        <v>1528</v>
      </c>
      <c r="D103" s="23" t="s">
        <v>1332</v>
      </c>
      <c r="E103" s="42">
        <v>46132</v>
      </c>
      <c r="F103" s="26" t="s">
        <v>55</v>
      </c>
      <c r="G103" s="26" t="s">
        <v>57</v>
      </c>
      <c r="H103" s="26" t="s">
        <v>57</v>
      </c>
      <c r="I103" s="26" t="s">
        <v>90</v>
      </c>
      <c r="J103" s="26" t="s">
        <v>57</v>
      </c>
      <c r="K103" s="27" t="s">
        <v>91</v>
      </c>
      <c r="L103" s="28" t="s">
        <v>56</v>
      </c>
      <c r="M103" s="29" t="str">
        <f t="shared" si="5"/>
        <v>⚠ Missing</v>
      </c>
      <c r="N103" s="42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 t="s">
        <v>61</v>
      </c>
      <c r="AG103" s="33" t="s">
        <v>55</v>
      </c>
      <c r="AH103" s="33" t="s">
        <v>56</v>
      </c>
      <c r="AI103" s="33" t="s">
        <v>57</v>
      </c>
      <c r="AJ103" s="33" t="s">
        <v>58</v>
      </c>
      <c r="AK103" s="33" t="s">
        <v>56</v>
      </c>
      <c r="AL103" s="27"/>
      <c r="AM103" s="34" t="s">
        <v>57</v>
      </c>
      <c r="AN103" s="35" t="str">
        <f t="shared" si="8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1529</v>
      </c>
      <c r="C104" s="41" t="s">
        <v>1530</v>
      </c>
      <c r="D104" s="39" t="s">
        <v>1332</v>
      </c>
      <c r="E104" s="42">
        <v>46132</v>
      </c>
      <c r="F104" s="26" t="s">
        <v>55</v>
      </c>
      <c r="G104" s="26" t="s">
        <v>57</v>
      </c>
      <c r="H104" s="26" t="s">
        <v>57</v>
      </c>
      <c r="I104" s="26" t="s">
        <v>90</v>
      </c>
      <c r="J104" s="26" t="s">
        <v>57</v>
      </c>
      <c r="K104" s="27" t="s">
        <v>91</v>
      </c>
      <c r="L104" s="28" t="s">
        <v>56</v>
      </c>
      <c r="M104" s="29" t="str">
        <f t="shared" si="5"/>
        <v>⚠ Missing</v>
      </c>
      <c r="N104" s="42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 t="s">
        <v>61</v>
      </c>
      <c r="AG104" s="33" t="s">
        <v>55</v>
      </c>
      <c r="AH104" s="33" t="s">
        <v>56</v>
      </c>
      <c r="AI104" s="33" t="s">
        <v>57</v>
      </c>
      <c r="AJ104" s="33" t="s">
        <v>58</v>
      </c>
      <c r="AK104" s="33" t="s">
        <v>56</v>
      </c>
      <c r="AL104" s="27"/>
      <c r="AM104" s="34" t="s">
        <v>57</v>
      </c>
      <c r="AN104" s="35" t="str">
        <f t="shared" si="8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1531</v>
      </c>
      <c r="C105" s="25" t="s">
        <v>1532</v>
      </c>
      <c r="D105" s="23" t="s">
        <v>1332</v>
      </c>
      <c r="E105" s="42">
        <v>46132</v>
      </c>
      <c r="F105" s="26" t="s">
        <v>55</v>
      </c>
      <c r="G105" s="26" t="s">
        <v>57</v>
      </c>
      <c r="H105" s="26" t="s">
        <v>57</v>
      </c>
      <c r="I105" s="26" t="s">
        <v>90</v>
      </c>
      <c r="J105" s="26" t="s">
        <v>57</v>
      </c>
      <c r="K105" s="27" t="s">
        <v>91</v>
      </c>
      <c r="L105" s="28" t="s">
        <v>56</v>
      </c>
      <c r="M105" s="29" t="str">
        <f t="shared" si="5"/>
        <v>⚠ Missing</v>
      </c>
      <c r="N105" s="42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 t="s">
        <v>61</v>
      </c>
      <c r="AG105" s="33" t="s">
        <v>55</v>
      </c>
      <c r="AH105" s="33" t="s">
        <v>56</v>
      </c>
      <c r="AI105" s="33" t="s">
        <v>57</v>
      </c>
      <c r="AJ105" s="33" t="s">
        <v>58</v>
      </c>
      <c r="AK105" s="33" t="s">
        <v>56</v>
      </c>
      <c r="AL105" s="27"/>
      <c r="AM105" s="34" t="s">
        <v>57</v>
      </c>
      <c r="AN105" s="35" t="str">
        <f t="shared" si="8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1533</v>
      </c>
      <c r="C106" s="41" t="s">
        <v>1534</v>
      </c>
      <c r="D106" s="39" t="s">
        <v>1332</v>
      </c>
      <c r="E106" s="42">
        <v>46132</v>
      </c>
      <c r="F106" s="26" t="s">
        <v>55</v>
      </c>
      <c r="G106" s="26" t="s">
        <v>57</v>
      </c>
      <c r="H106" s="26" t="s">
        <v>57</v>
      </c>
      <c r="I106" s="26" t="s">
        <v>90</v>
      </c>
      <c r="J106" s="26" t="s">
        <v>57</v>
      </c>
      <c r="K106" s="27" t="s">
        <v>91</v>
      </c>
      <c r="L106" s="28" t="s">
        <v>56</v>
      </c>
      <c r="M106" s="29" t="str">
        <f t="shared" si="5"/>
        <v>⚠ Missing</v>
      </c>
      <c r="N106" s="42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 t="s">
        <v>61</v>
      </c>
      <c r="AG106" s="33" t="s">
        <v>55</v>
      </c>
      <c r="AH106" s="33" t="s">
        <v>56</v>
      </c>
      <c r="AI106" s="33" t="s">
        <v>57</v>
      </c>
      <c r="AJ106" s="33" t="s">
        <v>58</v>
      </c>
      <c r="AK106" s="33" t="s">
        <v>56</v>
      </c>
      <c r="AL106" s="27"/>
      <c r="AM106" s="34" t="s">
        <v>57</v>
      </c>
      <c r="AN106" s="35" t="str">
        <f t="shared" si="8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1535</v>
      </c>
      <c r="C107" s="25" t="s">
        <v>1536</v>
      </c>
      <c r="D107" s="23" t="s">
        <v>1332</v>
      </c>
      <c r="E107" s="42">
        <v>46132</v>
      </c>
      <c r="F107" s="26" t="s">
        <v>55</v>
      </c>
      <c r="G107" s="26" t="s">
        <v>57</v>
      </c>
      <c r="H107" s="26" t="s">
        <v>57</v>
      </c>
      <c r="I107" s="26" t="s">
        <v>90</v>
      </c>
      <c r="J107" s="26" t="s">
        <v>57</v>
      </c>
      <c r="K107" s="27" t="s">
        <v>91</v>
      </c>
      <c r="L107" s="28" t="s">
        <v>56</v>
      </c>
      <c r="M107" s="29" t="str">
        <f t="shared" si="5"/>
        <v>⚠ Missing</v>
      </c>
      <c r="N107" s="42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 t="s">
        <v>61</v>
      </c>
      <c r="AG107" s="33" t="s">
        <v>55</v>
      </c>
      <c r="AH107" s="33" t="s">
        <v>56</v>
      </c>
      <c r="AI107" s="33" t="s">
        <v>57</v>
      </c>
      <c r="AJ107" s="33" t="s">
        <v>58</v>
      </c>
      <c r="AK107" s="33" t="s">
        <v>56</v>
      </c>
      <c r="AL107" s="27"/>
      <c r="AM107" s="34" t="s">
        <v>57</v>
      </c>
      <c r="AN107" s="35" t="str">
        <f t="shared" si="8"/>
        <v>✓ OK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1537</v>
      </c>
      <c r="C108" s="41" t="s">
        <v>1538</v>
      </c>
      <c r="D108" s="39" t="s">
        <v>1332</v>
      </c>
      <c r="E108" s="42">
        <v>46132</v>
      </c>
      <c r="F108" s="26" t="s">
        <v>55</v>
      </c>
      <c r="G108" s="26" t="s">
        <v>57</v>
      </c>
      <c r="H108" s="26" t="s">
        <v>57</v>
      </c>
      <c r="I108" s="26" t="s">
        <v>90</v>
      </c>
      <c r="J108" s="26" t="s">
        <v>57</v>
      </c>
      <c r="K108" s="27" t="s">
        <v>91</v>
      </c>
      <c r="L108" s="28" t="s">
        <v>56</v>
      </c>
      <c r="M108" s="29" t="str">
        <f t="shared" si="5"/>
        <v>⚠ Missing</v>
      </c>
      <c r="N108" s="42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 t="s">
        <v>61</v>
      </c>
      <c r="AG108" s="33" t="s">
        <v>55</v>
      </c>
      <c r="AH108" s="33" t="s">
        <v>56</v>
      </c>
      <c r="AI108" s="33" t="s">
        <v>57</v>
      </c>
      <c r="AJ108" s="33" t="s">
        <v>58</v>
      </c>
      <c r="AK108" s="33" t="s">
        <v>56</v>
      </c>
      <c r="AL108" s="27"/>
      <c r="AM108" s="34" t="s">
        <v>57</v>
      </c>
      <c r="AN108" s="35" t="str">
        <f t="shared" si="8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1539</v>
      </c>
      <c r="C109" s="25" t="s">
        <v>1540</v>
      </c>
      <c r="D109" s="23" t="s">
        <v>1332</v>
      </c>
      <c r="E109" s="42">
        <v>46132</v>
      </c>
      <c r="F109" s="26" t="s">
        <v>55</v>
      </c>
      <c r="G109" s="26" t="s">
        <v>57</v>
      </c>
      <c r="H109" s="26" t="s">
        <v>57</v>
      </c>
      <c r="I109" s="26" t="s">
        <v>90</v>
      </c>
      <c r="J109" s="26" t="s">
        <v>57</v>
      </c>
      <c r="K109" s="27" t="s">
        <v>91</v>
      </c>
      <c r="L109" s="28" t="s">
        <v>56</v>
      </c>
      <c r="M109" s="29" t="str">
        <f t="shared" si="5"/>
        <v>⚠ Missing</v>
      </c>
      <c r="N109" s="42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 t="s">
        <v>61</v>
      </c>
      <c r="AG109" s="33" t="s">
        <v>55</v>
      </c>
      <c r="AH109" s="33" t="s">
        <v>56</v>
      </c>
      <c r="AI109" s="33" t="s">
        <v>57</v>
      </c>
      <c r="AJ109" s="33" t="s">
        <v>58</v>
      </c>
      <c r="AK109" s="33" t="s">
        <v>56</v>
      </c>
      <c r="AL109" s="27"/>
      <c r="AM109" s="34" t="s">
        <v>57</v>
      </c>
      <c r="AN109" s="35" t="str">
        <f t="shared" si="8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1541</v>
      </c>
      <c r="C110" s="41" t="s">
        <v>1542</v>
      </c>
      <c r="D110" s="39" t="s">
        <v>1332</v>
      </c>
      <c r="E110" s="42">
        <v>46132</v>
      </c>
      <c r="F110" s="26" t="s">
        <v>55</v>
      </c>
      <c r="G110" s="26" t="s">
        <v>57</v>
      </c>
      <c r="H110" s="26" t="s">
        <v>57</v>
      </c>
      <c r="I110" s="26" t="s">
        <v>90</v>
      </c>
      <c r="J110" s="26" t="s">
        <v>57</v>
      </c>
      <c r="K110" s="27" t="s">
        <v>91</v>
      </c>
      <c r="L110" s="28" t="s">
        <v>56</v>
      </c>
      <c r="M110" s="29" t="str">
        <f t="shared" si="5"/>
        <v>⚠ Missing</v>
      </c>
      <c r="N110" s="42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 t="s">
        <v>61</v>
      </c>
      <c r="AG110" s="33" t="s">
        <v>55</v>
      </c>
      <c r="AH110" s="33" t="s">
        <v>56</v>
      </c>
      <c r="AI110" s="33" t="s">
        <v>57</v>
      </c>
      <c r="AJ110" s="33" t="s">
        <v>58</v>
      </c>
      <c r="AK110" s="33" t="s">
        <v>56</v>
      </c>
      <c r="AL110" s="27"/>
      <c r="AM110" s="34" t="s">
        <v>57</v>
      </c>
      <c r="AN110" s="35" t="str">
        <f t="shared" si="8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1543</v>
      </c>
      <c r="C111" s="25" t="s">
        <v>1544</v>
      </c>
      <c r="D111" s="23" t="s">
        <v>1332</v>
      </c>
      <c r="E111" s="42">
        <v>46132</v>
      </c>
      <c r="F111" s="26" t="s">
        <v>55</v>
      </c>
      <c r="G111" s="26" t="s">
        <v>57</v>
      </c>
      <c r="H111" s="26" t="s">
        <v>57</v>
      </c>
      <c r="I111" s="26" t="s">
        <v>90</v>
      </c>
      <c r="J111" s="26" t="s">
        <v>57</v>
      </c>
      <c r="K111" s="27" t="s">
        <v>91</v>
      </c>
      <c r="L111" s="28" t="s">
        <v>56</v>
      </c>
      <c r="M111" s="29" t="str">
        <f t="shared" si="5"/>
        <v>⚠ Missing</v>
      </c>
      <c r="N111" s="42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 t="s">
        <v>61</v>
      </c>
      <c r="AG111" s="33" t="s">
        <v>55</v>
      </c>
      <c r="AH111" s="33" t="s">
        <v>56</v>
      </c>
      <c r="AI111" s="33" t="s">
        <v>57</v>
      </c>
      <c r="AJ111" s="33" t="s">
        <v>58</v>
      </c>
      <c r="AK111" s="33" t="s">
        <v>56</v>
      </c>
      <c r="AL111" s="27"/>
      <c r="AM111" s="34" t="s">
        <v>57</v>
      </c>
      <c r="AN111" s="35" t="str">
        <f t="shared" si="8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1545</v>
      </c>
      <c r="C112" s="41" t="s">
        <v>1546</v>
      </c>
      <c r="D112" s="39" t="s">
        <v>1332</v>
      </c>
      <c r="E112" s="42">
        <v>46132</v>
      </c>
      <c r="F112" s="26" t="s">
        <v>55</v>
      </c>
      <c r="G112" s="26" t="s">
        <v>57</v>
      </c>
      <c r="H112" s="26" t="s">
        <v>57</v>
      </c>
      <c r="I112" s="26" t="s">
        <v>90</v>
      </c>
      <c r="J112" s="26" t="s">
        <v>57</v>
      </c>
      <c r="K112" s="27" t="s">
        <v>91</v>
      </c>
      <c r="L112" s="28" t="s">
        <v>56</v>
      </c>
      <c r="M112" s="29" t="str">
        <f t="shared" si="5"/>
        <v>⚠ Missing</v>
      </c>
      <c r="N112" s="42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 t="s">
        <v>61</v>
      </c>
      <c r="AG112" s="33" t="s">
        <v>55</v>
      </c>
      <c r="AH112" s="33" t="s">
        <v>56</v>
      </c>
      <c r="AI112" s="33" t="s">
        <v>57</v>
      </c>
      <c r="AJ112" s="33" t="s">
        <v>58</v>
      </c>
      <c r="AK112" s="33" t="s">
        <v>56</v>
      </c>
      <c r="AL112" s="27"/>
      <c r="AM112" s="34" t="s">
        <v>57</v>
      </c>
      <c r="AN112" s="35" t="str">
        <f t="shared" si="8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1547</v>
      </c>
      <c r="C113" s="25" t="s">
        <v>1548</v>
      </c>
      <c r="D113" s="23" t="s">
        <v>1332</v>
      </c>
      <c r="E113" s="42">
        <v>46132</v>
      </c>
      <c r="F113" s="26" t="s">
        <v>55</v>
      </c>
      <c r="G113" s="26" t="s">
        <v>57</v>
      </c>
      <c r="H113" s="26" t="s">
        <v>57</v>
      </c>
      <c r="I113" s="26" t="s">
        <v>90</v>
      </c>
      <c r="J113" s="26" t="s">
        <v>57</v>
      </c>
      <c r="K113" s="27" t="s">
        <v>91</v>
      </c>
      <c r="L113" s="28" t="s">
        <v>56</v>
      </c>
      <c r="M113" s="29" t="str">
        <f t="shared" si="5"/>
        <v>⚠ Missing</v>
      </c>
      <c r="N113" s="42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 t="s">
        <v>61</v>
      </c>
      <c r="AG113" s="33" t="s">
        <v>55</v>
      </c>
      <c r="AH113" s="33" t="s">
        <v>56</v>
      </c>
      <c r="AI113" s="33" t="s">
        <v>57</v>
      </c>
      <c r="AJ113" s="33" t="s">
        <v>58</v>
      </c>
      <c r="AK113" s="33" t="s">
        <v>56</v>
      </c>
      <c r="AL113" s="27"/>
      <c r="AM113" s="34" t="s">
        <v>57</v>
      </c>
      <c r="AN113" s="35" t="str">
        <f t="shared" si="8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1549</v>
      </c>
      <c r="C114" s="41" t="s">
        <v>1550</v>
      </c>
      <c r="D114" s="39" t="s">
        <v>1332</v>
      </c>
      <c r="E114" s="42">
        <v>46132</v>
      </c>
      <c r="F114" s="26" t="s">
        <v>55</v>
      </c>
      <c r="G114" s="26" t="s">
        <v>57</v>
      </c>
      <c r="H114" s="26" t="s">
        <v>57</v>
      </c>
      <c r="I114" s="26" t="s">
        <v>90</v>
      </c>
      <c r="J114" s="26" t="s">
        <v>57</v>
      </c>
      <c r="K114" s="27" t="s">
        <v>91</v>
      </c>
      <c r="L114" s="28" t="s">
        <v>56</v>
      </c>
      <c r="M114" s="29" t="str">
        <f t="shared" si="5"/>
        <v>⚠ Missing</v>
      </c>
      <c r="N114" s="42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 t="s">
        <v>61</v>
      </c>
      <c r="AG114" s="33" t="s">
        <v>55</v>
      </c>
      <c r="AH114" s="33" t="s">
        <v>56</v>
      </c>
      <c r="AI114" s="33" t="s">
        <v>57</v>
      </c>
      <c r="AJ114" s="33" t="s">
        <v>58</v>
      </c>
      <c r="AK114" s="33" t="s">
        <v>56</v>
      </c>
      <c r="AL114" s="27"/>
      <c r="AM114" s="34" t="s">
        <v>57</v>
      </c>
      <c r="AN114" s="35" t="str">
        <f t="shared" si="8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1551</v>
      </c>
      <c r="C115" s="25" t="s">
        <v>1552</v>
      </c>
      <c r="D115" s="23" t="s">
        <v>1332</v>
      </c>
      <c r="E115" s="42">
        <v>46132</v>
      </c>
      <c r="F115" s="26" t="s">
        <v>55</v>
      </c>
      <c r="G115" s="26" t="s">
        <v>57</v>
      </c>
      <c r="H115" s="26" t="s">
        <v>57</v>
      </c>
      <c r="I115" s="26" t="s">
        <v>90</v>
      </c>
      <c r="J115" s="26" t="s">
        <v>57</v>
      </c>
      <c r="K115" s="27" t="s">
        <v>91</v>
      </c>
      <c r="L115" s="28" t="s">
        <v>56</v>
      </c>
      <c r="M115" s="29" t="str">
        <f t="shared" si="5"/>
        <v>⚠ Missing</v>
      </c>
      <c r="N115" s="42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 t="s">
        <v>61</v>
      </c>
      <c r="AG115" s="33" t="s">
        <v>55</v>
      </c>
      <c r="AH115" s="33" t="s">
        <v>56</v>
      </c>
      <c r="AI115" s="33" t="s">
        <v>57</v>
      </c>
      <c r="AJ115" s="33" t="s">
        <v>58</v>
      </c>
      <c r="AK115" s="33" t="s">
        <v>56</v>
      </c>
      <c r="AL115" s="27"/>
      <c r="AM115" s="34" t="s">
        <v>57</v>
      </c>
      <c r="AN115" s="35" t="str">
        <f t="shared" si="8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1553</v>
      </c>
      <c r="C116" s="41" t="s">
        <v>1554</v>
      </c>
      <c r="D116" s="39" t="s">
        <v>1332</v>
      </c>
      <c r="E116" s="42">
        <v>46132</v>
      </c>
      <c r="F116" s="26" t="s">
        <v>55</v>
      </c>
      <c r="G116" s="26" t="s">
        <v>57</v>
      </c>
      <c r="H116" s="26" t="s">
        <v>57</v>
      </c>
      <c r="I116" s="26" t="s">
        <v>90</v>
      </c>
      <c r="J116" s="26" t="s">
        <v>57</v>
      </c>
      <c r="K116" s="27" t="s">
        <v>91</v>
      </c>
      <c r="L116" s="28" t="s">
        <v>56</v>
      </c>
      <c r="M116" s="29" t="str">
        <f t="shared" si="5"/>
        <v>⚠ Missing</v>
      </c>
      <c r="N116" s="42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 t="s">
        <v>61</v>
      </c>
      <c r="AG116" s="33" t="s">
        <v>55</v>
      </c>
      <c r="AH116" s="33" t="s">
        <v>56</v>
      </c>
      <c r="AI116" s="33" t="s">
        <v>57</v>
      </c>
      <c r="AJ116" s="33" t="s">
        <v>58</v>
      </c>
      <c r="AK116" s="33" t="s">
        <v>56</v>
      </c>
      <c r="AL116" s="27"/>
      <c r="AM116" s="34" t="s">
        <v>57</v>
      </c>
      <c r="AN116" s="35" t="str">
        <f t="shared" si="8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1555</v>
      </c>
      <c r="C117" s="25" t="s">
        <v>1556</v>
      </c>
      <c r="D117" s="23" t="s">
        <v>1332</v>
      </c>
      <c r="E117" s="42">
        <v>46132</v>
      </c>
      <c r="F117" s="26" t="s">
        <v>55</v>
      </c>
      <c r="G117" s="26" t="s">
        <v>57</v>
      </c>
      <c r="H117" s="26" t="s">
        <v>57</v>
      </c>
      <c r="I117" s="26" t="s">
        <v>90</v>
      </c>
      <c r="J117" s="26" t="s">
        <v>57</v>
      </c>
      <c r="K117" s="27" t="s">
        <v>91</v>
      </c>
      <c r="L117" s="28" t="s">
        <v>56</v>
      </c>
      <c r="M117" s="29" t="str">
        <f t="shared" si="5"/>
        <v>⚠ Missing</v>
      </c>
      <c r="N117" s="42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 t="s">
        <v>61</v>
      </c>
      <c r="AG117" s="33" t="s">
        <v>55</v>
      </c>
      <c r="AH117" s="33" t="s">
        <v>56</v>
      </c>
      <c r="AI117" s="33" t="s">
        <v>57</v>
      </c>
      <c r="AJ117" s="33" t="s">
        <v>58</v>
      </c>
      <c r="AK117" s="33" t="s">
        <v>56</v>
      </c>
      <c r="AL117" s="27"/>
      <c r="AM117" s="34" t="s">
        <v>57</v>
      </c>
      <c r="AN117" s="35" t="str">
        <f t="shared" si="8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1557</v>
      </c>
      <c r="C118" s="41" t="s">
        <v>1558</v>
      </c>
      <c r="D118" s="39" t="s">
        <v>1332</v>
      </c>
      <c r="E118" s="42">
        <v>46132</v>
      </c>
      <c r="F118" s="26" t="s">
        <v>55</v>
      </c>
      <c r="G118" s="26" t="s">
        <v>57</v>
      </c>
      <c r="H118" s="26" t="s">
        <v>57</v>
      </c>
      <c r="I118" s="26" t="s">
        <v>90</v>
      </c>
      <c r="J118" s="26" t="s">
        <v>57</v>
      </c>
      <c r="K118" s="27" t="s">
        <v>91</v>
      </c>
      <c r="L118" s="28" t="s">
        <v>56</v>
      </c>
      <c r="M118" s="29" t="str">
        <f t="shared" si="5"/>
        <v>⚠ Missing</v>
      </c>
      <c r="N118" s="42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 t="s">
        <v>61</v>
      </c>
      <c r="AG118" s="33" t="s">
        <v>55</v>
      </c>
      <c r="AH118" s="33" t="s">
        <v>56</v>
      </c>
      <c r="AI118" s="33" t="s">
        <v>57</v>
      </c>
      <c r="AJ118" s="33" t="s">
        <v>58</v>
      </c>
      <c r="AK118" s="33" t="s">
        <v>56</v>
      </c>
      <c r="AL118" s="27"/>
      <c r="AM118" s="34" t="s">
        <v>57</v>
      </c>
      <c r="AN118" s="35" t="str">
        <f t="shared" si="8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1559</v>
      </c>
      <c r="C119" s="25" t="s">
        <v>1560</v>
      </c>
      <c r="D119" s="23" t="s">
        <v>1332</v>
      </c>
      <c r="E119" s="42">
        <v>46132</v>
      </c>
      <c r="F119" s="26" t="s">
        <v>55</v>
      </c>
      <c r="G119" s="26" t="s">
        <v>57</v>
      </c>
      <c r="H119" s="26" t="s">
        <v>57</v>
      </c>
      <c r="I119" s="26" t="s">
        <v>90</v>
      </c>
      <c r="J119" s="26" t="s">
        <v>57</v>
      </c>
      <c r="K119" s="27" t="s">
        <v>91</v>
      </c>
      <c r="L119" s="28" t="s">
        <v>56</v>
      </c>
      <c r="M119" s="29" t="str">
        <f t="shared" si="5"/>
        <v>⚠ Missing</v>
      </c>
      <c r="N119" s="42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 t="s">
        <v>61</v>
      </c>
      <c r="AG119" s="33" t="s">
        <v>55</v>
      </c>
      <c r="AH119" s="33" t="s">
        <v>56</v>
      </c>
      <c r="AI119" s="33" t="s">
        <v>57</v>
      </c>
      <c r="AJ119" s="33" t="s">
        <v>58</v>
      </c>
      <c r="AK119" s="33" t="s">
        <v>56</v>
      </c>
      <c r="AL119" s="27"/>
      <c r="AM119" s="34" t="s">
        <v>57</v>
      </c>
      <c r="AN119" s="35" t="str">
        <f t="shared" si="8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1561</v>
      </c>
      <c r="C120" s="41" t="s">
        <v>1562</v>
      </c>
      <c r="D120" s="39" t="s">
        <v>1332</v>
      </c>
      <c r="E120" s="42">
        <v>46132</v>
      </c>
      <c r="F120" s="26" t="s">
        <v>55</v>
      </c>
      <c r="G120" s="26" t="s">
        <v>57</v>
      </c>
      <c r="H120" s="26" t="s">
        <v>57</v>
      </c>
      <c r="I120" s="26" t="s">
        <v>90</v>
      </c>
      <c r="J120" s="26" t="s">
        <v>57</v>
      </c>
      <c r="K120" s="27" t="s">
        <v>91</v>
      </c>
      <c r="L120" s="28" t="s">
        <v>56</v>
      </c>
      <c r="M120" s="29" t="str">
        <f t="shared" si="5"/>
        <v>⚠ Missing</v>
      </c>
      <c r="N120" s="42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 t="s">
        <v>61</v>
      </c>
      <c r="AG120" s="33" t="s">
        <v>55</v>
      </c>
      <c r="AH120" s="33" t="s">
        <v>56</v>
      </c>
      <c r="AI120" s="33" t="s">
        <v>57</v>
      </c>
      <c r="AJ120" s="33" t="s">
        <v>58</v>
      </c>
      <c r="AK120" s="33" t="s">
        <v>56</v>
      </c>
      <c r="AL120" s="27"/>
      <c r="AM120" s="34" t="s">
        <v>57</v>
      </c>
      <c r="AN120" s="35" t="str">
        <f t="shared" si="8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1563</v>
      </c>
      <c r="C121" s="25" t="s">
        <v>1564</v>
      </c>
      <c r="D121" s="23" t="s">
        <v>1332</v>
      </c>
      <c r="E121" s="42">
        <v>46132</v>
      </c>
      <c r="F121" s="26" t="s">
        <v>55</v>
      </c>
      <c r="G121" s="26" t="s">
        <v>57</v>
      </c>
      <c r="H121" s="26" t="s">
        <v>57</v>
      </c>
      <c r="I121" s="26" t="s">
        <v>90</v>
      </c>
      <c r="J121" s="26" t="s">
        <v>57</v>
      </c>
      <c r="K121" s="27" t="s">
        <v>91</v>
      </c>
      <c r="L121" s="28" t="s">
        <v>56</v>
      </c>
      <c r="M121" s="29" t="str">
        <f t="shared" si="5"/>
        <v>⚠ Missing</v>
      </c>
      <c r="N121" s="42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 t="s">
        <v>61</v>
      </c>
      <c r="AG121" s="33" t="s">
        <v>55</v>
      </c>
      <c r="AH121" s="33" t="s">
        <v>56</v>
      </c>
      <c r="AI121" s="33" t="s">
        <v>57</v>
      </c>
      <c r="AJ121" s="33" t="s">
        <v>58</v>
      </c>
      <c r="AK121" s="33" t="s">
        <v>56</v>
      </c>
      <c r="AL121" s="27"/>
      <c r="AM121" s="34" t="s">
        <v>57</v>
      </c>
      <c r="AN121" s="35" t="str">
        <f t="shared" si="8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1565</v>
      </c>
      <c r="C122" s="41" t="s">
        <v>1566</v>
      </c>
      <c r="D122" s="39" t="s">
        <v>1332</v>
      </c>
      <c r="E122" s="42">
        <v>46132</v>
      </c>
      <c r="F122" s="26" t="s">
        <v>55</v>
      </c>
      <c r="G122" s="26" t="s">
        <v>57</v>
      </c>
      <c r="H122" s="26" t="s">
        <v>57</v>
      </c>
      <c r="I122" s="26" t="s">
        <v>90</v>
      </c>
      <c r="J122" s="26" t="s">
        <v>57</v>
      </c>
      <c r="K122" s="27" t="s">
        <v>91</v>
      </c>
      <c r="L122" s="28" t="s">
        <v>56</v>
      </c>
      <c r="M122" s="29" t="str">
        <f t="shared" si="5"/>
        <v>⚠ Missing</v>
      </c>
      <c r="N122" s="42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 t="s">
        <v>61</v>
      </c>
      <c r="AG122" s="33" t="s">
        <v>55</v>
      </c>
      <c r="AH122" s="33" t="s">
        <v>56</v>
      </c>
      <c r="AI122" s="33" t="s">
        <v>57</v>
      </c>
      <c r="AJ122" s="33" t="s">
        <v>58</v>
      </c>
      <c r="AK122" s="33" t="s">
        <v>56</v>
      </c>
      <c r="AL122" s="27"/>
      <c r="AM122" s="34" t="s">
        <v>57</v>
      </c>
      <c r="AN122" s="35" t="str">
        <f t="shared" si="8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1567</v>
      </c>
      <c r="C123" s="25" t="s">
        <v>1568</v>
      </c>
      <c r="D123" s="23" t="s">
        <v>1332</v>
      </c>
      <c r="E123" s="42">
        <v>46132</v>
      </c>
      <c r="F123" s="26" t="s">
        <v>55</v>
      </c>
      <c r="G123" s="26" t="s">
        <v>57</v>
      </c>
      <c r="H123" s="26" t="s">
        <v>57</v>
      </c>
      <c r="I123" s="26" t="s">
        <v>90</v>
      </c>
      <c r="J123" s="26" t="s">
        <v>57</v>
      </c>
      <c r="K123" s="27" t="s">
        <v>91</v>
      </c>
      <c r="L123" s="28" t="s">
        <v>56</v>
      </c>
      <c r="M123" s="29" t="str">
        <f t="shared" si="5"/>
        <v>⚠ Missing</v>
      </c>
      <c r="N123" s="42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 t="s">
        <v>61</v>
      </c>
      <c r="AG123" s="33" t="s">
        <v>55</v>
      </c>
      <c r="AH123" s="33" t="s">
        <v>56</v>
      </c>
      <c r="AI123" s="33" t="s">
        <v>57</v>
      </c>
      <c r="AJ123" s="33" t="s">
        <v>58</v>
      </c>
      <c r="AK123" s="33" t="s">
        <v>56</v>
      </c>
      <c r="AL123" s="27"/>
      <c r="AM123" s="34" t="s">
        <v>57</v>
      </c>
      <c r="AN123" s="35" t="str">
        <f t="shared" si="8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1569</v>
      </c>
      <c r="C124" s="41" t="s">
        <v>1570</v>
      </c>
      <c r="D124" s="39" t="s">
        <v>1332</v>
      </c>
      <c r="E124" s="42">
        <v>46132</v>
      </c>
      <c r="F124" s="26" t="s">
        <v>55</v>
      </c>
      <c r="G124" s="26" t="s">
        <v>57</v>
      </c>
      <c r="H124" s="26" t="s">
        <v>57</v>
      </c>
      <c r="I124" s="26" t="s">
        <v>90</v>
      </c>
      <c r="J124" s="26" t="s">
        <v>57</v>
      </c>
      <c r="K124" s="27" t="s">
        <v>91</v>
      </c>
      <c r="L124" s="28" t="s">
        <v>56</v>
      </c>
      <c r="M124" s="29" t="str">
        <f t="shared" si="5"/>
        <v>⚠ Missing</v>
      </c>
      <c r="N124" s="42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 t="s">
        <v>61</v>
      </c>
      <c r="AG124" s="33" t="s">
        <v>55</v>
      </c>
      <c r="AH124" s="33" t="s">
        <v>56</v>
      </c>
      <c r="AI124" s="33" t="s">
        <v>57</v>
      </c>
      <c r="AJ124" s="33" t="s">
        <v>58</v>
      </c>
      <c r="AK124" s="33" t="s">
        <v>56</v>
      </c>
      <c r="AL124" s="27"/>
      <c r="AM124" s="34" t="s">
        <v>57</v>
      </c>
      <c r="AN124" s="35" t="str">
        <f t="shared" si="8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1571</v>
      </c>
      <c r="C125" s="25" t="s">
        <v>1572</v>
      </c>
      <c r="D125" s="23" t="s">
        <v>1332</v>
      </c>
      <c r="E125" s="42">
        <v>46132</v>
      </c>
      <c r="F125" s="26" t="s">
        <v>55</v>
      </c>
      <c r="G125" s="26" t="s">
        <v>57</v>
      </c>
      <c r="H125" s="26" t="s">
        <v>57</v>
      </c>
      <c r="I125" s="26" t="s">
        <v>90</v>
      </c>
      <c r="J125" s="26" t="s">
        <v>57</v>
      </c>
      <c r="K125" s="27" t="s">
        <v>91</v>
      </c>
      <c r="L125" s="28" t="s">
        <v>56</v>
      </c>
      <c r="M125" s="29" t="str">
        <f t="shared" si="5"/>
        <v>⚠ Missing</v>
      </c>
      <c r="N125" s="42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 t="s">
        <v>61</v>
      </c>
      <c r="AG125" s="33" t="s">
        <v>55</v>
      </c>
      <c r="AH125" s="33" t="s">
        <v>56</v>
      </c>
      <c r="AI125" s="33" t="s">
        <v>57</v>
      </c>
      <c r="AJ125" s="33" t="s">
        <v>58</v>
      </c>
      <c r="AK125" s="33" t="s">
        <v>56</v>
      </c>
      <c r="AL125" s="27"/>
      <c r="AM125" s="34" t="s">
        <v>57</v>
      </c>
      <c r="AN125" s="35" t="str">
        <f t="shared" si="8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1573</v>
      </c>
      <c r="C126" s="41" t="s">
        <v>1574</v>
      </c>
      <c r="D126" s="39" t="s">
        <v>1332</v>
      </c>
      <c r="E126" s="42">
        <v>46132</v>
      </c>
      <c r="F126" s="26" t="s">
        <v>55</v>
      </c>
      <c r="G126" s="26" t="s">
        <v>57</v>
      </c>
      <c r="H126" s="26" t="s">
        <v>57</v>
      </c>
      <c r="I126" s="26" t="s">
        <v>90</v>
      </c>
      <c r="J126" s="26" t="s">
        <v>57</v>
      </c>
      <c r="K126" s="27" t="s">
        <v>91</v>
      </c>
      <c r="L126" s="28" t="s">
        <v>56</v>
      </c>
      <c r="M126" s="29" t="str">
        <f t="shared" si="5"/>
        <v>⚠ Missing</v>
      </c>
      <c r="N126" s="42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 t="s">
        <v>61</v>
      </c>
      <c r="AG126" s="33" t="s">
        <v>55</v>
      </c>
      <c r="AH126" s="33" t="s">
        <v>56</v>
      </c>
      <c r="AI126" s="33" t="s">
        <v>57</v>
      </c>
      <c r="AJ126" s="33" t="s">
        <v>58</v>
      </c>
      <c r="AK126" s="33" t="s">
        <v>56</v>
      </c>
      <c r="AL126" s="27"/>
      <c r="AM126" s="34" t="s">
        <v>57</v>
      </c>
      <c r="AN126" s="35" t="str">
        <f t="shared" si="8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1575</v>
      </c>
      <c r="C127" s="25" t="s">
        <v>1576</v>
      </c>
      <c r="D127" s="23" t="s">
        <v>1332</v>
      </c>
      <c r="E127" s="42">
        <v>46132</v>
      </c>
      <c r="F127" s="26" t="s">
        <v>55</v>
      </c>
      <c r="G127" s="26" t="s">
        <v>57</v>
      </c>
      <c r="H127" s="26" t="s">
        <v>57</v>
      </c>
      <c r="I127" s="26" t="s">
        <v>90</v>
      </c>
      <c r="J127" s="26" t="s">
        <v>57</v>
      </c>
      <c r="K127" s="27" t="s">
        <v>91</v>
      </c>
      <c r="L127" s="28" t="s">
        <v>56</v>
      </c>
      <c r="M127" s="29" t="str">
        <f t="shared" si="5"/>
        <v>⚠ Missing</v>
      </c>
      <c r="N127" s="42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 t="s">
        <v>61</v>
      </c>
      <c r="AG127" s="33" t="s">
        <v>55</v>
      </c>
      <c r="AH127" s="33" t="s">
        <v>56</v>
      </c>
      <c r="AI127" s="33" t="s">
        <v>57</v>
      </c>
      <c r="AJ127" s="33" t="s">
        <v>58</v>
      </c>
      <c r="AK127" s="33" t="s">
        <v>56</v>
      </c>
      <c r="AL127" s="27"/>
      <c r="AM127" s="34" t="s">
        <v>57</v>
      </c>
      <c r="AN127" s="35" t="str">
        <f t="shared" si="8"/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1577</v>
      </c>
      <c r="C128" s="41" t="s">
        <v>1578</v>
      </c>
      <c r="D128" s="39" t="s">
        <v>1332</v>
      </c>
      <c r="E128" s="42">
        <v>46132</v>
      </c>
      <c r="F128" s="26" t="s">
        <v>55</v>
      </c>
      <c r="G128" s="26" t="s">
        <v>57</v>
      </c>
      <c r="H128" s="26" t="s">
        <v>57</v>
      </c>
      <c r="I128" s="26" t="s">
        <v>90</v>
      </c>
      <c r="J128" s="26" t="s">
        <v>57</v>
      </c>
      <c r="K128" s="27" t="s">
        <v>91</v>
      </c>
      <c r="L128" s="28" t="s">
        <v>56</v>
      </c>
      <c r="M128" s="29" t="str">
        <f t="shared" si="5"/>
        <v>⚠ Missing</v>
      </c>
      <c r="N128" s="42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 t="s">
        <v>61</v>
      </c>
      <c r="AG128" s="33" t="s">
        <v>55</v>
      </c>
      <c r="AH128" s="33" t="s">
        <v>56</v>
      </c>
      <c r="AI128" s="33" t="s">
        <v>57</v>
      </c>
      <c r="AJ128" s="33" t="s">
        <v>58</v>
      </c>
      <c r="AK128" s="33" t="s">
        <v>56</v>
      </c>
      <c r="AL128" s="27"/>
      <c r="AM128" s="34" t="s">
        <v>57</v>
      </c>
      <c r="AN128" s="35" t="str">
        <f t="shared" si="8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1579</v>
      </c>
      <c r="C129" s="25" t="s">
        <v>1580</v>
      </c>
      <c r="D129" s="23" t="s">
        <v>1332</v>
      </c>
      <c r="E129" s="42">
        <v>46132</v>
      </c>
      <c r="F129" s="26" t="s">
        <v>55</v>
      </c>
      <c r="G129" s="26" t="s">
        <v>57</v>
      </c>
      <c r="H129" s="26" t="s">
        <v>57</v>
      </c>
      <c r="I129" s="26" t="s">
        <v>90</v>
      </c>
      <c r="J129" s="26" t="s">
        <v>57</v>
      </c>
      <c r="K129" s="27" t="s">
        <v>91</v>
      </c>
      <c r="L129" s="28" t="s">
        <v>56</v>
      </c>
      <c r="M129" s="29" t="str">
        <f t="shared" si="5"/>
        <v>⚠ Missing</v>
      </c>
      <c r="N129" s="42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 t="s">
        <v>61</v>
      </c>
      <c r="AG129" s="33" t="s">
        <v>55</v>
      </c>
      <c r="AH129" s="33" t="s">
        <v>56</v>
      </c>
      <c r="AI129" s="33" t="s">
        <v>57</v>
      </c>
      <c r="AJ129" s="33" t="s">
        <v>58</v>
      </c>
      <c r="AK129" s="33" t="s">
        <v>56</v>
      </c>
      <c r="AL129" s="27"/>
      <c r="AM129" s="34" t="s">
        <v>57</v>
      </c>
      <c r="AN129" s="35" t="str">
        <f t="shared" si="8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1581</v>
      </c>
      <c r="C130" s="41" t="s">
        <v>1582</v>
      </c>
      <c r="D130" s="39" t="s">
        <v>1332</v>
      </c>
      <c r="E130" s="42">
        <v>46132</v>
      </c>
      <c r="F130" s="26" t="s">
        <v>55</v>
      </c>
      <c r="G130" s="26" t="s">
        <v>57</v>
      </c>
      <c r="H130" s="26" t="s">
        <v>57</v>
      </c>
      <c r="I130" s="26" t="s">
        <v>90</v>
      </c>
      <c r="J130" s="26" t="s">
        <v>57</v>
      </c>
      <c r="K130" s="27" t="s">
        <v>91</v>
      </c>
      <c r="L130" s="28" t="s">
        <v>56</v>
      </c>
      <c r="M130" s="29" t="str">
        <f t="shared" si="5"/>
        <v>⚠ Missing</v>
      </c>
      <c r="N130" s="42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 t="s">
        <v>61</v>
      </c>
      <c r="AG130" s="33" t="s">
        <v>55</v>
      </c>
      <c r="AH130" s="33" t="s">
        <v>56</v>
      </c>
      <c r="AI130" s="33" t="s">
        <v>57</v>
      </c>
      <c r="AJ130" s="33" t="s">
        <v>58</v>
      </c>
      <c r="AK130" s="33" t="s">
        <v>56</v>
      </c>
      <c r="AL130" s="27"/>
      <c r="AM130" s="34" t="s">
        <v>57</v>
      </c>
      <c r="AN130" s="35" t="str">
        <f t="shared" si="8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1583</v>
      </c>
      <c r="C131" s="25" t="s">
        <v>1584</v>
      </c>
      <c r="D131" s="23" t="s">
        <v>1332</v>
      </c>
      <c r="E131" s="42">
        <v>46132</v>
      </c>
      <c r="F131" s="26" t="s">
        <v>55</v>
      </c>
      <c r="G131" s="26" t="s">
        <v>57</v>
      </c>
      <c r="H131" s="26" t="s">
        <v>57</v>
      </c>
      <c r="I131" s="26" t="s">
        <v>90</v>
      </c>
      <c r="J131" s="26" t="s">
        <v>57</v>
      </c>
      <c r="K131" s="27" t="s">
        <v>91</v>
      </c>
      <c r="L131" s="28" t="s">
        <v>56</v>
      </c>
      <c r="M131" s="29" t="str">
        <f t="shared" si="5"/>
        <v>⚠ Missing</v>
      </c>
      <c r="N131" s="42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 t="s">
        <v>61</v>
      </c>
      <c r="AG131" s="33" t="s">
        <v>55</v>
      </c>
      <c r="AH131" s="33" t="s">
        <v>56</v>
      </c>
      <c r="AI131" s="33" t="s">
        <v>57</v>
      </c>
      <c r="AJ131" s="33" t="s">
        <v>58</v>
      </c>
      <c r="AK131" s="33" t="s">
        <v>56</v>
      </c>
      <c r="AL131" s="27"/>
      <c r="AM131" s="34" t="s">
        <v>57</v>
      </c>
      <c r="AN131" s="35" t="str">
        <f t="shared" si="8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1585</v>
      </c>
      <c r="C132" s="41" t="s">
        <v>1586</v>
      </c>
      <c r="D132" s="39" t="s">
        <v>1332</v>
      </c>
      <c r="E132" s="42">
        <v>46132</v>
      </c>
      <c r="F132" s="26" t="s">
        <v>55</v>
      </c>
      <c r="G132" s="26" t="s">
        <v>57</v>
      </c>
      <c r="H132" s="26" t="s">
        <v>57</v>
      </c>
      <c r="I132" s="26" t="s">
        <v>90</v>
      </c>
      <c r="J132" s="26" t="s">
        <v>57</v>
      </c>
      <c r="K132" s="27" t="s">
        <v>91</v>
      </c>
      <c r="L132" s="28" t="s">
        <v>56</v>
      </c>
      <c r="M132" s="29" t="str">
        <f t="shared" si="5"/>
        <v>⚠ Missing</v>
      </c>
      <c r="N132" s="42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 t="s">
        <v>61</v>
      </c>
      <c r="AG132" s="33" t="s">
        <v>55</v>
      </c>
      <c r="AH132" s="33" t="s">
        <v>56</v>
      </c>
      <c r="AI132" s="33" t="s">
        <v>57</v>
      </c>
      <c r="AJ132" s="33" t="s">
        <v>58</v>
      </c>
      <c r="AK132" s="33" t="s">
        <v>56</v>
      </c>
      <c r="AL132" s="27"/>
      <c r="AM132" s="34" t="s">
        <v>57</v>
      </c>
      <c r="AN132" s="35" t="str">
        <f t="shared" si="8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1587</v>
      </c>
      <c r="C133" s="25" t="s">
        <v>1588</v>
      </c>
      <c r="D133" s="23" t="s">
        <v>1332</v>
      </c>
      <c r="E133" s="42">
        <v>46132</v>
      </c>
      <c r="F133" s="26" t="s">
        <v>55</v>
      </c>
      <c r="G133" s="26" t="s">
        <v>57</v>
      </c>
      <c r="H133" s="26" t="s">
        <v>57</v>
      </c>
      <c r="I133" s="26" t="s">
        <v>90</v>
      </c>
      <c r="J133" s="26" t="s">
        <v>57</v>
      </c>
      <c r="K133" s="27" t="s">
        <v>91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Missing</v>
      </c>
      <c r="N133" s="42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 t="s">
        <v>61</v>
      </c>
      <c r="AG133" s="33" t="s">
        <v>55</v>
      </c>
      <c r="AH133" s="33" t="s">
        <v>56</v>
      </c>
      <c r="AI133" s="33" t="s">
        <v>57</v>
      </c>
      <c r="AJ133" s="33" t="s">
        <v>58</v>
      </c>
      <c r="AK133" s="33" t="s">
        <v>56</v>
      </c>
      <c r="AL133" s="27"/>
      <c r="AM133" s="34" t="s">
        <v>57</v>
      </c>
      <c r="AN133" s="35" t="str">
        <f t="shared" ref="AN133:AN196" si="13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1589</v>
      </c>
      <c r="C134" s="41" t="s">
        <v>1590</v>
      </c>
      <c r="D134" s="39" t="s">
        <v>1332</v>
      </c>
      <c r="E134" s="42">
        <v>46132</v>
      </c>
      <c r="F134" s="26" t="s">
        <v>55</v>
      </c>
      <c r="G134" s="26" t="s">
        <v>57</v>
      </c>
      <c r="H134" s="26" t="s">
        <v>57</v>
      </c>
      <c r="I134" s="26" t="s">
        <v>90</v>
      </c>
      <c r="J134" s="26" t="s">
        <v>57</v>
      </c>
      <c r="K134" s="27" t="s">
        <v>91</v>
      </c>
      <c r="L134" s="28" t="s">
        <v>56</v>
      </c>
      <c r="M134" s="29" t="str">
        <f t="shared" si="10"/>
        <v>⚠ Missing</v>
      </c>
      <c r="N134" s="42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 t="s">
        <v>61</v>
      </c>
      <c r="AG134" s="33" t="s">
        <v>55</v>
      </c>
      <c r="AH134" s="33" t="s">
        <v>56</v>
      </c>
      <c r="AI134" s="33" t="s">
        <v>57</v>
      </c>
      <c r="AJ134" s="33" t="s">
        <v>58</v>
      </c>
      <c r="AK134" s="33" t="s">
        <v>56</v>
      </c>
      <c r="AL134" s="27"/>
      <c r="AM134" s="34" t="s">
        <v>57</v>
      </c>
      <c r="AN134" s="35" t="str">
        <f t="shared" si="13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1591</v>
      </c>
      <c r="C135" s="25" t="s">
        <v>1592</v>
      </c>
      <c r="D135" s="23" t="s">
        <v>1332</v>
      </c>
      <c r="E135" s="42">
        <v>46132</v>
      </c>
      <c r="F135" s="26" t="s">
        <v>55</v>
      </c>
      <c r="G135" s="26" t="s">
        <v>57</v>
      </c>
      <c r="H135" s="26" t="s">
        <v>57</v>
      </c>
      <c r="I135" s="26" t="s">
        <v>90</v>
      </c>
      <c r="J135" s="26" t="s">
        <v>57</v>
      </c>
      <c r="K135" s="27" t="s">
        <v>91</v>
      </c>
      <c r="L135" s="28" t="s">
        <v>56</v>
      </c>
      <c r="M135" s="29" t="str">
        <f t="shared" si="10"/>
        <v>⚠ Missing</v>
      </c>
      <c r="N135" s="42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 t="s">
        <v>61</v>
      </c>
      <c r="AG135" s="33" t="s">
        <v>55</v>
      </c>
      <c r="AH135" s="33" t="s">
        <v>56</v>
      </c>
      <c r="AI135" s="33" t="s">
        <v>57</v>
      </c>
      <c r="AJ135" s="33" t="s">
        <v>58</v>
      </c>
      <c r="AK135" s="33" t="s">
        <v>56</v>
      </c>
      <c r="AL135" s="27"/>
      <c r="AM135" s="34" t="s">
        <v>57</v>
      </c>
      <c r="AN135" s="35" t="str">
        <f t="shared" si="13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1593</v>
      </c>
      <c r="C136" s="41" t="s">
        <v>1594</v>
      </c>
      <c r="D136" s="39" t="s">
        <v>1332</v>
      </c>
      <c r="E136" s="42">
        <v>46132</v>
      </c>
      <c r="F136" s="26" t="s">
        <v>55</v>
      </c>
      <c r="G136" s="26" t="s">
        <v>57</v>
      </c>
      <c r="H136" s="26" t="s">
        <v>57</v>
      </c>
      <c r="I136" s="26" t="s">
        <v>90</v>
      </c>
      <c r="J136" s="26" t="s">
        <v>57</v>
      </c>
      <c r="K136" s="27" t="s">
        <v>91</v>
      </c>
      <c r="L136" s="28" t="s">
        <v>56</v>
      </c>
      <c r="M136" s="29" t="str">
        <f t="shared" si="10"/>
        <v>⚠ Missing</v>
      </c>
      <c r="N136" s="42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 t="s">
        <v>61</v>
      </c>
      <c r="AG136" s="33" t="s">
        <v>55</v>
      </c>
      <c r="AH136" s="33" t="s">
        <v>56</v>
      </c>
      <c r="AI136" s="33" t="s">
        <v>57</v>
      </c>
      <c r="AJ136" s="33" t="s">
        <v>58</v>
      </c>
      <c r="AK136" s="33" t="s">
        <v>56</v>
      </c>
      <c r="AL136" s="27"/>
      <c r="AM136" s="34" t="s">
        <v>57</v>
      </c>
      <c r="AN136" s="35" t="str">
        <f t="shared" si="13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1595</v>
      </c>
      <c r="C137" s="25" t="s">
        <v>1596</v>
      </c>
      <c r="D137" s="23" t="s">
        <v>1332</v>
      </c>
      <c r="E137" s="42">
        <v>46132</v>
      </c>
      <c r="F137" s="26" t="s">
        <v>55</v>
      </c>
      <c r="G137" s="26" t="s">
        <v>57</v>
      </c>
      <c r="H137" s="26" t="s">
        <v>57</v>
      </c>
      <c r="I137" s="26" t="s">
        <v>90</v>
      </c>
      <c r="J137" s="26" t="s">
        <v>57</v>
      </c>
      <c r="K137" s="27" t="s">
        <v>91</v>
      </c>
      <c r="L137" s="28" t="s">
        <v>56</v>
      </c>
      <c r="M137" s="29" t="str">
        <f t="shared" si="10"/>
        <v>⚠ Missing</v>
      </c>
      <c r="N137" s="42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 t="s">
        <v>61</v>
      </c>
      <c r="AG137" s="33" t="s">
        <v>55</v>
      </c>
      <c r="AH137" s="33" t="s">
        <v>56</v>
      </c>
      <c r="AI137" s="33" t="s">
        <v>57</v>
      </c>
      <c r="AJ137" s="33" t="s">
        <v>58</v>
      </c>
      <c r="AK137" s="33" t="s">
        <v>56</v>
      </c>
      <c r="AL137" s="27"/>
      <c r="AM137" s="34" t="s">
        <v>57</v>
      </c>
      <c r="AN137" s="35" t="str">
        <f t="shared" si="13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1597</v>
      </c>
      <c r="C138" s="41" t="s">
        <v>1598</v>
      </c>
      <c r="D138" s="39" t="s">
        <v>1332</v>
      </c>
      <c r="E138" s="42">
        <v>46132</v>
      </c>
      <c r="F138" s="26" t="s">
        <v>55</v>
      </c>
      <c r="G138" s="26" t="s">
        <v>57</v>
      </c>
      <c r="H138" s="26" t="s">
        <v>57</v>
      </c>
      <c r="I138" s="26" t="s">
        <v>90</v>
      </c>
      <c r="J138" s="26" t="s">
        <v>57</v>
      </c>
      <c r="K138" s="27" t="s">
        <v>91</v>
      </c>
      <c r="L138" s="28" t="s">
        <v>56</v>
      </c>
      <c r="M138" s="29" t="str">
        <f t="shared" si="10"/>
        <v>⚠ Missing</v>
      </c>
      <c r="N138" s="42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58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 t="s">
        <v>61</v>
      </c>
      <c r="AG138" s="33" t="s">
        <v>55</v>
      </c>
      <c r="AH138" s="33" t="s">
        <v>56</v>
      </c>
      <c r="AI138" s="33" t="s">
        <v>57</v>
      </c>
      <c r="AJ138" s="33" t="s">
        <v>58</v>
      </c>
      <c r="AK138" s="33" t="s">
        <v>56</v>
      </c>
      <c r="AL138" s="27"/>
      <c r="AM138" s="34" t="s">
        <v>57</v>
      </c>
      <c r="AN138" s="35" t="str">
        <f t="shared" si="13"/>
        <v>✓ OK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1599</v>
      </c>
      <c r="C139" s="25" t="s">
        <v>1600</v>
      </c>
      <c r="D139" s="23" t="s">
        <v>1332</v>
      </c>
      <c r="E139" s="42">
        <v>46132</v>
      </c>
      <c r="F139" s="26" t="s">
        <v>55</v>
      </c>
      <c r="G139" s="26" t="s">
        <v>57</v>
      </c>
      <c r="H139" s="26" t="s">
        <v>57</v>
      </c>
      <c r="I139" s="26" t="s">
        <v>90</v>
      </c>
      <c r="J139" s="26" t="s">
        <v>57</v>
      </c>
      <c r="K139" s="27" t="s">
        <v>91</v>
      </c>
      <c r="L139" s="28" t="s">
        <v>56</v>
      </c>
      <c r="M139" s="29" t="str">
        <f t="shared" si="10"/>
        <v>⚠ Missing</v>
      </c>
      <c r="N139" s="42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58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 t="s">
        <v>61</v>
      </c>
      <c r="AG139" s="33" t="s">
        <v>55</v>
      </c>
      <c r="AH139" s="33" t="s">
        <v>56</v>
      </c>
      <c r="AI139" s="33" t="s">
        <v>57</v>
      </c>
      <c r="AJ139" s="33" t="s">
        <v>58</v>
      </c>
      <c r="AK139" s="33" t="s">
        <v>56</v>
      </c>
      <c r="AL139" s="27"/>
      <c r="AM139" s="34" t="s">
        <v>57</v>
      </c>
      <c r="AN139" s="35" t="str">
        <f t="shared" si="13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1601</v>
      </c>
      <c r="C140" s="41" t="s">
        <v>1602</v>
      </c>
      <c r="D140" s="39" t="s">
        <v>1332</v>
      </c>
      <c r="E140" s="42">
        <v>46132</v>
      </c>
      <c r="F140" s="26" t="s">
        <v>55</v>
      </c>
      <c r="G140" s="26" t="s">
        <v>57</v>
      </c>
      <c r="H140" s="26" t="s">
        <v>57</v>
      </c>
      <c r="I140" s="26" t="s">
        <v>90</v>
      </c>
      <c r="J140" s="26" t="s">
        <v>57</v>
      </c>
      <c r="K140" s="27" t="s">
        <v>91</v>
      </c>
      <c r="L140" s="28" t="s">
        <v>56</v>
      </c>
      <c r="M140" s="29" t="str">
        <f t="shared" si="10"/>
        <v>⚠ Missing</v>
      </c>
      <c r="N140" s="42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 t="s">
        <v>61</v>
      </c>
      <c r="AG140" s="33" t="s">
        <v>55</v>
      </c>
      <c r="AH140" s="33" t="s">
        <v>56</v>
      </c>
      <c r="AI140" s="33" t="s">
        <v>57</v>
      </c>
      <c r="AJ140" s="33" t="s">
        <v>58</v>
      </c>
      <c r="AK140" s="33" t="s">
        <v>56</v>
      </c>
      <c r="AL140" s="27"/>
      <c r="AM140" s="34" t="s">
        <v>57</v>
      </c>
      <c r="AN140" s="35" t="str">
        <f t="shared" si="13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1603</v>
      </c>
      <c r="C141" s="25" t="s">
        <v>1604</v>
      </c>
      <c r="D141" s="23" t="s">
        <v>1332</v>
      </c>
      <c r="E141" s="42">
        <v>46132</v>
      </c>
      <c r="F141" s="26" t="s">
        <v>55</v>
      </c>
      <c r="G141" s="26" t="s">
        <v>57</v>
      </c>
      <c r="H141" s="26" t="s">
        <v>57</v>
      </c>
      <c r="I141" s="26" t="s">
        <v>90</v>
      </c>
      <c r="J141" s="26" t="s">
        <v>57</v>
      </c>
      <c r="K141" s="27" t="s">
        <v>91</v>
      </c>
      <c r="L141" s="28" t="s">
        <v>56</v>
      </c>
      <c r="M141" s="29" t="str">
        <f t="shared" si="10"/>
        <v>⚠ Missing</v>
      </c>
      <c r="N141" s="42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 t="s">
        <v>61</v>
      </c>
      <c r="AG141" s="33" t="s">
        <v>55</v>
      </c>
      <c r="AH141" s="33" t="s">
        <v>56</v>
      </c>
      <c r="AI141" s="33" t="s">
        <v>57</v>
      </c>
      <c r="AJ141" s="33" t="s">
        <v>58</v>
      </c>
      <c r="AK141" s="33" t="s">
        <v>56</v>
      </c>
      <c r="AL141" s="27"/>
      <c r="AM141" s="34" t="s">
        <v>57</v>
      </c>
      <c r="AN141" s="35" t="str">
        <f t="shared" si="13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1605</v>
      </c>
      <c r="C142" s="41" t="s">
        <v>1606</v>
      </c>
      <c r="D142" s="39" t="s">
        <v>1332</v>
      </c>
      <c r="E142" s="42">
        <v>46132</v>
      </c>
      <c r="F142" s="26" t="s">
        <v>55</v>
      </c>
      <c r="G142" s="26" t="s">
        <v>57</v>
      </c>
      <c r="H142" s="26" t="s">
        <v>57</v>
      </c>
      <c r="I142" s="26" t="s">
        <v>90</v>
      </c>
      <c r="J142" s="26" t="s">
        <v>57</v>
      </c>
      <c r="K142" s="27" t="s">
        <v>91</v>
      </c>
      <c r="L142" s="28" t="s">
        <v>56</v>
      </c>
      <c r="M142" s="29" t="str">
        <f t="shared" si="10"/>
        <v>⚠ Missing</v>
      </c>
      <c r="N142" s="42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 t="s">
        <v>61</v>
      </c>
      <c r="AG142" s="33" t="s">
        <v>55</v>
      </c>
      <c r="AH142" s="33" t="s">
        <v>56</v>
      </c>
      <c r="AI142" s="33" t="s">
        <v>57</v>
      </c>
      <c r="AJ142" s="33" t="s">
        <v>58</v>
      </c>
      <c r="AK142" s="33" t="s">
        <v>56</v>
      </c>
      <c r="AL142" s="27"/>
      <c r="AM142" s="34" t="s">
        <v>57</v>
      </c>
      <c r="AN142" s="35" t="str">
        <f t="shared" si="13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1607</v>
      </c>
      <c r="C143" s="25" t="s">
        <v>1608</v>
      </c>
      <c r="D143" s="23" t="s">
        <v>1332</v>
      </c>
      <c r="E143" s="42">
        <v>46132</v>
      </c>
      <c r="F143" s="26" t="s">
        <v>55</v>
      </c>
      <c r="G143" s="26" t="s">
        <v>57</v>
      </c>
      <c r="H143" s="26" t="s">
        <v>57</v>
      </c>
      <c r="I143" s="26" t="s">
        <v>90</v>
      </c>
      <c r="J143" s="26" t="s">
        <v>57</v>
      </c>
      <c r="K143" s="27" t="s">
        <v>91</v>
      </c>
      <c r="L143" s="28" t="s">
        <v>56</v>
      </c>
      <c r="M143" s="29" t="str">
        <f t="shared" si="10"/>
        <v>⚠ Missing</v>
      </c>
      <c r="N143" s="42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 t="s">
        <v>61</v>
      </c>
      <c r="AG143" s="33" t="s">
        <v>55</v>
      </c>
      <c r="AH143" s="33" t="s">
        <v>56</v>
      </c>
      <c r="AI143" s="33" t="s">
        <v>57</v>
      </c>
      <c r="AJ143" s="33" t="s">
        <v>58</v>
      </c>
      <c r="AK143" s="33" t="s">
        <v>56</v>
      </c>
      <c r="AL143" s="27"/>
      <c r="AM143" s="34" t="s">
        <v>57</v>
      </c>
      <c r="AN143" s="35" t="str">
        <f t="shared" si="13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1609</v>
      </c>
      <c r="C144" s="41" t="s">
        <v>1610</v>
      </c>
      <c r="D144" s="39" t="s">
        <v>1332</v>
      </c>
      <c r="E144" s="42">
        <v>46132</v>
      </c>
      <c r="F144" s="26" t="s">
        <v>55</v>
      </c>
      <c r="G144" s="26" t="s">
        <v>57</v>
      </c>
      <c r="H144" s="26" t="s">
        <v>57</v>
      </c>
      <c r="I144" s="26" t="s">
        <v>90</v>
      </c>
      <c r="J144" s="26" t="s">
        <v>57</v>
      </c>
      <c r="K144" s="27" t="s">
        <v>91</v>
      </c>
      <c r="L144" s="28" t="s">
        <v>56</v>
      </c>
      <c r="M144" s="29" t="str">
        <f t="shared" si="10"/>
        <v>⚠ Missing</v>
      </c>
      <c r="N144" s="42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 t="s">
        <v>61</v>
      </c>
      <c r="AG144" s="33" t="s">
        <v>55</v>
      </c>
      <c r="AH144" s="33" t="s">
        <v>56</v>
      </c>
      <c r="AI144" s="33" t="s">
        <v>57</v>
      </c>
      <c r="AJ144" s="33" t="s">
        <v>58</v>
      </c>
      <c r="AK144" s="33" t="s">
        <v>56</v>
      </c>
      <c r="AL144" s="27"/>
      <c r="AM144" s="34" t="s">
        <v>57</v>
      </c>
      <c r="AN144" s="35" t="str">
        <f t="shared" si="13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1611</v>
      </c>
      <c r="C145" s="25" t="s">
        <v>1612</v>
      </c>
      <c r="D145" s="23" t="s">
        <v>1332</v>
      </c>
      <c r="E145" s="42">
        <v>46132</v>
      </c>
      <c r="F145" s="26" t="s">
        <v>55</v>
      </c>
      <c r="G145" s="26" t="s">
        <v>57</v>
      </c>
      <c r="H145" s="26" t="s">
        <v>57</v>
      </c>
      <c r="I145" s="26" t="s">
        <v>90</v>
      </c>
      <c r="J145" s="26" t="s">
        <v>57</v>
      </c>
      <c r="K145" s="27" t="s">
        <v>91</v>
      </c>
      <c r="L145" s="28" t="s">
        <v>56</v>
      </c>
      <c r="M145" s="29" t="str">
        <f t="shared" si="10"/>
        <v>⚠ Missing</v>
      </c>
      <c r="N145" s="42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 t="s">
        <v>61</v>
      </c>
      <c r="AG145" s="33" t="s">
        <v>55</v>
      </c>
      <c r="AH145" s="33" t="s">
        <v>56</v>
      </c>
      <c r="AI145" s="33" t="s">
        <v>57</v>
      </c>
      <c r="AJ145" s="33" t="s">
        <v>58</v>
      </c>
      <c r="AK145" s="33" t="s">
        <v>56</v>
      </c>
      <c r="AL145" s="27"/>
      <c r="AM145" s="34" t="s">
        <v>57</v>
      </c>
      <c r="AN145" s="35" t="str">
        <f t="shared" si="13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1613</v>
      </c>
      <c r="C146" s="41" t="s">
        <v>1614</v>
      </c>
      <c r="D146" s="39" t="s">
        <v>1332</v>
      </c>
      <c r="E146" s="42">
        <v>46132</v>
      </c>
      <c r="F146" s="26" t="s">
        <v>55</v>
      </c>
      <c r="G146" s="26" t="s">
        <v>57</v>
      </c>
      <c r="H146" s="26" t="s">
        <v>57</v>
      </c>
      <c r="I146" s="26" t="s">
        <v>90</v>
      </c>
      <c r="J146" s="26" t="s">
        <v>57</v>
      </c>
      <c r="K146" s="27" t="s">
        <v>91</v>
      </c>
      <c r="L146" s="28" t="s">
        <v>56</v>
      </c>
      <c r="M146" s="29" t="str">
        <f t="shared" si="10"/>
        <v>⚠ Missing</v>
      </c>
      <c r="N146" s="42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 t="s">
        <v>61</v>
      </c>
      <c r="AG146" s="33" t="s">
        <v>55</v>
      </c>
      <c r="AH146" s="33" t="s">
        <v>56</v>
      </c>
      <c r="AI146" s="33" t="s">
        <v>57</v>
      </c>
      <c r="AJ146" s="33" t="s">
        <v>58</v>
      </c>
      <c r="AK146" s="33" t="s">
        <v>56</v>
      </c>
      <c r="AL146" s="27"/>
      <c r="AM146" s="34" t="s">
        <v>57</v>
      </c>
      <c r="AN146" s="35" t="str">
        <f t="shared" si="13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1615</v>
      </c>
      <c r="C147" s="25" t="s">
        <v>1616</v>
      </c>
      <c r="D147" s="23" t="s">
        <v>1332</v>
      </c>
      <c r="E147" s="42">
        <v>46132</v>
      </c>
      <c r="F147" s="26" t="s">
        <v>55</v>
      </c>
      <c r="G147" s="26" t="s">
        <v>57</v>
      </c>
      <c r="H147" s="26" t="s">
        <v>57</v>
      </c>
      <c r="I147" s="26" t="s">
        <v>90</v>
      </c>
      <c r="J147" s="26" t="s">
        <v>57</v>
      </c>
      <c r="K147" s="27" t="s">
        <v>91</v>
      </c>
      <c r="L147" s="28" t="s">
        <v>56</v>
      </c>
      <c r="M147" s="29" t="str">
        <f t="shared" si="10"/>
        <v>⚠ Missing</v>
      </c>
      <c r="N147" s="42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 t="s">
        <v>61</v>
      </c>
      <c r="AG147" s="33" t="s">
        <v>55</v>
      </c>
      <c r="AH147" s="33" t="s">
        <v>56</v>
      </c>
      <c r="AI147" s="33" t="s">
        <v>57</v>
      </c>
      <c r="AJ147" s="33" t="s">
        <v>58</v>
      </c>
      <c r="AK147" s="33" t="s">
        <v>56</v>
      </c>
      <c r="AL147" s="27"/>
      <c r="AM147" s="34" t="s">
        <v>57</v>
      </c>
      <c r="AN147" s="35" t="str">
        <f t="shared" si="13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1617</v>
      </c>
      <c r="C148" s="41" t="s">
        <v>1618</v>
      </c>
      <c r="D148" s="39" t="s">
        <v>1332</v>
      </c>
      <c r="E148" s="42">
        <v>46132</v>
      </c>
      <c r="F148" s="26" t="s">
        <v>55</v>
      </c>
      <c r="G148" s="26" t="s">
        <v>57</v>
      </c>
      <c r="H148" s="26" t="s">
        <v>57</v>
      </c>
      <c r="I148" s="26" t="s">
        <v>90</v>
      </c>
      <c r="J148" s="26" t="s">
        <v>57</v>
      </c>
      <c r="K148" s="27" t="s">
        <v>91</v>
      </c>
      <c r="L148" s="28" t="s">
        <v>56</v>
      </c>
      <c r="M148" s="29" t="str">
        <f t="shared" si="10"/>
        <v>⚠ Missing</v>
      </c>
      <c r="N148" s="42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 t="s">
        <v>61</v>
      </c>
      <c r="AG148" s="33" t="s">
        <v>55</v>
      </c>
      <c r="AH148" s="33" t="s">
        <v>56</v>
      </c>
      <c r="AI148" s="33" t="s">
        <v>57</v>
      </c>
      <c r="AJ148" s="33" t="s">
        <v>58</v>
      </c>
      <c r="AK148" s="33" t="s">
        <v>56</v>
      </c>
      <c r="AL148" s="27"/>
      <c r="AM148" s="34" t="s">
        <v>57</v>
      </c>
      <c r="AN148" s="35" t="str">
        <f t="shared" si="13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1619</v>
      </c>
      <c r="C149" s="25" t="s">
        <v>1620</v>
      </c>
      <c r="D149" s="23" t="s">
        <v>1332</v>
      </c>
      <c r="E149" s="42">
        <v>46132</v>
      </c>
      <c r="F149" s="26" t="s">
        <v>55</v>
      </c>
      <c r="G149" s="26" t="s">
        <v>57</v>
      </c>
      <c r="H149" s="26" t="s">
        <v>57</v>
      </c>
      <c r="I149" s="26" t="s">
        <v>90</v>
      </c>
      <c r="J149" s="26" t="s">
        <v>57</v>
      </c>
      <c r="K149" s="27" t="s">
        <v>91</v>
      </c>
      <c r="L149" s="28" t="s">
        <v>56</v>
      </c>
      <c r="M149" s="29" t="str">
        <f t="shared" si="10"/>
        <v>⚠ Missing</v>
      </c>
      <c r="N149" s="42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 t="s">
        <v>61</v>
      </c>
      <c r="AG149" s="33" t="s">
        <v>55</v>
      </c>
      <c r="AH149" s="33" t="s">
        <v>56</v>
      </c>
      <c r="AI149" s="33" t="s">
        <v>57</v>
      </c>
      <c r="AJ149" s="33" t="s">
        <v>58</v>
      </c>
      <c r="AK149" s="33" t="s">
        <v>56</v>
      </c>
      <c r="AL149" s="27"/>
      <c r="AM149" s="34" t="s">
        <v>57</v>
      </c>
      <c r="AN149" s="35" t="str">
        <f t="shared" si="13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1621</v>
      </c>
      <c r="C150" s="41" t="s">
        <v>1622</v>
      </c>
      <c r="D150" s="39" t="s">
        <v>1332</v>
      </c>
      <c r="E150" s="42">
        <v>46132</v>
      </c>
      <c r="F150" s="26" t="s">
        <v>55</v>
      </c>
      <c r="G150" s="26" t="s">
        <v>57</v>
      </c>
      <c r="H150" s="26" t="s">
        <v>57</v>
      </c>
      <c r="I150" s="26" t="s">
        <v>90</v>
      </c>
      <c r="J150" s="26" t="s">
        <v>57</v>
      </c>
      <c r="K150" s="27" t="s">
        <v>91</v>
      </c>
      <c r="L150" s="28" t="s">
        <v>56</v>
      </c>
      <c r="M150" s="29" t="str">
        <f t="shared" si="10"/>
        <v>⚠ Missing</v>
      </c>
      <c r="N150" s="42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 t="s">
        <v>61</v>
      </c>
      <c r="AG150" s="33" t="s">
        <v>55</v>
      </c>
      <c r="AH150" s="33" t="s">
        <v>56</v>
      </c>
      <c r="AI150" s="33" t="s">
        <v>57</v>
      </c>
      <c r="AJ150" s="33" t="s">
        <v>58</v>
      </c>
      <c r="AK150" s="33" t="s">
        <v>56</v>
      </c>
      <c r="AL150" s="27"/>
      <c r="AM150" s="34" t="s">
        <v>57</v>
      </c>
      <c r="AN150" s="35" t="str">
        <f t="shared" si="13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1623</v>
      </c>
      <c r="C151" s="25" t="s">
        <v>1624</v>
      </c>
      <c r="D151" s="23" t="s">
        <v>1332</v>
      </c>
      <c r="E151" s="42">
        <v>46132</v>
      </c>
      <c r="F151" s="26" t="s">
        <v>55</v>
      </c>
      <c r="G151" s="26" t="s">
        <v>57</v>
      </c>
      <c r="H151" s="26" t="s">
        <v>57</v>
      </c>
      <c r="I151" s="26" t="s">
        <v>90</v>
      </c>
      <c r="J151" s="26" t="s">
        <v>57</v>
      </c>
      <c r="K151" s="27" t="s">
        <v>91</v>
      </c>
      <c r="L151" s="28" t="s">
        <v>56</v>
      </c>
      <c r="M151" s="29" t="str">
        <f t="shared" si="10"/>
        <v>⚠ Missing</v>
      </c>
      <c r="N151" s="42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 t="s">
        <v>61</v>
      </c>
      <c r="AG151" s="33" t="s">
        <v>55</v>
      </c>
      <c r="AH151" s="33" t="s">
        <v>56</v>
      </c>
      <c r="AI151" s="33" t="s">
        <v>57</v>
      </c>
      <c r="AJ151" s="33" t="s">
        <v>58</v>
      </c>
      <c r="AK151" s="33" t="s">
        <v>56</v>
      </c>
      <c r="AL151" s="27"/>
      <c r="AM151" s="34" t="s">
        <v>57</v>
      </c>
      <c r="AN151" s="35" t="str">
        <f t="shared" si="13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1625</v>
      </c>
      <c r="C152" s="41" t="s">
        <v>1626</v>
      </c>
      <c r="D152" s="39" t="s">
        <v>1332</v>
      </c>
      <c r="E152" s="42">
        <v>46132</v>
      </c>
      <c r="F152" s="26" t="s">
        <v>55</v>
      </c>
      <c r="G152" s="26" t="s">
        <v>57</v>
      </c>
      <c r="H152" s="26" t="s">
        <v>57</v>
      </c>
      <c r="I152" s="26" t="s">
        <v>90</v>
      </c>
      <c r="J152" s="26" t="s">
        <v>57</v>
      </c>
      <c r="K152" s="27" t="s">
        <v>91</v>
      </c>
      <c r="L152" s="28" t="s">
        <v>56</v>
      </c>
      <c r="M152" s="29" t="str">
        <f t="shared" si="10"/>
        <v>⚠ Missing</v>
      </c>
      <c r="N152" s="42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 t="s">
        <v>61</v>
      </c>
      <c r="AG152" s="33" t="s">
        <v>55</v>
      </c>
      <c r="AH152" s="33" t="s">
        <v>56</v>
      </c>
      <c r="AI152" s="33" t="s">
        <v>57</v>
      </c>
      <c r="AJ152" s="33" t="s">
        <v>58</v>
      </c>
      <c r="AK152" s="33" t="s">
        <v>56</v>
      </c>
      <c r="AL152" s="27"/>
      <c r="AM152" s="34" t="s">
        <v>57</v>
      </c>
      <c r="AN152" s="35" t="str">
        <f t="shared" si="13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1627</v>
      </c>
      <c r="C153" s="25" t="s">
        <v>1628</v>
      </c>
      <c r="D153" s="23" t="s">
        <v>1332</v>
      </c>
      <c r="E153" s="42">
        <v>46132</v>
      </c>
      <c r="F153" s="26" t="s">
        <v>55</v>
      </c>
      <c r="G153" s="26" t="s">
        <v>57</v>
      </c>
      <c r="H153" s="26" t="s">
        <v>57</v>
      </c>
      <c r="I153" s="26" t="s">
        <v>90</v>
      </c>
      <c r="J153" s="26" t="s">
        <v>57</v>
      </c>
      <c r="K153" s="27" t="s">
        <v>91</v>
      </c>
      <c r="L153" s="28" t="s">
        <v>56</v>
      </c>
      <c r="M153" s="29" t="str">
        <f t="shared" si="10"/>
        <v>⚠ Missing</v>
      </c>
      <c r="N153" s="42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 t="s">
        <v>61</v>
      </c>
      <c r="AG153" s="33" t="s">
        <v>55</v>
      </c>
      <c r="AH153" s="33" t="s">
        <v>56</v>
      </c>
      <c r="AI153" s="33" t="s">
        <v>57</v>
      </c>
      <c r="AJ153" s="33" t="s">
        <v>58</v>
      </c>
      <c r="AK153" s="33" t="s">
        <v>56</v>
      </c>
      <c r="AL153" s="27"/>
      <c r="AM153" s="34" t="s">
        <v>57</v>
      </c>
      <c r="AN153" s="35" t="str">
        <f t="shared" si="13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1629</v>
      </c>
      <c r="C154" s="41" t="s">
        <v>1630</v>
      </c>
      <c r="D154" s="39" t="s">
        <v>1332</v>
      </c>
      <c r="E154" s="42">
        <v>46132</v>
      </c>
      <c r="F154" s="26" t="s">
        <v>55</v>
      </c>
      <c r="G154" s="26" t="s">
        <v>57</v>
      </c>
      <c r="H154" s="26" t="s">
        <v>57</v>
      </c>
      <c r="I154" s="26" t="s">
        <v>90</v>
      </c>
      <c r="J154" s="26" t="s">
        <v>57</v>
      </c>
      <c r="K154" s="27" t="s">
        <v>91</v>
      </c>
      <c r="L154" s="28" t="s">
        <v>56</v>
      </c>
      <c r="M154" s="29" t="str">
        <f t="shared" si="10"/>
        <v>⚠ Missing</v>
      </c>
      <c r="N154" s="42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 t="s">
        <v>61</v>
      </c>
      <c r="AG154" s="33" t="s">
        <v>55</v>
      </c>
      <c r="AH154" s="33" t="s">
        <v>56</v>
      </c>
      <c r="AI154" s="33" t="s">
        <v>57</v>
      </c>
      <c r="AJ154" s="33" t="s">
        <v>58</v>
      </c>
      <c r="AK154" s="33" t="s">
        <v>56</v>
      </c>
      <c r="AL154" s="27"/>
      <c r="AM154" s="34" t="s">
        <v>57</v>
      </c>
      <c r="AN154" s="35" t="str">
        <f t="shared" si="13"/>
        <v>✓ OK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1631</v>
      </c>
      <c r="C155" s="25" t="s">
        <v>1632</v>
      </c>
      <c r="D155" s="23" t="s">
        <v>1332</v>
      </c>
      <c r="E155" s="42">
        <v>46132</v>
      </c>
      <c r="F155" s="26" t="s">
        <v>55</v>
      </c>
      <c r="G155" s="26" t="s">
        <v>57</v>
      </c>
      <c r="H155" s="26" t="s">
        <v>57</v>
      </c>
      <c r="I155" s="26" t="s">
        <v>90</v>
      </c>
      <c r="J155" s="26" t="s">
        <v>57</v>
      </c>
      <c r="K155" s="27" t="s">
        <v>91</v>
      </c>
      <c r="L155" s="28" t="s">
        <v>56</v>
      </c>
      <c r="M155" s="29" t="str">
        <f t="shared" si="10"/>
        <v>⚠ Missing</v>
      </c>
      <c r="N155" s="42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 t="s">
        <v>61</v>
      </c>
      <c r="AG155" s="33" t="s">
        <v>55</v>
      </c>
      <c r="AH155" s="33" t="s">
        <v>56</v>
      </c>
      <c r="AI155" s="33" t="s">
        <v>57</v>
      </c>
      <c r="AJ155" s="33" t="s">
        <v>58</v>
      </c>
      <c r="AK155" s="33" t="s">
        <v>56</v>
      </c>
      <c r="AL155" s="27"/>
      <c r="AM155" s="34" t="s">
        <v>57</v>
      </c>
      <c r="AN155" s="35" t="str">
        <f t="shared" si="13"/>
        <v>✓ OK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1633</v>
      </c>
      <c r="C156" s="41" t="s">
        <v>1634</v>
      </c>
      <c r="D156" s="39" t="s">
        <v>1332</v>
      </c>
      <c r="E156" s="42">
        <v>46132</v>
      </c>
      <c r="F156" s="26" t="s">
        <v>55</v>
      </c>
      <c r="G156" s="26" t="s">
        <v>57</v>
      </c>
      <c r="H156" s="26" t="s">
        <v>57</v>
      </c>
      <c r="I156" s="26" t="s">
        <v>90</v>
      </c>
      <c r="J156" s="26" t="s">
        <v>57</v>
      </c>
      <c r="K156" s="27" t="s">
        <v>91</v>
      </c>
      <c r="L156" s="28" t="s">
        <v>56</v>
      </c>
      <c r="M156" s="29" t="str">
        <f t="shared" si="10"/>
        <v>⚠ Missing</v>
      </c>
      <c r="N156" s="42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 t="s">
        <v>61</v>
      </c>
      <c r="AG156" s="33" t="s">
        <v>55</v>
      </c>
      <c r="AH156" s="33" t="s">
        <v>56</v>
      </c>
      <c r="AI156" s="33" t="s">
        <v>57</v>
      </c>
      <c r="AJ156" s="33" t="s">
        <v>58</v>
      </c>
      <c r="AK156" s="33" t="s">
        <v>56</v>
      </c>
      <c r="AL156" s="27"/>
      <c r="AM156" s="34" t="s">
        <v>57</v>
      </c>
      <c r="AN156" s="35" t="str">
        <f t="shared" si="13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1635</v>
      </c>
      <c r="C157" s="25" t="s">
        <v>1636</v>
      </c>
      <c r="D157" s="23" t="s">
        <v>1332</v>
      </c>
      <c r="E157" s="42">
        <v>46132</v>
      </c>
      <c r="F157" s="26" t="s">
        <v>55</v>
      </c>
      <c r="G157" s="26" t="s">
        <v>57</v>
      </c>
      <c r="H157" s="26" t="s">
        <v>57</v>
      </c>
      <c r="I157" s="26" t="s">
        <v>90</v>
      </c>
      <c r="J157" s="26" t="s">
        <v>57</v>
      </c>
      <c r="K157" s="27" t="s">
        <v>91</v>
      </c>
      <c r="L157" s="28" t="s">
        <v>56</v>
      </c>
      <c r="M157" s="29" t="str">
        <f t="shared" si="10"/>
        <v>⚠ Missing</v>
      </c>
      <c r="N157" s="42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 t="s">
        <v>61</v>
      </c>
      <c r="AG157" s="33" t="s">
        <v>55</v>
      </c>
      <c r="AH157" s="33" t="s">
        <v>56</v>
      </c>
      <c r="AI157" s="33" t="s">
        <v>57</v>
      </c>
      <c r="AJ157" s="33" t="s">
        <v>58</v>
      </c>
      <c r="AK157" s="33" t="s">
        <v>56</v>
      </c>
      <c r="AL157" s="27"/>
      <c r="AM157" s="34" t="s">
        <v>57</v>
      </c>
      <c r="AN157" s="35" t="str">
        <f t="shared" si="13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1637</v>
      </c>
      <c r="C158" s="41" t="s">
        <v>1638</v>
      </c>
      <c r="D158" s="39" t="s">
        <v>1332</v>
      </c>
      <c r="E158" s="42">
        <v>46132</v>
      </c>
      <c r="F158" s="26" t="s">
        <v>55</v>
      </c>
      <c r="G158" s="26" t="s">
        <v>57</v>
      </c>
      <c r="H158" s="26" t="s">
        <v>57</v>
      </c>
      <c r="I158" s="26" t="s">
        <v>90</v>
      </c>
      <c r="J158" s="26" t="s">
        <v>57</v>
      </c>
      <c r="K158" s="27" t="s">
        <v>91</v>
      </c>
      <c r="L158" s="28" t="s">
        <v>56</v>
      </c>
      <c r="M158" s="29" t="str">
        <f t="shared" si="10"/>
        <v>⚠ Missing</v>
      </c>
      <c r="N158" s="42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12"/>
        <v>✓ OK</v>
      </c>
      <c r="AF158" s="33" t="s">
        <v>61</v>
      </c>
      <c r="AG158" s="33" t="s">
        <v>55</v>
      </c>
      <c r="AH158" s="33" t="s">
        <v>56</v>
      </c>
      <c r="AI158" s="33" t="s">
        <v>57</v>
      </c>
      <c r="AJ158" s="33" t="s">
        <v>58</v>
      </c>
      <c r="AK158" s="33" t="s">
        <v>56</v>
      </c>
      <c r="AL158" s="27"/>
      <c r="AM158" s="34" t="s">
        <v>57</v>
      </c>
      <c r="AN158" s="35" t="str">
        <f t="shared" si="13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1639</v>
      </c>
      <c r="C159" s="25" t="s">
        <v>1640</v>
      </c>
      <c r="D159" s="23" t="s">
        <v>1332</v>
      </c>
      <c r="E159" s="42">
        <v>46132</v>
      </c>
      <c r="F159" s="26" t="s">
        <v>55</v>
      </c>
      <c r="G159" s="26" t="s">
        <v>57</v>
      </c>
      <c r="H159" s="26" t="s">
        <v>57</v>
      </c>
      <c r="I159" s="26" t="s">
        <v>90</v>
      </c>
      <c r="J159" s="26" t="s">
        <v>57</v>
      </c>
      <c r="K159" s="27" t="s">
        <v>91</v>
      </c>
      <c r="L159" s="28" t="s">
        <v>56</v>
      </c>
      <c r="M159" s="29" t="str">
        <f t="shared" si="10"/>
        <v>⚠ Missing</v>
      </c>
      <c r="N159" s="42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si="12"/>
        <v>✓ OK</v>
      </c>
      <c r="AF159" s="33" t="s">
        <v>61</v>
      </c>
      <c r="AG159" s="33" t="s">
        <v>55</v>
      </c>
      <c r="AH159" s="33" t="s">
        <v>56</v>
      </c>
      <c r="AI159" s="33" t="s">
        <v>57</v>
      </c>
      <c r="AJ159" s="33" t="s">
        <v>58</v>
      </c>
      <c r="AK159" s="33" t="s">
        <v>56</v>
      </c>
      <c r="AL159" s="27"/>
      <c r="AM159" s="34" t="s">
        <v>57</v>
      </c>
      <c r="AN159" s="35" t="str">
        <f t="shared" si="13"/>
        <v>✓ OK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1641</v>
      </c>
      <c r="C160" s="41" t="s">
        <v>1642</v>
      </c>
      <c r="D160" s="39" t="s">
        <v>1332</v>
      </c>
      <c r="E160" s="42">
        <v>46132</v>
      </c>
      <c r="F160" s="26" t="s">
        <v>55</v>
      </c>
      <c r="G160" s="26" t="s">
        <v>57</v>
      </c>
      <c r="H160" s="26" t="s">
        <v>57</v>
      </c>
      <c r="I160" s="26" t="s">
        <v>90</v>
      </c>
      <c r="J160" s="26" t="s">
        <v>57</v>
      </c>
      <c r="K160" s="27" t="s">
        <v>91</v>
      </c>
      <c r="L160" s="28" t="s">
        <v>56</v>
      </c>
      <c r="M160" s="29" t="str">
        <f t="shared" si="10"/>
        <v>⚠ Missing</v>
      </c>
      <c r="N160" s="42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 t="s">
        <v>61</v>
      </c>
      <c r="AG160" s="33" t="s">
        <v>55</v>
      </c>
      <c r="AH160" s="33" t="s">
        <v>56</v>
      </c>
      <c r="AI160" s="33" t="s">
        <v>57</v>
      </c>
      <c r="AJ160" s="33" t="s">
        <v>58</v>
      </c>
      <c r="AK160" s="33" t="s">
        <v>56</v>
      </c>
      <c r="AL160" s="27"/>
      <c r="AM160" s="34" t="s">
        <v>57</v>
      </c>
      <c r="AN160" s="35" t="str">
        <f t="shared" si="13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1643</v>
      </c>
      <c r="C161" s="25" t="s">
        <v>1644</v>
      </c>
      <c r="D161" s="23" t="s">
        <v>1332</v>
      </c>
      <c r="E161" s="42">
        <v>46132</v>
      </c>
      <c r="F161" s="26" t="s">
        <v>55</v>
      </c>
      <c r="G161" s="26" t="s">
        <v>57</v>
      </c>
      <c r="H161" s="26" t="s">
        <v>57</v>
      </c>
      <c r="I161" s="26" t="s">
        <v>90</v>
      </c>
      <c r="J161" s="26" t="s">
        <v>57</v>
      </c>
      <c r="K161" s="27" t="s">
        <v>91</v>
      </c>
      <c r="L161" s="28" t="s">
        <v>56</v>
      </c>
      <c r="M161" s="29" t="str">
        <f t="shared" si="10"/>
        <v>⚠ Missing</v>
      </c>
      <c r="N161" s="42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 t="s">
        <v>61</v>
      </c>
      <c r="AG161" s="33" t="s">
        <v>55</v>
      </c>
      <c r="AH161" s="33" t="s">
        <v>56</v>
      </c>
      <c r="AI161" s="33" t="s">
        <v>57</v>
      </c>
      <c r="AJ161" s="33" t="s">
        <v>58</v>
      </c>
      <c r="AK161" s="33" t="s">
        <v>56</v>
      </c>
      <c r="AL161" s="27"/>
      <c r="AM161" s="34" t="s">
        <v>57</v>
      </c>
      <c r="AN161" s="35" t="str">
        <f t="shared" si="13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1645</v>
      </c>
      <c r="C162" s="41" t="s">
        <v>1646</v>
      </c>
      <c r="D162" s="39" t="s">
        <v>1332</v>
      </c>
      <c r="E162" s="42">
        <v>46132</v>
      </c>
      <c r="F162" s="26" t="s">
        <v>55</v>
      </c>
      <c r="G162" s="26" t="s">
        <v>57</v>
      </c>
      <c r="H162" s="26" t="s">
        <v>57</v>
      </c>
      <c r="I162" s="26" t="s">
        <v>90</v>
      </c>
      <c r="J162" s="26" t="s">
        <v>57</v>
      </c>
      <c r="K162" s="27" t="s">
        <v>91</v>
      </c>
      <c r="L162" s="28" t="s">
        <v>56</v>
      </c>
      <c r="M162" s="29" t="str">
        <f t="shared" si="10"/>
        <v>⚠ Missing</v>
      </c>
      <c r="N162" s="42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 t="s">
        <v>61</v>
      </c>
      <c r="AG162" s="33" t="s">
        <v>55</v>
      </c>
      <c r="AH162" s="33" t="s">
        <v>56</v>
      </c>
      <c r="AI162" s="33" t="s">
        <v>57</v>
      </c>
      <c r="AJ162" s="33" t="s">
        <v>58</v>
      </c>
      <c r="AK162" s="33" t="s">
        <v>56</v>
      </c>
      <c r="AL162" s="27"/>
      <c r="AM162" s="34" t="s">
        <v>57</v>
      </c>
      <c r="AN162" s="35" t="str">
        <f t="shared" si="13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1647</v>
      </c>
      <c r="C163" s="25" t="s">
        <v>1648</v>
      </c>
      <c r="D163" s="23" t="s">
        <v>1332</v>
      </c>
      <c r="E163" s="42">
        <v>46132</v>
      </c>
      <c r="F163" s="26" t="s">
        <v>55</v>
      </c>
      <c r="G163" s="26" t="s">
        <v>57</v>
      </c>
      <c r="H163" s="26" t="s">
        <v>57</v>
      </c>
      <c r="I163" s="26" t="s">
        <v>90</v>
      </c>
      <c r="J163" s="26" t="s">
        <v>57</v>
      </c>
      <c r="K163" s="27" t="s">
        <v>91</v>
      </c>
      <c r="L163" s="28" t="s">
        <v>56</v>
      </c>
      <c r="M163" s="29" t="str">
        <f t="shared" si="10"/>
        <v>⚠ Missing</v>
      </c>
      <c r="N163" s="42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 t="s">
        <v>61</v>
      </c>
      <c r="AG163" s="33" t="s">
        <v>55</v>
      </c>
      <c r="AH163" s="33" t="s">
        <v>56</v>
      </c>
      <c r="AI163" s="33" t="s">
        <v>57</v>
      </c>
      <c r="AJ163" s="33" t="s">
        <v>58</v>
      </c>
      <c r="AK163" s="33" t="s">
        <v>56</v>
      </c>
      <c r="AL163" s="27"/>
      <c r="AM163" s="34" t="s">
        <v>57</v>
      </c>
      <c r="AN163" s="35" t="str">
        <f t="shared" si="13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1649</v>
      </c>
      <c r="C164" s="41" t="s">
        <v>1650</v>
      </c>
      <c r="D164" s="39" t="s">
        <v>1332</v>
      </c>
      <c r="E164" s="42">
        <v>46132</v>
      </c>
      <c r="F164" s="26" t="s">
        <v>55</v>
      </c>
      <c r="G164" s="26" t="s">
        <v>57</v>
      </c>
      <c r="H164" s="26" t="s">
        <v>57</v>
      </c>
      <c r="I164" s="26" t="s">
        <v>90</v>
      </c>
      <c r="J164" s="26" t="s">
        <v>57</v>
      </c>
      <c r="K164" s="27" t="s">
        <v>91</v>
      </c>
      <c r="L164" s="28" t="s">
        <v>56</v>
      </c>
      <c r="M164" s="29" t="str">
        <f t="shared" si="10"/>
        <v>⚠ Missing</v>
      </c>
      <c r="N164" s="42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 t="s">
        <v>61</v>
      </c>
      <c r="AG164" s="33" t="s">
        <v>55</v>
      </c>
      <c r="AH164" s="33" t="s">
        <v>56</v>
      </c>
      <c r="AI164" s="33" t="s">
        <v>57</v>
      </c>
      <c r="AJ164" s="33" t="s">
        <v>58</v>
      </c>
      <c r="AK164" s="33" t="s">
        <v>56</v>
      </c>
      <c r="AL164" s="27"/>
      <c r="AM164" s="34" t="s">
        <v>57</v>
      </c>
      <c r="AN164" s="35" t="str">
        <f t="shared" si="13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1651</v>
      </c>
      <c r="C165" s="25" t="s">
        <v>1652</v>
      </c>
      <c r="D165" s="23" t="s">
        <v>1332</v>
      </c>
      <c r="E165" s="42">
        <v>46132</v>
      </c>
      <c r="F165" s="26" t="s">
        <v>55</v>
      </c>
      <c r="G165" s="26" t="s">
        <v>57</v>
      </c>
      <c r="H165" s="26" t="s">
        <v>57</v>
      </c>
      <c r="I165" s="26" t="s">
        <v>90</v>
      </c>
      <c r="J165" s="26" t="s">
        <v>57</v>
      </c>
      <c r="K165" s="27" t="s">
        <v>91</v>
      </c>
      <c r="L165" s="28" t="s">
        <v>56</v>
      </c>
      <c r="M165" s="29" t="str">
        <f t="shared" si="10"/>
        <v>⚠ Missing</v>
      </c>
      <c r="N165" s="42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 t="s">
        <v>61</v>
      </c>
      <c r="AG165" s="33" t="s">
        <v>55</v>
      </c>
      <c r="AH165" s="33" t="s">
        <v>56</v>
      </c>
      <c r="AI165" s="33" t="s">
        <v>57</v>
      </c>
      <c r="AJ165" s="33" t="s">
        <v>58</v>
      </c>
      <c r="AK165" s="33" t="s">
        <v>56</v>
      </c>
      <c r="AL165" s="27"/>
      <c r="AM165" s="34" t="s">
        <v>57</v>
      </c>
      <c r="AN165" s="35" t="str">
        <f t="shared" si="13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1653</v>
      </c>
      <c r="C166" s="41" t="s">
        <v>1654</v>
      </c>
      <c r="D166" s="39" t="s">
        <v>1332</v>
      </c>
      <c r="E166" s="42">
        <v>46132</v>
      </c>
      <c r="F166" s="26" t="s">
        <v>55</v>
      </c>
      <c r="G166" s="26" t="s">
        <v>57</v>
      </c>
      <c r="H166" s="26" t="s">
        <v>57</v>
      </c>
      <c r="I166" s="26" t="s">
        <v>90</v>
      </c>
      <c r="J166" s="26" t="s">
        <v>57</v>
      </c>
      <c r="K166" s="27" t="s">
        <v>91</v>
      </c>
      <c r="L166" s="28" t="s">
        <v>56</v>
      </c>
      <c r="M166" s="29" t="str">
        <f t="shared" si="10"/>
        <v>⚠ Missing</v>
      </c>
      <c r="N166" s="42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 t="s">
        <v>61</v>
      </c>
      <c r="AG166" s="33" t="s">
        <v>55</v>
      </c>
      <c r="AH166" s="33" t="s">
        <v>56</v>
      </c>
      <c r="AI166" s="33" t="s">
        <v>57</v>
      </c>
      <c r="AJ166" s="33" t="s">
        <v>58</v>
      </c>
      <c r="AK166" s="33" t="s">
        <v>56</v>
      </c>
      <c r="AL166" s="27"/>
      <c r="AM166" s="34" t="s">
        <v>57</v>
      </c>
      <c r="AN166" s="35" t="str">
        <f t="shared" si="13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1655</v>
      </c>
      <c r="C167" s="25" t="s">
        <v>1656</v>
      </c>
      <c r="D167" s="23" t="s">
        <v>1332</v>
      </c>
      <c r="E167" s="42">
        <v>46132</v>
      </c>
      <c r="F167" s="26" t="s">
        <v>55</v>
      </c>
      <c r="G167" s="26" t="s">
        <v>57</v>
      </c>
      <c r="H167" s="26" t="s">
        <v>57</v>
      </c>
      <c r="I167" s="26" t="s">
        <v>90</v>
      </c>
      <c r="J167" s="26" t="s">
        <v>57</v>
      </c>
      <c r="K167" s="27" t="s">
        <v>91</v>
      </c>
      <c r="L167" s="28" t="s">
        <v>56</v>
      </c>
      <c r="M167" s="29" t="str">
        <f t="shared" si="10"/>
        <v>⚠ Missing</v>
      </c>
      <c r="N167" s="42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 t="s">
        <v>61</v>
      </c>
      <c r="AG167" s="33" t="s">
        <v>55</v>
      </c>
      <c r="AH167" s="33" t="s">
        <v>56</v>
      </c>
      <c r="AI167" s="33" t="s">
        <v>57</v>
      </c>
      <c r="AJ167" s="33" t="s">
        <v>58</v>
      </c>
      <c r="AK167" s="33" t="s">
        <v>56</v>
      </c>
      <c r="AL167" s="27"/>
      <c r="AM167" s="34" t="s">
        <v>57</v>
      </c>
      <c r="AN167" s="35" t="str">
        <f t="shared" si="13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1657</v>
      </c>
      <c r="C168" s="41" t="s">
        <v>1658</v>
      </c>
      <c r="D168" s="39" t="s">
        <v>1332</v>
      </c>
      <c r="E168" s="42">
        <v>46132</v>
      </c>
      <c r="F168" s="26" t="s">
        <v>55</v>
      </c>
      <c r="G168" s="26" t="s">
        <v>57</v>
      </c>
      <c r="H168" s="26" t="s">
        <v>57</v>
      </c>
      <c r="I168" s="26" t="s">
        <v>90</v>
      </c>
      <c r="J168" s="26" t="s">
        <v>57</v>
      </c>
      <c r="K168" s="27" t="s">
        <v>91</v>
      </c>
      <c r="L168" s="28" t="s">
        <v>56</v>
      </c>
      <c r="M168" s="29" t="str">
        <f t="shared" si="10"/>
        <v>⚠ Missing</v>
      </c>
      <c r="N168" s="42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 t="s">
        <v>61</v>
      </c>
      <c r="AG168" s="33" t="s">
        <v>55</v>
      </c>
      <c r="AH168" s="33" t="s">
        <v>56</v>
      </c>
      <c r="AI168" s="33" t="s">
        <v>57</v>
      </c>
      <c r="AJ168" s="33" t="s">
        <v>58</v>
      </c>
      <c r="AK168" s="33" t="s">
        <v>56</v>
      </c>
      <c r="AL168" s="27"/>
      <c r="AM168" s="34" t="s">
        <v>57</v>
      </c>
      <c r="AN168" s="35" t="str">
        <f t="shared" si="13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1659</v>
      </c>
      <c r="C169" s="25" t="s">
        <v>1660</v>
      </c>
      <c r="D169" s="23" t="s">
        <v>1332</v>
      </c>
      <c r="E169" s="42">
        <v>46132</v>
      </c>
      <c r="F169" s="26" t="s">
        <v>55</v>
      </c>
      <c r="G169" s="26" t="s">
        <v>57</v>
      </c>
      <c r="H169" s="26" t="s">
        <v>57</v>
      </c>
      <c r="I169" s="26" t="s">
        <v>90</v>
      </c>
      <c r="J169" s="26" t="s">
        <v>57</v>
      </c>
      <c r="K169" s="27" t="s">
        <v>91</v>
      </c>
      <c r="L169" s="28" t="s">
        <v>56</v>
      </c>
      <c r="M169" s="29" t="str">
        <f t="shared" si="10"/>
        <v>⚠ Missing</v>
      </c>
      <c r="N169" s="42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 t="s">
        <v>61</v>
      </c>
      <c r="AG169" s="33" t="s">
        <v>55</v>
      </c>
      <c r="AH169" s="33" t="s">
        <v>56</v>
      </c>
      <c r="AI169" s="33" t="s">
        <v>57</v>
      </c>
      <c r="AJ169" s="33" t="s">
        <v>58</v>
      </c>
      <c r="AK169" s="33" t="s">
        <v>56</v>
      </c>
      <c r="AL169" s="27"/>
      <c r="AM169" s="34" t="s">
        <v>57</v>
      </c>
      <c r="AN169" s="35" t="str">
        <f t="shared" si="13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1661</v>
      </c>
      <c r="C170" s="41" t="s">
        <v>1662</v>
      </c>
      <c r="D170" s="39" t="s">
        <v>1332</v>
      </c>
      <c r="E170" s="42">
        <v>46132</v>
      </c>
      <c r="F170" s="26" t="s">
        <v>55</v>
      </c>
      <c r="G170" s="26" t="s">
        <v>57</v>
      </c>
      <c r="H170" s="26" t="s">
        <v>57</v>
      </c>
      <c r="I170" s="26" t="s">
        <v>90</v>
      </c>
      <c r="J170" s="26" t="s">
        <v>57</v>
      </c>
      <c r="K170" s="27" t="s">
        <v>91</v>
      </c>
      <c r="L170" s="28" t="s">
        <v>56</v>
      </c>
      <c r="M170" s="29" t="str">
        <f t="shared" si="10"/>
        <v>⚠ Missing</v>
      </c>
      <c r="N170" s="42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 t="s">
        <v>61</v>
      </c>
      <c r="AG170" s="33" t="s">
        <v>55</v>
      </c>
      <c r="AH170" s="33" t="s">
        <v>56</v>
      </c>
      <c r="AI170" s="33" t="s">
        <v>57</v>
      </c>
      <c r="AJ170" s="33" t="s">
        <v>58</v>
      </c>
      <c r="AK170" s="33" t="s">
        <v>56</v>
      </c>
      <c r="AL170" s="27"/>
      <c r="AM170" s="34" t="s">
        <v>57</v>
      </c>
      <c r="AN170" s="35" t="str">
        <f t="shared" si="13"/>
        <v>✓ OK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1663</v>
      </c>
      <c r="C171" s="25" t="s">
        <v>1664</v>
      </c>
      <c r="D171" s="23" t="s">
        <v>1332</v>
      </c>
      <c r="E171" s="42">
        <v>46132</v>
      </c>
      <c r="F171" s="26" t="s">
        <v>55</v>
      </c>
      <c r="G171" s="26" t="s">
        <v>57</v>
      </c>
      <c r="H171" s="26" t="s">
        <v>57</v>
      </c>
      <c r="I171" s="26" t="s">
        <v>90</v>
      </c>
      <c r="J171" s="26" t="s">
        <v>57</v>
      </c>
      <c r="K171" s="27" t="s">
        <v>91</v>
      </c>
      <c r="L171" s="28" t="s">
        <v>56</v>
      </c>
      <c r="M171" s="29" t="str">
        <f t="shared" si="10"/>
        <v>⚠ Missing</v>
      </c>
      <c r="N171" s="42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 t="s">
        <v>61</v>
      </c>
      <c r="AG171" s="33" t="s">
        <v>55</v>
      </c>
      <c r="AH171" s="33" t="s">
        <v>56</v>
      </c>
      <c r="AI171" s="33" t="s">
        <v>57</v>
      </c>
      <c r="AJ171" s="33" t="s">
        <v>58</v>
      </c>
      <c r="AK171" s="33" t="s">
        <v>56</v>
      </c>
      <c r="AL171" s="27"/>
      <c r="AM171" s="34" t="s">
        <v>57</v>
      </c>
      <c r="AN171" s="35" t="str">
        <f t="shared" si="13"/>
        <v>✓ OK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1665</v>
      </c>
      <c r="C172" s="41" t="s">
        <v>1666</v>
      </c>
      <c r="D172" s="39" t="s">
        <v>1332</v>
      </c>
      <c r="E172" s="42">
        <v>46132</v>
      </c>
      <c r="F172" s="26" t="s">
        <v>55</v>
      </c>
      <c r="G172" s="26" t="s">
        <v>57</v>
      </c>
      <c r="H172" s="26" t="s">
        <v>57</v>
      </c>
      <c r="I172" s="26" t="s">
        <v>90</v>
      </c>
      <c r="J172" s="26" t="s">
        <v>57</v>
      </c>
      <c r="K172" s="27" t="s">
        <v>91</v>
      </c>
      <c r="L172" s="28" t="s">
        <v>56</v>
      </c>
      <c r="M172" s="29" t="str">
        <f t="shared" si="10"/>
        <v>⚠ Missing</v>
      </c>
      <c r="N172" s="42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 t="s">
        <v>61</v>
      </c>
      <c r="AG172" s="33" t="s">
        <v>55</v>
      </c>
      <c r="AH172" s="33" t="s">
        <v>56</v>
      </c>
      <c r="AI172" s="33" t="s">
        <v>57</v>
      </c>
      <c r="AJ172" s="33" t="s">
        <v>58</v>
      </c>
      <c r="AK172" s="33" t="s">
        <v>56</v>
      </c>
      <c r="AL172" s="27"/>
      <c r="AM172" s="34" t="s">
        <v>57</v>
      </c>
      <c r="AN172" s="35" t="str">
        <f t="shared" si="13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1667</v>
      </c>
      <c r="C173" s="25" t="s">
        <v>1668</v>
      </c>
      <c r="D173" s="23" t="s">
        <v>1332</v>
      </c>
      <c r="E173" s="42">
        <v>46132</v>
      </c>
      <c r="F173" s="26" t="s">
        <v>55</v>
      </c>
      <c r="G173" s="26" t="s">
        <v>57</v>
      </c>
      <c r="H173" s="26" t="s">
        <v>57</v>
      </c>
      <c r="I173" s="26" t="s">
        <v>90</v>
      </c>
      <c r="J173" s="26" t="s">
        <v>57</v>
      </c>
      <c r="K173" s="27" t="s">
        <v>91</v>
      </c>
      <c r="L173" s="28" t="s">
        <v>56</v>
      </c>
      <c r="M173" s="29" t="str">
        <f t="shared" si="10"/>
        <v>⚠ Missing</v>
      </c>
      <c r="N173" s="42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 t="s">
        <v>61</v>
      </c>
      <c r="AG173" s="33" t="s">
        <v>55</v>
      </c>
      <c r="AH173" s="33" t="s">
        <v>56</v>
      </c>
      <c r="AI173" s="33" t="s">
        <v>57</v>
      </c>
      <c r="AJ173" s="33" t="s">
        <v>58</v>
      </c>
      <c r="AK173" s="33" t="s">
        <v>56</v>
      </c>
      <c r="AL173" s="27"/>
      <c r="AM173" s="34" t="s">
        <v>57</v>
      </c>
      <c r="AN173" s="35" t="str">
        <f t="shared" si="13"/>
        <v>✓ OK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1669</v>
      </c>
      <c r="C174" s="41" t="s">
        <v>1670</v>
      </c>
      <c r="D174" s="39" t="s">
        <v>1332</v>
      </c>
      <c r="E174" s="42">
        <v>46132</v>
      </c>
      <c r="F174" s="26" t="s">
        <v>55</v>
      </c>
      <c r="G174" s="26" t="s">
        <v>57</v>
      </c>
      <c r="H174" s="26" t="s">
        <v>57</v>
      </c>
      <c r="I174" s="26" t="s">
        <v>90</v>
      </c>
      <c r="J174" s="26" t="s">
        <v>57</v>
      </c>
      <c r="K174" s="27" t="s">
        <v>91</v>
      </c>
      <c r="L174" s="28" t="s">
        <v>56</v>
      </c>
      <c r="M174" s="29" t="str">
        <f t="shared" si="10"/>
        <v>⚠ Missing</v>
      </c>
      <c r="N174" s="42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 t="s">
        <v>61</v>
      </c>
      <c r="AG174" s="33" t="s">
        <v>55</v>
      </c>
      <c r="AH174" s="33" t="s">
        <v>56</v>
      </c>
      <c r="AI174" s="33" t="s">
        <v>57</v>
      </c>
      <c r="AJ174" s="33" t="s">
        <v>58</v>
      </c>
      <c r="AK174" s="33" t="s">
        <v>56</v>
      </c>
      <c r="AL174" s="27"/>
      <c r="AM174" s="34" t="s">
        <v>57</v>
      </c>
      <c r="AN174" s="35" t="str">
        <f t="shared" si="13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1671</v>
      </c>
      <c r="C175" s="25" t="s">
        <v>1672</v>
      </c>
      <c r="D175" s="23" t="s">
        <v>1332</v>
      </c>
      <c r="E175" s="42">
        <v>46132</v>
      </c>
      <c r="F175" s="26" t="s">
        <v>55</v>
      </c>
      <c r="G175" s="26" t="s">
        <v>57</v>
      </c>
      <c r="H175" s="26" t="s">
        <v>57</v>
      </c>
      <c r="I175" s="26" t="s">
        <v>90</v>
      </c>
      <c r="J175" s="26" t="s">
        <v>57</v>
      </c>
      <c r="K175" s="27" t="s">
        <v>91</v>
      </c>
      <c r="L175" s="28" t="s">
        <v>56</v>
      </c>
      <c r="M175" s="29" t="str">
        <f t="shared" si="10"/>
        <v>⚠ Missing</v>
      </c>
      <c r="N175" s="42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 t="s">
        <v>61</v>
      </c>
      <c r="AG175" s="33" t="s">
        <v>55</v>
      </c>
      <c r="AH175" s="33" t="s">
        <v>56</v>
      </c>
      <c r="AI175" s="33" t="s">
        <v>57</v>
      </c>
      <c r="AJ175" s="33" t="s">
        <v>58</v>
      </c>
      <c r="AK175" s="33" t="s">
        <v>56</v>
      </c>
      <c r="AL175" s="27"/>
      <c r="AM175" s="34" t="s">
        <v>57</v>
      </c>
      <c r="AN175" s="35" t="str">
        <f t="shared" si="13"/>
        <v>✓ OK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1673</v>
      </c>
      <c r="C176" s="41" t="s">
        <v>1674</v>
      </c>
      <c r="D176" s="39" t="s">
        <v>1332</v>
      </c>
      <c r="E176" s="42">
        <v>46132</v>
      </c>
      <c r="F176" s="26" t="s">
        <v>55</v>
      </c>
      <c r="G176" s="26" t="s">
        <v>57</v>
      </c>
      <c r="H176" s="26" t="s">
        <v>57</v>
      </c>
      <c r="I176" s="26" t="s">
        <v>90</v>
      </c>
      <c r="J176" s="26" t="s">
        <v>57</v>
      </c>
      <c r="K176" s="27" t="s">
        <v>91</v>
      </c>
      <c r="L176" s="28" t="s">
        <v>56</v>
      </c>
      <c r="M176" s="29" t="str">
        <f t="shared" si="10"/>
        <v>⚠ Missing</v>
      </c>
      <c r="N176" s="42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 t="s">
        <v>61</v>
      </c>
      <c r="AG176" s="33" t="s">
        <v>55</v>
      </c>
      <c r="AH176" s="33" t="s">
        <v>56</v>
      </c>
      <c r="AI176" s="33" t="s">
        <v>57</v>
      </c>
      <c r="AJ176" s="33" t="s">
        <v>58</v>
      </c>
      <c r="AK176" s="33" t="s">
        <v>56</v>
      </c>
      <c r="AL176" s="27"/>
      <c r="AM176" s="34" t="s">
        <v>57</v>
      </c>
      <c r="AN176" s="35" t="str">
        <f t="shared" si="13"/>
        <v>✓ OK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1675</v>
      </c>
      <c r="C177" s="25" t="s">
        <v>1676</v>
      </c>
      <c r="D177" s="23" t="s">
        <v>1332</v>
      </c>
      <c r="E177" s="42">
        <v>46132</v>
      </c>
      <c r="F177" s="26" t="s">
        <v>55</v>
      </c>
      <c r="G177" s="26" t="s">
        <v>57</v>
      </c>
      <c r="H177" s="26" t="s">
        <v>57</v>
      </c>
      <c r="I177" s="26" t="s">
        <v>90</v>
      </c>
      <c r="J177" s="26" t="s">
        <v>57</v>
      </c>
      <c r="K177" s="27" t="s">
        <v>91</v>
      </c>
      <c r="L177" s="28" t="s">
        <v>56</v>
      </c>
      <c r="M177" s="29" t="str">
        <f t="shared" si="10"/>
        <v>⚠ Missing</v>
      </c>
      <c r="N177" s="42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 t="s">
        <v>61</v>
      </c>
      <c r="AG177" s="33" t="s">
        <v>55</v>
      </c>
      <c r="AH177" s="33" t="s">
        <v>56</v>
      </c>
      <c r="AI177" s="33" t="s">
        <v>57</v>
      </c>
      <c r="AJ177" s="33" t="s">
        <v>58</v>
      </c>
      <c r="AK177" s="33" t="s">
        <v>56</v>
      </c>
      <c r="AL177" s="27"/>
      <c r="AM177" s="34" t="s">
        <v>57</v>
      </c>
      <c r="AN177" s="35" t="str">
        <f t="shared" si="13"/>
        <v>✓ OK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1677</v>
      </c>
      <c r="C178" s="41" t="s">
        <v>1678</v>
      </c>
      <c r="D178" s="39" t="s">
        <v>1332</v>
      </c>
      <c r="E178" s="42">
        <v>46132</v>
      </c>
      <c r="F178" s="26" t="s">
        <v>55</v>
      </c>
      <c r="G178" s="26" t="s">
        <v>57</v>
      </c>
      <c r="H178" s="26" t="s">
        <v>57</v>
      </c>
      <c r="I178" s="26" t="s">
        <v>90</v>
      </c>
      <c r="J178" s="26" t="s">
        <v>57</v>
      </c>
      <c r="K178" s="27" t="s">
        <v>91</v>
      </c>
      <c r="L178" s="28" t="s">
        <v>56</v>
      </c>
      <c r="M178" s="29" t="str">
        <f t="shared" si="10"/>
        <v>⚠ Missing</v>
      </c>
      <c r="N178" s="42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56</v>
      </c>
      <c r="Z178" s="30" t="s">
        <v>57</v>
      </c>
      <c r="AA178" s="30" t="s">
        <v>58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 t="s">
        <v>61</v>
      </c>
      <c r="AG178" s="33" t="s">
        <v>55</v>
      </c>
      <c r="AH178" s="33" t="s">
        <v>56</v>
      </c>
      <c r="AI178" s="33" t="s">
        <v>57</v>
      </c>
      <c r="AJ178" s="33" t="s">
        <v>58</v>
      </c>
      <c r="AK178" s="33" t="s">
        <v>56</v>
      </c>
      <c r="AL178" s="27"/>
      <c r="AM178" s="34" t="s">
        <v>57</v>
      </c>
      <c r="AN178" s="35" t="str">
        <f t="shared" si="13"/>
        <v>✓ OK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1679</v>
      </c>
      <c r="C179" s="25" t="s">
        <v>1680</v>
      </c>
      <c r="D179" s="23" t="s">
        <v>1332</v>
      </c>
      <c r="E179" s="42">
        <v>46132</v>
      </c>
      <c r="F179" s="26" t="s">
        <v>55</v>
      </c>
      <c r="G179" s="26" t="s">
        <v>57</v>
      </c>
      <c r="H179" s="26" t="s">
        <v>57</v>
      </c>
      <c r="I179" s="26" t="s">
        <v>90</v>
      </c>
      <c r="J179" s="26" t="s">
        <v>57</v>
      </c>
      <c r="K179" s="27" t="s">
        <v>91</v>
      </c>
      <c r="L179" s="28" t="s">
        <v>56</v>
      </c>
      <c r="M179" s="29" t="str">
        <f t="shared" si="10"/>
        <v>⚠ Missing</v>
      </c>
      <c r="N179" s="42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56</v>
      </c>
      <c r="Z179" s="30" t="s">
        <v>57</v>
      </c>
      <c r="AA179" s="30" t="s">
        <v>58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 t="s">
        <v>61</v>
      </c>
      <c r="AG179" s="33" t="s">
        <v>55</v>
      </c>
      <c r="AH179" s="33" t="s">
        <v>56</v>
      </c>
      <c r="AI179" s="33" t="s">
        <v>57</v>
      </c>
      <c r="AJ179" s="33" t="s">
        <v>58</v>
      </c>
      <c r="AK179" s="33" t="s">
        <v>56</v>
      </c>
      <c r="AL179" s="27"/>
      <c r="AM179" s="34" t="s">
        <v>57</v>
      </c>
      <c r="AN179" s="35" t="str">
        <f t="shared" si="13"/>
        <v>✓ OK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1681</v>
      </c>
      <c r="C180" s="41" t="s">
        <v>1682</v>
      </c>
      <c r="D180" s="39" t="s">
        <v>1332</v>
      </c>
      <c r="E180" s="42">
        <v>46132</v>
      </c>
      <c r="F180" s="26" t="s">
        <v>55</v>
      </c>
      <c r="G180" s="26" t="s">
        <v>57</v>
      </c>
      <c r="H180" s="26" t="s">
        <v>57</v>
      </c>
      <c r="I180" s="26" t="s">
        <v>90</v>
      </c>
      <c r="J180" s="26" t="s">
        <v>57</v>
      </c>
      <c r="K180" s="27" t="s">
        <v>91</v>
      </c>
      <c r="L180" s="28" t="s">
        <v>56</v>
      </c>
      <c r="M180" s="29" t="str">
        <f t="shared" si="10"/>
        <v>⚠ Missing</v>
      </c>
      <c r="N180" s="42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 t="s">
        <v>61</v>
      </c>
      <c r="AG180" s="33" t="s">
        <v>55</v>
      </c>
      <c r="AH180" s="33" t="s">
        <v>56</v>
      </c>
      <c r="AI180" s="33" t="s">
        <v>57</v>
      </c>
      <c r="AJ180" s="33" t="s">
        <v>58</v>
      </c>
      <c r="AK180" s="33" t="s">
        <v>56</v>
      </c>
      <c r="AL180" s="27"/>
      <c r="AM180" s="34" t="s">
        <v>57</v>
      </c>
      <c r="AN180" s="35" t="str">
        <f t="shared" si="13"/>
        <v>✓ OK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1683</v>
      </c>
      <c r="C181" s="25" t="s">
        <v>1684</v>
      </c>
      <c r="D181" s="23" t="s">
        <v>1332</v>
      </c>
      <c r="E181" s="42">
        <v>46132</v>
      </c>
      <c r="F181" s="26" t="s">
        <v>55</v>
      </c>
      <c r="G181" s="26" t="s">
        <v>57</v>
      </c>
      <c r="H181" s="26" t="s">
        <v>57</v>
      </c>
      <c r="I181" s="26" t="s">
        <v>90</v>
      </c>
      <c r="J181" s="26" t="s">
        <v>57</v>
      </c>
      <c r="K181" s="27" t="s">
        <v>91</v>
      </c>
      <c r="L181" s="28" t="s">
        <v>56</v>
      </c>
      <c r="M181" s="29" t="str">
        <f t="shared" si="10"/>
        <v>⚠ Missing</v>
      </c>
      <c r="N181" s="42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56</v>
      </c>
      <c r="Z181" s="30" t="s">
        <v>57</v>
      </c>
      <c r="AA181" s="30" t="s">
        <v>58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 t="s">
        <v>61</v>
      </c>
      <c r="AG181" s="33" t="s">
        <v>55</v>
      </c>
      <c r="AH181" s="33" t="s">
        <v>56</v>
      </c>
      <c r="AI181" s="33" t="s">
        <v>57</v>
      </c>
      <c r="AJ181" s="33" t="s">
        <v>58</v>
      </c>
      <c r="AK181" s="33" t="s">
        <v>56</v>
      </c>
      <c r="AL181" s="27"/>
      <c r="AM181" s="34" t="s">
        <v>57</v>
      </c>
      <c r="AN181" s="35" t="str">
        <f t="shared" si="13"/>
        <v>✓ OK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1685</v>
      </c>
      <c r="C182" s="41" t="s">
        <v>1686</v>
      </c>
      <c r="D182" s="39" t="s">
        <v>1332</v>
      </c>
      <c r="E182" s="42">
        <v>46132</v>
      </c>
      <c r="F182" s="26" t="s">
        <v>55</v>
      </c>
      <c r="G182" s="26" t="s">
        <v>57</v>
      </c>
      <c r="H182" s="26" t="s">
        <v>57</v>
      </c>
      <c r="I182" s="26" t="s">
        <v>90</v>
      </c>
      <c r="J182" s="26" t="s">
        <v>57</v>
      </c>
      <c r="K182" s="27" t="s">
        <v>91</v>
      </c>
      <c r="L182" s="28" t="s">
        <v>56</v>
      </c>
      <c r="M182" s="29" t="str">
        <f t="shared" si="10"/>
        <v>⚠ Missing</v>
      </c>
      <c r="N182" s="42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 t="s">
        <v>61</v>
      </c>
      <c r="AG182" s="33" t="s">
        <v>55</v>
      </c>
      <c r="AH182" s="33" t="s">
        <v>56</v>
      </c>
      <c r="AI182" s="33" t="s">
        <v>57</v>
      </c>
      <c r="AJ182" s="33" t="s">
        <v>58</v>
      </c>
      <c r="AK182" s="33" t="s">
        <v>56</v>
      </c>
      <c r="AL182" s="27"/>
      <c r="AM182" s="34" t="s">
        <v>57</v>
      </c>
      <c r="AN182" s="35" t="str">
        <f t="shared" si="13"/>
        <v>✓ OK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1687</v>
      </c>
      <c r="C183" s="25" t="s">
        <v>1688</v>
      </c>
      <c r="D183" s="23" t="s">
        <v>1332</v>
      </c>
      <c r="E183" s="42">
        <v>46132</v>
      </c>
      <c r="F183" s="26" t="s">
        <v>55</v>
      </c>
      <c r="G183" s="26" t="s">
        <v>57</v>
      </c>
      <c r="H183" s="26" t="s">
        <v>57</v>
      </c>
      <c r="I183" s="26" t="s">
        <v>90</v>
      </c>
      <c r="J183" s="26" t="s">
        <v>57</v>
      </c>
      <c r="K183" s="27" t="s">
        <v>91</v>
      </c>
      <c r="L183" s="28" t="s">
        <v>56</v>
      </c>
      <c r="M183" s="29" t="str">
        <f t="shared" si="10"/>
        <v>⚠ Missing</v>
      </c>
      <c r="N183" s="42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56</v>
      </c>
      <c r="Z183" s="30" t="s">
        <v>57</v>
      </c>
      <c r="AA183" s="30" t="s">
        <v>58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 t="s">
        <v>61</v>
      </c>
      <c r="AG183" s="33" t="s">
        <v>55</v>
      </c>
      <c r="AH183" s="33" t="s">
        <v>56</v>
      </c>
      <c r="AI183" s="33" t="s">
        <v>57</v>
      </c>
      <c r="AJ183" s="33" t="s">
        <v>58</v>
      </c>
      <c r="AK183" s="33" t="s">
        <v>56</v>
      </c>
      <c r="AL183" s="27"/>
      <c r="AM183" s="34" t="s">
        <v>57</v>
      </c>
      <c r="AN183" s="35" t="str">
        <f t="shared" si="13"/>
        <v>✓ OK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1689</v>
      </c>
      <c r="C184" s="41" t="s">
        <v>1690</v>
      </c>
      <c r="D184" s="39" t="s">
        <v>1332</v>
      </c>
      <c r="E184" s="42">
        <v>46132</v>
      </c>
      <c r="F184" s="26" t="s">
        <v>55</v>
      </c>
      <c r="G184" s="26" t="s">
        <v>57</v>
      </c>
      <c r="H184" s="26" t="s">
        <v>57</v>
      </c>
      <c r="I184" s="26" t="s">
        <v>90</v>
      </c>
      <c r="J184" s="26" t="s">
        <v>57</v>
      </c>
      <c r="K184" s="27" t="s">
        <v>91</v>
      </c>
      <c r="L184" s="28" t="s">
        <v>56</v>
      </c>
      <c r="M184" s="29" t="str">
        <f t="shared" si="10"/>
        <v>⚠ Missing</v>
      </c>
      <c r="N184" s="42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56</v>
      </c>
      <c r="Z184" s="30" t="s">
        <v>57</v>
      </c>
      <c r="AA184" s="30" t="s">
        <v>58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 t="s">
        <v>61</v>
      </c>
      <c r="AG184" s="33" t="s">
        <v>55</v>
      </c>
      <c r="AH184" s="33" t="s">
        <v>56</v>
      </c>
      <c r="AI184" s="33" t="s">
        <v>57</v>
      </c>
      <c r="AJ184" s="33" t="s">
        <v>58</v>
      </c>
      <c r="AK184" s="33" t="s">
        <v>56</v>
      </c>
      <c r="AL184" s="27"/>
      <c r="AM184" s="34" t="s">
        <v>57</v>
      </c>
      <c r="AN184" s="35" t="str">
        <f t="shared" si="13"/>
        <v>✓ OK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1691</v>
      </c>
      <c r="C185" s="25" t="s">
        <v>1692</v>
      </c>
      <c r="D185" s="23" t="s">
        <v>1332</v>
      </c>
      <c r="E185" s="42">
        <v>46132</v>
      </c>
      <c r="F185" s="26" t="s">
        <v>55</v>
      </c>
      <c r="G185" s="26" t="s">
        <v>57</v>
      </c>
      <c r="H185" s="26" t="s">
        <v>57</v>
      </c>
      <c r="I185" s="26" t="s">
        <v>90</v>
      </c>
      <c r="J185" s="26" t="s">
        <v>57</v>
      </c>
      <c r="K185" s="27" t="s">
        <v>91</v>
      </c>
      <c r="L185" s="28" t="s">
        <v>56</v>
      </c>
      <c r="M185" s="29" t="str">
        <f t="shared" si="10"/>
        <v>⚠ Missing</v>
      </c>
      <c r="N185" s="42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56</v>
      </c>
      <c r="Z185" s="30" t="s">
        <v>57</v>
      </c>
      <c r="AA185" s="30" t="s">
        <v>58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 t="s">
        <v>61</v>
      </c>
      <c r="AG185" s="33" t="s">
        <v>55</v>
      </c>
      <c r="AH185" s="33" t="s">
        <v>56</v>
      </c>
      <c r="AI185" s="33" t="s">
        <v>57</v>
      </c>
      <c r="AJ185" s="33" t="s">
        <v>58</v>
      </c>
      <c r="AK185" s="33" t="s">
        <v>56</v>
      </c>
      <c r="AL185" s="27"/>
      <c r="AM185" s="34" t="s">
        <v>57</v>
      </c>
      <c r="AN185" s="35" t="str">
        <f t="shared" si="13"/>
        <v>✓ OK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1693</v>
      </c>
      <c r="C186" s="41" t="s">
        <v>1694</v>
      </c>
      <c r="D186" s="39" t="s">
        <v>1332</v>
      </c>
      <c r="E186" s="42">
        <v>46132</v>
      </c>
      <c r="F186" s="26" t="s">
        <v>55</v>
      </c>
      <c r="G186" s="26" t="s">
        <v>57</v>
      </c>
      <c r="H186" s="26" t="s">
        <v>57</v>
      </c>
      <c r="I186" s="26" t="s">
        <v>90</v>
      </c>
      <c r="J186" s="26" t="s">
        <v>57</v>
      </c>
      <c r="K186" s="27" t="s">
        <v>91</v>
      </c>
      <c r="L186" s="28" t="s">
        <v>56</v>
      </c>
      <c r="M186" s="29" t="str">
        <f t="shared" si="10"/>
        <v>⚠ Missing</v>
      </c>
      <c r="N186" s="42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 t="s">
        <v>61</v>
      </c>
      <c r="AG186" s="33" t="s">
        <v>55</v>
      </c>
      <c r="AH186" s="33" t="s">
        <v>56</v>
      </c>
      <c r="AI186" s="33" t="s">
        <v>57</v>
      </c>
      <c r="AJ186" s="33" t="s">
        <v>58</v>
      </c>
      <c r="AK186" s="33" t="s">
        <v>56</v>
      </c>
      <c r="AL186" s="27"/>
      <c r="AM186" s="34" t="s">
        <v>57</v>
      </c>
      <c r="AN186" s="35" t="str">
        <f t="shared" si="13"/>
        <v>✓ OK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1695</v>
      </c>
      <c r="C187" s="25" t="s">
        <v>1696</v>
      </c>
      <c r="D187" s="23" t="s">
        <v>1332</v>
      </c>
      <c r="E187" s="42">
        <v>46132</v>
      </c>
      <c r="F187" s="26" t="s">
        <v>55</v>
      </c>
      <c r="G187" s="26" t="s">
        <v>57</v>
      </c>
      <c r="H187" s="26" t="s">
        <v>57</v>
      </c>
      <c r="I187" s="26" t="s">
        <v>90</v>
      </c>
      <c r="J187" s="26" t="s">
        <v>57</v>
      </c>
      <c r="K187" s="27" t="s">
        <v>91</v>
      </c>
      <c r="L187" s="28" t="s">
        <v>56</v>
      </c>
      <c r="M187" s="29" t="str">
        <f t="shared" si="10"/>
        <v>⚠ Missing</v>
      </c>
      <c r="N187" s="42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 t="s">
        <v>61</v>
      </c>
      <c r="AG187" s="33" t="s">
        <v>55</v>
      </c>
      <c r="AH187" s="33" t="s">
        <v>56</v>
      </c>
      <c r="AI187" s="33" t="s">
        <v>57</v>
      </c>
      <c r="AJ187" s="33" t="s">
        <v>58</v>
      </c>
      <c r="AK187" s="33" t="s">
        <v>56</v>
      </c>
      <c r="AL187" s="27"/>
      <c r="AM187" s="34" t="s">
        <v>57</v>
      </c>
      <c r="AN187" s="35" t="str">
        <f t="shared" si="13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1697</v>
      </c>
      <c r="C188" s="41" t="s">
        <v>1698</v>
      </c>
      <c r="D188" s="39" t="s">
        <v>1332</v>
      </c>
      <c r="E188" s="42">
        <v>46132</v>
      </c>
      <c r="F188" s="26" t="s">
        <v>55</v>
      </c>
      <c r="G188" s="26" t="s">
        <v>57</v>
      </c>
      <c r="H188" s="26" t="s">
        <v>57</v>
      </c>
      <c r="I188" s="26" t="s">
        <v>90</v>
      </c>
      <c r="J188" s="26" t="s">
        <v>57</v>
      </c>
      <c r="K188" s="27" t="s">
        <v>91</v>
      </c>
      <c r="L188" s="28" t="s">
        <v>56</v>
      </c>
      <c r="M188" s="29" t="str">
        <f t="shared" si="10"/>
        <v>⚠ Missing</v>
      </c>
      <c r="N188" s="42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 t="s">
        <v>61</v>
      </c>
      <c r="AG188" s="33" t="s">
        <v>55</v>
      </c>
      <c r="AH188" s="33" t="s">
        <v>56</v>
      </c>
      <c r="AI188" s="33" t="s">
        <v>57</v>
      </c>
      <c r="AJ188" s="33" t="s">
        <v>58</v>
      </c>
      <c r="AK188" s="33" t="s">
        <v>56</v>
      </c>
      <c r="AL188" s="27"/>
      <c r="AM188" s="34" t="s">
        <v>57</v>
      </c>
      <c r="AN188" s="35" t="str">
        <f t="shared" si="13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1699</v>
      </c>
      <c r="C189" s="25" t="s">
        <v>1700</v>
      </c>
      <c r="D189" s="23" t="s">
        <v>1332</v>
      </c>
      <c r="E189" s="42">
        <v>46132</v>
      </c>
      <c r="F189" s="26" t="s">
        <v>55</v>
      </c>
      <c r="G189" s="26" t="s">
        <v>57</v>
      </c>
      <c r="H189" s="26" t="s">
        <v>57</v>
      </c>
      <c r="I189" s="26" t="s">
        <v>90</v>
      </c>
      <c r="J189" s="26" t="s">
        <v>57</v>
      </c>
      <c r="K189" s="27" t="s">
        <v>91</v>
      </c>
      <c r="L189" s="28" t="s">
        <v>56</v>
      </c>
      <c r="M189" s="29" t="str">
        <f t="shared" si="10"/>
        <v>⚠ Missing</v>
      </c>
      <c r="N189" s="42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 t="s">
        <v>61</v>
      </c>
      <c r="AG189" s="33" t="s">
        <v>55</v>
      </c>
      <c r="AH189" s="33" t="s">
        <v>56</v>
      </c>
      <c r="AI189" s="33" t="s">
        <v>57</v>
      </c>
      <c r="AJ189" s="33" t="s">
        <v>58</v>
      </c>
      <c r="AK189" s="33" t="s">
        <v>56</v>
      </c>
      <c r="AL189" s="27"/>
      <c r="AM189" s="34" t="s">
        <v>57</v>
      </c>
      <c r="AN189" s="35" t="str">
        <f t="shared" si="13"/>
        <v>✓ OK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1701</v>
      </c>
      <c r="C190" s="41" t="s">
        <v>1702</v>
      </c>
      <c r="D190" s="39" t="s">
        <v>1332</v>
      </c>
      <c r="E190" s="42">
        <v>46132</v>
      </c>
      <c r="F190" s="26" t="s">
        <v>55</v>
      </c>
      <c r="G190" s="26" t="s">
        <v>57</v>
      </c>
      <c r="H190" s="26" t="s">
        <v>57</v>
      </c>
      <c r="I190" s="26" t="s">
        <v>90</v>
      </c>
      <c r="J190" s="26" t="s">
        <v>57</v>
      </c>
      <c r="K190" s="27" t="s">
        <v>91</v>
      </c>
      <c r="L190" s="28" t="s">
        <v>56</v>
      </c>
      <c r="M190" s="29" t="str">
        <f t="shared" si="10"/>
        <v>⚠ Missing</v>
      </c>
      <c r="N190" s="42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 t="s">
        <v>61</v>
      </c>
      <c r="AG190" s="33" t="s">
        <v>55</v>
      </c>
      <c r="AH190" s="33" t="s">
        <v>56</v>
      </c>
      <c r="AI190" s="33" t="s">
        <v>57</v>
      </c>
      <c r="AJ190" s="33" t="s">
        <v>58</v>
      </c>
      <c r="AK190" s="33" t="s">
        <v>56</v>
      </c>
      <c r="AL190" s="27"/>
      <c r="AM190" s="34" t="s">
        <v>57</v>
      </c>
      <c r="AN190" s="35" t="str">
        <f t="shared" si="13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1703</v>
      </c>
      <c r="C191" s="25" t="s">
        <v>1704</v>
      </c>
      <c r="D191" s="23" t="s">
        <v>1332</v>
      </c>
      <c r="E191" s="42">
        <v>46132</v>
      </c>
      <c r="F191" s="26" t="s">
        <v>55</v>
      </c>
      <c r="G191" s="26" t="s">
        <v>57</v>
      </c>
      <c r="H191" s="26" t="s">
        <v>57</v>
      </c>
      <c r="I191" s="26" t="s">
        <v>90</v>
      </c>
      <c r="J191" s="26" t="s">
        <v>57</v>
      </c>
      <c r="K191" s="27" t="s">
        <v>91</v>
      </c>
      <c r="L191" s="28" t="s">
        <v>56</v>
      </c>
      <c r="M191" s="29" t="str">
        <f t="shared" si="10"/>
        <v>⚠ Missing</v>
      </c>
      <c r="N191" s="42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 t="s">
        <v>61</v>
      </c>
      <c r="AG191" s="33" t="s">
        <v>55</v>
      </c>
      <c r="AH191" s="33" t="s">
        <v>56</v>
      </c>
      <c r="AI191" s="33" t="s">
        <v>57</v>
      </c>
      <c r="AJ191" s="33" t="s">
        <v>58</v>
      </c>
      <c r="AK191" s="33" t="s">
        <v>56</v>
      </c>
      <c r="AL191" s="27"/>
      <c r="AM191" s="34" t="s">
        <v>57</v>
      </c>
      <c r="AN191" s="35" t="str">
        <f t="shared" si="13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1705</v>
      </c>
      <c r="C192" s="41" t="s">
        <v>1706</v>
      </c>
      <c r="D192" s="39" t="s">
        <v>1332</v>
      </c>
      <c r="E192" s="42">
        <v>46132</v>
      </c>
      <c r="F192" s="26" t="s">
        <v>55</v>
      </c>
      <c r="G192" s="26" t="s">
        <v>57</v>
      </c>
      <c r="H192" s="26" t="s">
        <v>57</v>
      </c>
      <c r="I192" s="26" t="s">
        <v>90</v>
      </c>
      <c r="J192" s="26" t="s">
        <v>57</v>
      </c>
      <c r="K192" s="27" t="s">
        <v>91</v>
      </c>
      <c r="L192" s="28" t="s">
        <v>56</v>
      </c>
      <c r="M192" s="29" t="str">
        <f t="shared" si="10"/>
        <v>⚠ Missing</v>
      </c>
      <c r="N192" s="42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 t="s">
        <v>61</v>
      </c>
      <c r="AG192" s="33" t="s">
        <v>55</v>
      </c>
      <c r="AH192" s="33" t="s">
        <v>56</v>
      </c>
      <c r="AI192" s="33" t="s">
        <v>57</v>
      </c>
      <c r="AJ192" s="33" t="s">
        <v>58</v>
      </c>
      <c r="AK192" s="33" t="s">
        <v>56</v>
      </c>
      <c r="AL192" s="27"/>
      <c r="AM192" s="34" t="s">
        <v>57</v>
      </c>
      <c r="AN192" s="35" t="str">
        <f t="shared" si="13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1707</v>
      </c>
      <c r="C193" s="25" t="s">
        <v>1708</v>
      </c>
      <c r="D193" s="23" t="s">
        <v>1332</v>
      </c>
      <c r="E193" s="42">
        <v>46132</v>
      </c>
      <c r="F193" s="26" t="s">
        <v>55</v>
      </c>
      <c r="G193" s="26" t="s">
        <v>57</v>
      </c>
      <c r="H193" s="26" t="s">
        <v>57</v>
      </c>
      <c r="I193" s="26" t="s">
        <v>90</v>
      </c>
      <c r="J193" s="26" t="s">
        <v>57</v>
      </c>
      <c r="K193" s="27" t="s">
        <v>91</v>
      </c>
      <c r="L193" s="28" t="s">
        <v>56</v>
      </c>
      <c r="M193" s="29" t="str">
        <f t="shared" si="10"/>
        <v>⚠ Missing</v>
      </c>
      <c r="N193" s="42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 t="s">
        <v>61</v>
      </c>
      <c r="AG193" s="33" t="s">
        <v>55</v>
      </c>
      <c r="AH193" s="33" t="s">
        <v>56</v>
      </c>
      <c r="AI193" s="33" t="s">
        <v>57</v>
      </c>
      <c r="AJ193" s="33" t="s">
        <v>58</v>
      </c>
      <c r="AK193" s="33" t="s">
        <v>56</v>
      </c>
      <c r="AL193" s="27"/>
      <c r="AM193" s="34" t="s">
        <v>57</v>
      </c>
      <c r="AN193" s="35" t="str">
        <f t="shared" si="13"/>
        <v>✓ OK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1709</v>
      </c>
      <c r="C194" s="41" t="s">
        <v>1710</v>
      </c>
      <c r="D194" s="39" t="s">
        <v>1332</v>
      </c>
      <c r="E194" s="42">
        <v>46132</v>
      </c>
      <c r="F194" s="26" t="s">
        <v>55</v>
      </c>
      <c r="G194" s="26" t="s">
        <v>57</v>
      </c>
      <c r="H194" s="26" t="s">
        <v>57</v>
      </c>
      <c r="I194" s="26" t="s">
        <v>90</v>
      </c>
      <c r="J194" s="26" t="s">
        <v>57</v>
      </c>
      <c r="K194" s="27" t="s">
        <v>91</v>
      </c>
      <c r="L194" s="28" t="s">
        <v>56</v>
      </c>
      <c r="M194" s="29" t="str">
        <f t="shared" si="10"/>
        <v>⚠ Missing</v>
      </c>
      <c r="N194" s="42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56</v>
      </c>
      <c r="Z194" s="30" t="s">
        <v>57</v>
      </c>
      <c r="AA194" s="30" t="s">
        <v>58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 t="s">
        <v>61</v>
      </c>
      <c r="AG194" s="33" t="s">
        <v>55</v>
      </c>
      <c r="AH194" s="33" t="s">
        <v>56</v>
      </c>
      <c r="AI194" s="33" t="s">
        <v>57</v>
      </c>
      <c r="AJ194" s="33" t="s">
        <v>58</v>
      </c>
      <c r="AK194" s="33" t="s">
        <v>56</v>
      </c>
      <c r="AL194" s="27"/>
      <c r="AM194" s="34" t="s">
        <v>57</v>
      </c>
      <c r="AN194" s="35" t="str">
        <f t="shared" si="13"/>
        <v>✓ OK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1711</v>
      </c>
      <c r="C195" s="25" t="s">
        <v>1712</v>
      </c>
      <c r="D195" s="23" t="s">
        <v>1332</v>
      </c>
      <c r="E195" s="42">
        <v>46132</v>
      </c>
      <c r="F195" s="26" t="s">
        <v>55</v>
      </c>
      <c r="G195" s="26" t="s">
        <v>57</v>
      </c>
      <c r="H195" s="26" t="s">
        <v>57</v>
      </c>
      <c r="I195" s="26" t="s">
        <v>90</v>
      </c>
      <c r="J195" s="26" t="s">
        <v>57</v>
      </c>
      <c r="K195" s="27" t="s">
        <v>91</v>
      </c>
      <c r="L195" s="28" t="s">
        <v>56</v>
      </c>
      <c r="M195" s="29" t="str">
        <f t="shared" si="10"/>
        <v>⚠ Missing</v>
      </c>
      <c r="N195" s="42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 t="s">
        <v>61</v>
      </c>
      <c r="AG195" s="33" t="s">
        <v>55</v>
      </c>
      <c r="AH195" s="33" t="s">
        <v>56</v>
      </c>
      <c r="AI195" s="33" t="s">
        <v>57</v>
      </c>
      <c r="AJ195" s="33" t="s">
        <v>58</v>
      </c>
      <c r="AK195" s="33" t="s">
        <v>56</v>
      </c>
      <c r="AL195" s="27"/>
      <c r="AM195" s="34" t="s">
        <v>57</v>
      </c>
      <c r="AN195" s="35" t="str">
        <f t="shared" si="13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1713</v>
      </c>
      <c r="C196" s="41" t="s">
        <v>1714</v>
      </c>
      <c r="D196" s="39" t="s">
        <v>1332</v>
      </c>
      <c r="E196" s="42">
        <v>46132</v>
      </c>
      <c r="F196" s="26" t="s">
        <v>55</v>
      </c>
      <c r="G196" s="26" t="s">
        <v>57</v>
      </c>
      <c r="H196" s="26" t="s">
        <v>57</v>
      </c>
      <c r="I196" s="26" t="s">
        <v>90</v>
      </c>
      <c r="J196" s="26" t="s">
        <v>57</v>
      </c>
      <c r="K196" s="27" t="s">
        <v>91</v>
      </c>
      <c r="L196" s="28" t="s">
        <v>56</v>
      </c>
      <c r="M196" s="29" t="str">
        <f t="shared" si="10"/>
        <v>⚠ Missing</v>
      </c>
      <c r="N196" s="42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 t="s">
        <v>61</v>
      </c>
      <c r="AG196" s="33" t="s">
        <v>55</v>
      </c>
      <c r="AH196" s="33" t="s">
        <v>56</v>
      </c>
      <c r="AI196" s="33" t="s">
        <v>57</v>
      </c>
      <c r="AJ196" s="33" t="s">
        <v>58</v>
      </c>
      <c r="AK196" s="33" t="s">
        <v>56</v>
      </c>
      <c r="AL196" s="27"/>
      <c r="AM196" s="34" t="s">
        <v>57</v>
      </c>
      <c r="AN196" s="35" t="str">
        <f t="shared" si="13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1715</v>
      </c>
      <c r="C197" s="25" t="s">
        <v>1716</v>
      </c>
      <c r="D197" s="23" t="s">
        <v>1332</v>
      </c>
      <c r="E197" s="42">
        <v>46132</v>
      </c>
      <c r="F197" s="26" t="s">
        <v>55</v>
      </c>
      <c r="G197" s="26" t="s">
        <v>57</v>
      </c>
      <c r="H197" s="26" t="s">
        <v>57</v>
      </c>
      <c r="I197" s="26" t="s">
        <v>90</v>
      </c>
      <c r="J197" s="26" t="s">
        <v>57</v>
      </c>
      <c r="K197" s="27" t="s">
        <v>91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Missing</v>
      </c>
      <c r="N197" s="42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 t="s">
        <v>61</v>
      </c>
      <c r="AG197" s="33" t="s">
        <v>55</v>
      </c>
      <c r="AH197" s="33" t="s">
        <v>56</v>
      </c>
      <c r="AI197" s="33" t="s">
        <v>57</v>
      </c>
      <c r="AJ197" s="33" t="s">
        <v>58</v>
      </c>
      <c r="AK197" s="33" t="s">
        <v>56</v>
      </c>
      <c r="AL197" s="27"/>
      <c r="AM197" s="34" t="s">
        <v>57</v>
      </c>
      <c r="AN197" s="35" t="str">
        <f t="shared" ref="AN197:AN260" si="18">IF(AF197="","",IF(AI197="Yes","❌ Disc",IF(AH197="No","⚠ Missing",IF(AK197="Yes","✓ OK","⚠ Check"))))</f>
        <v>✓ OK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1717</v>
      </c>
      <c r="C198" s="41" t="s">
        <v>1718</v>
      </c>
      <c r="D198" s="39" t="s">
        <v>1332</v>
      </c>
      <c r="E198" s="42">
        <v>46132</v>
      </c>
      <c r="F198" s="26" t="s">
        <v>55</v>
      </c>
      <c r="G198" s="26" t="s">
        <v>57</v>
      </c>
      <c r="H198" s="26" t="s">
        <v>57</v>
      </c>
      <c r="I198" s="26" t="s">
        <v>90</v>
      </c>
      <c r="J198" s="26" t="s">
        <v>57</v>
      </c>
      <c r="K198" s="27" t="s">
        <v>91</v>
      </c>
      <c r="L198" s="28" t="s">
        <v>56</v>
      </c>
      <c r="M198" s="29" t="str">
        <f t="shared" si="15"/>
        <v>⚠ Missing</v>
      </c>
      <c r="N198" s="42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 t="s">
        <v>61</v>
      </c>
      <c r="AG198" s="33" t="s">
        <v>55</v>
      </c>
      <c r="AH198" s="33" t="s">
        <v>56</v>
      </c>
      <c r="AI198" s="33" t="s">
        <v>57</v>
      </c>
      <c r="AJ198" s="33" t="s">
        <v>58</v>
      </c>
      <c r="AK198" s="33" t="s">
        <v>56</v>
      </c>
      <c r="AL198" s="27"/>
      <c r="AM198" s="34" t="s">
        <v>57</v>
      </c>
      <c r="AN198" s="35" t="str">
        <f t="shared" si="18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1719</v>
      </c>
      <c r="C199" s="25" t="s">
        <v>1720</v>
      </c>
      <c r="D199" s="23" t="s">
        <v>1332</v>
      </c>
      <c r="E199" s="42">
        <v>46132</v>
      </c>
      <c r="F199" s="26" t="s">
        <v>55</v>
      </c>
      <c r="G199" s="26" t="s">
        <v>57</v>
      </c>
      <c r="H199" s="26" t="s">
        <v>57</v>
      </c>
      <c r="I199" s="26" t="s">
        <v>90</v>
      </c>
      <c r="J199" s="26" t="s">
        <v>57</v>
      </c>
      <c r="K199" s="27" t="s">
        <v>91</v>
      </c>
      <c r="L199" s="28" t="s">
        <v>56</v>
      </c>
      <c r="M199" s="29" t="str">
        <f t="shared" si="15"/>
        <v>⚠ Missing</v>
      </c>
      <c r="N199" s="42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 t="s">
        <v>61</v>
      </c>
      <c r="AG199" s="33" t="s">
        <v>55</v>
      </c>
      <c r="AH199" s="33" t="s">
        <v>56</v>
      </c>
      <c r="AI199" s="33" t="s">
        <v>57</v>
      </c>
      <c r="AJ199" s="33" t="s">
        <v>58</v>
      </c>
      <c r="AK199" s="33" t="s">
        <v>56</v>
      </c>
      <c r="AL199" s="27"/>
      <c r="AM199" s="34" t="s">
        <v>57</v>
      </c>
      <c r="AN199" s="35" t="str">
        <f t="shared" si="18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1721</v>
      </c>
      <c r="C200" s="41" t="s">
        <v>1722</v>
      </c>
      <c r="D200" s="39" t="s">
        <v>1332</v>
      </c>
      <c r="E200" s="42">
        <v>46132</v>
      </c>
      <c r="F200" s="26" t="s">
        <v>55</v>
      </c>
      <c r="G200" s="26" t="s">
        <v>57</v>
      </c>
      <c r="H200" s="26" t="s">
        <v>57</v>
      </c>
      <c r="I200" s="26" t="s">
        <v>90</v>
      </c>
      <c r="J200" s="26" t="s">
        <v>57</v>
      </c>
      <c r="K200" s="27" t="s">
        <v>91</v>
      </c>
      <c r="L200" s="28" t="s">
        <v>56</v>
      </c>
      <c r="M200" s="29" t="str">
        <f t="shared" si="15"/>
        <v>⚠ Missing</v>
      </c>
      <c r="N200" s="42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 t="s">
        <v>61</v>
      </c>
      <c r="AG200" s="33" t="s">
        <v>55</v>
      </c>
      <c r="AH200" s="33" t="s">
        <v>56</v>
      </c>
      <c r="AI200" s="33" t="s">
        <v>57</v>
      </c>
      <c r="AJ200" s="33" t="s">
        <v>58</v>
      </c>
      <c r="AK200" s="33" t="s">
        <v>56</v>
      </c>
      <c r="AL200" s="27"/>
      <c r="AM200" s="34" t="s">
        <v>57</v>
      </c>
      <c r="AN200" s="35" t="str">
        <f t="shared" si="18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1723</v>
      </c>
      <c r="C201" s="25" t="s">
        <v>1724</v>
      </c>
      <c r="D201" s="23" t="s">
        <v>1332</v>
      </c>
      <c r="E201" s="42">
        <v>46132</v>
      </c>
      <c r="F201" s="26" t="s">
        <v>55</v>
      </c>
      <c r="G201" s="26" t="s">
        <v>57</v>
      </c>
      <c r="H201" s="26" t="s">
        <v>57</v>
      </c>
      <c r="I201" s="26" t="s">
        <v>90</v>
      </c>
      <c r="J201" s="26" t="s">
        <v>57</v>
      </c>
      <c r="K201" s="27" t="s">
        <v>91</v>
      </c>
      <c r="L201" s="28" t="s">
        <v>56</v>
      </c>
      <c r="M201" s="29" t="str">
        <f t="shared" si="15"/>
        <v>⚠ Missing</v>
      </c>
      <c r="N201" s="42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 t="s">
        <v>61</v>
      </c>
      <c r="AG201" s="33" t="s">
        <v>55</v>
      </c>
      <c r="AH201" s="33" t="s">
        <v>56</v>
      </c>
      <c r="AI201" s="33" t="s">
        <v>57</v>
      </c>
      <c r="AJ201" s="33" t="s">
        <v>58</v>
      </c>
      <c r="AK201" s="33" t="s">
        <v>56</v>
      </c>
      <c r="AL201" s="27"/>
      <c r="AM201" s="34" t="s">
        <v>57</v>
      </c>
      <c r="AN201" s="35" t="str">
        <f t="shared" si="18"/>
        <v>✓ OK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1725</v>
      </c>
      <c r="C202" s="41" t="s">
        <v>1726</v>
      </c>
      <c r="D202" s="39" t="s">
        <v>1332</v>
      </c>
      <c r="E202" s="42">
        <v>46132</v>
      </c>
      <c r="F202" s="26" t="s">
        <v>55</v>
      </c>
      <c r="G202" s="26" t="s">
        <v>57</v>
      </c>
      <c r="H202" s="26" t="s">
        <v>57</v>
      </c>
      <c r="I202" s="26" t="s">
        <v>90</v>
      </c>
      <c r="J202" s="26" t="s">
        <v>57</v>
      </c>
      <c r="K202" s="27" t="s">
        <v>91</v>
      </c>
      <c r="L202" s="28" t="s">
        <v>56</v>
      </c>
      <c r="M202" s="29" t="str">
        <f t="shared" si="15"/>
        <v>⚠ Missing</v>
      </c>
      <c r="N202" s="42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 t="s">
        <v>61</v>
      </c>
      <c r="AG202" s="33" t="s">
        <v>55</v>
      </c>
      <c r="AH202" s="33" t="s">
        <v>56</v>
      </c>
      <c r="AI202" s="33" t="s">
        <v>57</v>
      </c>
      <c r="AJ202" s="33" t="s">
        <v>58</v>
      </c>
      <c r="AK202" s="33" t="s">
        <v>56</v>
      </c>
      <c r="AL202" s="27"/>
      <c r="AM202" s="34" t="s">
        <v>57</v>
      </c>
      <c r="AN202" s="35" t="str">
        <f t="shared" si="18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1727</v>
      </c>
      <c r="C203" s="25" t="s">
        <v>1728</v>
      </c>
      <c r="D203" s="23" t="s">
        <v>1332</v>
      </c>
      <c r="E203" s="42">
        <v>46132</v>
      </c>
      <c r="F203" s="26" t="s">
        <v>55</v>
      </c>
      <c r="G203" s="26" t="s">
        <v>57</v>
      </c>
      <c r="H203" s="26" t="s">
        <v>57</v>
      </c>
      <c r="I203" s="26" t="s">
        <v>90</v>
      </c>
      <c r="J203" s="26" t="s">
        <v>57</v>
      </c>
      <c r="K203" s="27" t="s">
        <v>91</v>
      </c>
      <c r="L203" s="28" t="s">
        <v>56</v>
      </c>
      <c r="M203" s="29" t="str">
        <f t="shared" si="15"/>
        <v>⚠ Missing</v>
      </c>
      <c r="N203" s="42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 t="s">
        <v>61</v>
      </c>
      <c r="AG203" s="33" t="s">
        <v>55</v>
      </c>
      <c r="AH203" s="33" t="s">
        <v>56</v>
      </c>
      <c r="AI203" s="33" t="s">
        <v>57</v>
      </c>
      <c r="AJ203" s="33" t="s">
        <v>58</v>
      </c>
      <c r="AK203" s="33" t="s">
        <v>56</v>
      </c>
      <c r="AL203" s="27"/>
      <c r="AM203" s="34" t="s">
        <v>57</v>
      </c>
      <c r="AN203" s="35" t="str">
        <f t="shared" si="18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1729</v>
      </c>
      <c r="C204" s="41" t="s">
        <v>1730</v>
      </c>
      <c r="D204" s="39" t="s">
        <v>1332</v>
      </c>
      <c r="E204" s="42">
        <v>46132</v>
      </c>
      <c r="F204" s="26" t="s">
        <v>55</v>
      </c>
      <c r="G204" s="26" t="s">
        <v>57</v>
      </c>
      <c r="H204" s="26" t="s">
        <v>57</v>
      </c>
      <c r="I204" s="26" t="s">
        <v>90</v>
      </c>
      <c r="J204" s="26" t="s">
        <v>57</v>
      </c>
      <c r="K204" s="27" t="s">
        <v>91</v>
      </c>
      <c r="L204" s="28" t="s">
        <v>56</v>
      </c>
      <c r="M204" s="29" t="str">
        <f t="shared" si="15"/>
        <v>⚠ Missing</v>
      </c>
      <c r="N204" s="42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 t="s">
        <v>61</v>
      </c>
      <c r="AG204" s="33" t="s">
        <v>55</v>
      </c>
      <c r="AH204" s="33" t="s">
        <v>56</v>
      </c>
      <c r="AI204" s="33" t="s">
        <v>57</v>
      </c>
      <c r="AJ204" s="33" t="s">
        <v>58</v>
      </c>
      <c r="AK204" s="33" t="s">
        <v>56</v>
      </c>
      <c r="AL204" s="27"/>
      <c r="AM204" s="34" t="s">
        <v>57</v>
      </c>
      <c r="AN204" s="35" t="str">
        <f t="shared" si="18"/>
        <v>✓ OK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1731</v>
      </c>
      <c r="C205" s="25" t="s">
        <v>1732</v>
      </c>
      <c r="D205" s="23" t="s">
        <v>1332</v>
      </c>
      <c r="E205" s="42">
        <v>46132</v>
      </c>
      <c r="F205" s="26" t="s">
        <v>55</v>
      </c>
      <c r="G205" s="26" t="s">
        <v>57</v>
      </c>
      <c r="H205" s="26" t="s">
        <v>57</v>
      </c>
      <c r="I205" s="26" t="s">
        <v>90</v>
      </c>
      <c r="J205" s="26" t="s">
        <v>57</v>
      </c>
      <c r="K205" s="27" t="s">
        <v>91</v>
      </c>
      <c r="L205" s="28" t="s">
        <v>56</v>
      </c>
      <c r="M205" s="29" t="str">
        <f t="shared" si="15"/>
        <v>⚠ Missing</v>
      </c>
      <c r="N205" s="42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 t="s">
        <v>61</v>
      </c>
      <c r="AG205" s="33" t="s">
        <v>55</v>
      </c>
      <c r="AH205" s="33" t="s">
        <v>56</v>
      </c>
      <c r="AI205" s="33" t="s">
        <v>57</v>
      </c>
      <c r="AJ205" s="33" t="s">
        <v>58</v>
      </c>
      <c r="AK205" s="33" t="s">
        <v>56</v>
      </c>
      <c r="AL205" s="27"/>
      <c r="AM205" s="34" t="s">
        <v>57</v>
      </c>
      <c r="AN205" s="35" t="str">
        <f t="shared" si="18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1733</v>
      </c>
      <c r="C206" s="41" t="s">
        <v>1734</v>
      </c>
      <c r="D206" s="39" t="s">
        <v>1332</v>
      </c>
      <c r="E206" s="42">
        <v>46132</v>
      </c>
      <c r="F206" s="26" t="s">
        <v>55</v>
      </c>
      <c r="G206" s="26" t="s">
        <v>57</v>
      </c>
      <c r="H206" s="26" t="s">
        <v>57</v>
      </c>
      <c r="I206" s="26" t="s">
        <v>90</v>
      </c>
      <c r="J206" s="26" t="s">
        <v>57</v>
      </c>
      <c r="K206" s="27" t="s">
        <v>91</v>
      </c>
      <c r="L206" s="28" t="s">
        <v>56</v>
      </c>
      <c r="M206" s="29" t="str">
        <f t="shared" si="15"/>
        <v>⚠ Missing</v>
      </c>
      <c r="N206" s="42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 t="s">
        <v>61</v>
      </c>
      <c r="AG206" s="33" t="s">
        <v>55</v>
      </c>
      <c r="AH206" s="33" t="s">
        <v>56</v>
      </c>
      <c r="AI206" s="33" t="s">
        <v>57</v>
      </c>
      <c r="AJ206" s="33" t="s">
        <v>58</v>
      </c>
      <c r="AK206" s="33" t="s">
        <v>56</v>
      </c>
      <c r="AL206" s="27"/>
      <c r="AM206" s="34" t="s">
        <v>57</v>
      </c>
      <c r="AN206" s="35" t="str">
        <f t="shared" si="18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1735</v>
      </c>
      <c r="C207" s="25" t="s">
        <v>1736</v>
      </c>
      <c r="D207" s="23" t="s">
        <v>1332</v>
      </c>
      <c r="E207" s="42">
        <v>46132</v>
      </c>
      <c r="F207" s="26" t="s">
        <v>55</v>
      </c>
      <c r="G207" s="26" t="s">
        <v>57</v>
      </c>
      <c r="H207" s="26" t="s">
        <v>57</v>
      </c>
      <c r="I207" s="26" t="s">
        <v>90</v>
      </c>
      <c r="J207" s="26" t="s">
        <v>57</v>
      </c>
      <c r="K207" s="27" t="s">
        <v>91</v>
      </c>
      <c r="L207" s="28" t="s">
        <v>56</v>
      </c>
      <c r="M207" s="29" t="str">
        <f t="shared" si="15"/>
        <v>⚠ Missing</v>
      </c>
      <c r="N207" s="42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 t="s">
        <v>61</v>
      </c>
      <c r="AG207" s="33" t="s">
        <v>55</v>
      </c>
      <c r="AH207" s="33" t="s">
        <v>56</v>
      </c>
      <c r="AI207" s="33" t="s">
        <v>57</v>
      </c>
      <c r="AJ207" s="33" t="s">
        <v>58</v>
      </c>
      <c r="AK207" s="33" t="s">
        <v>56</v>
      </c>
      <c r="AL207" s="27"/>
      <c r="AM207" s="34" t="s">
        <v>57</v>
      </c>
      <c r="AN207" s="35" t="str">
        <f t="shared" si="18"/>
        <v>✓ OK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1737</v>
      </c>
      <c r="C208" s="41" t="s">
        <v>1738</v>
      </c>
      <c r="D208" s="39" t="s">
        <v>1332</v>
      </c>
      <c r="E208" s="42">
        <v>46132</v>
      </c>
      <c r="F208" s="26" t="s">
        <v>55</v>
      </c>
      <c r="G208" s="26" t="s">
        <v>57</v>
      </c>
      <c r="H208" s="26" t="s">
        <v>57</v>
      </c>
      <c r="I208" s="26" t="s">
        <v>90</v>
      </c>
      <c r="J208" s="26" t="s">
        <v>57</v>
      </c>
      <c r="K208" s="27" t="s">
        <v>91</v>
      </c>
      <c r="L208" s="28" t="s">
        <v>56</v>
      </c>
      <c r="M208" s="29" t="str">
        <f t="shared" si="15"/>
        <v>⚠ Missing</v>
      </c>
      <c r="N208" s="42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 t="s">
        <v>61</v>
      </c>
      <c r="AG208" s="33" t="s">
        <v>55</v>
      </c>
      <c r="AH208" s="33" t="s">
        <v>56</v>
      </c>
      <c r="AI208" s="33" t="s">
        <v>57</v>
      </c>
      <c r="AJ208" s="33" t="s">
        <v>58</v>
      </c>
      <c r="AK208" s="33" t="s">
        <v>56</v>
      </c>
      <c r="AL208" s="27"/>
      <c r="AM208" s="34" t="s">
        <v>57</v>
      </c>
      <c r="AN208" s="35" t="str">
        <f t="shared" si="18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1739</v>
      </c>
      <c r="C209" s="25" t="s">
        <v>1740</v>
      </c>
      <c r="D209" s="23" t="s">
        <v>1332</v>
      </c>
      <c r="E209" s="42">
        <v>46132</v>
      </c>
      <c r="F209" s="26" t="s">
        <v>55</v>
      </c>
      <c r="G209" s="26" t="s">
        <v>57</v>
      </c>
      <c r="H209" s="26" t="s">
        <v>57</v>
      </c>
      <c r="I209" s="26" t="s">
        <v>90</v>
      </c>
      <c r="J209" s="26" t="s">
        <v>57</v>
      </c>
      <c r="K209" s="27" t="s">
        <v>91</v>
      </c>
      <c r="L209" s="28" t="s">
        <v>56</v>
      </c>
      <c r="M209" s="29" t="str">
        <f t="shared" si="15"/>
        <v>⚠ Missing</v>
      </c>
      <c r="N209" s="42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56</v>
      </c>
      <c r="Z209" s="30" t="s">
        <v>57</v>
      </c>
      <c r="AA209" s="30" t="s">
        <v>58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 t="s">
        <v>61</v>
      </c>
      <c r="AG209" s="33" t="s">
        <v>55</v>
      </c>
      <c r="AH209" s="33" t="s">
        <v>56</v>
      </c>
      <c r="AI209" s="33" t="s">
        <v>57</v>
      </c>
      <c r="AJ209" s="33" t="s">
        <v>58</v>
      </c>
      <c r="AK209" s="33" t="s">
        <v>56</v>
      </c>
      <c r="AL209" s="27"/>
      <c r="AM209" s="34" t="s">
        <v>57</v>
      </c>
      <c r="AN209" s="35" t="str">
        <f t="shared" si="18"/>
        <v>✓ OK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1741</v>
      </c>
      <c r="C210" s="41" t="s">
        <v>1742</v>
      </c>
      <c r="D210" s="39" t="s">
        <v>1332</v>
      </c>
      <c r="E210" s="42">
        <v>46132</v>
      </c>
      <c r="F210" s="26" t="s">
        <v>55</v>
      </c>
      <c r="G210" s="26" t="s">
        <v>57</v>
      </c>
      <c r="H210" s="26" t="s">
        <v>57</v>
      </c>
      <c r="I210" s="26" t="s">
        <v>90</v>
      </c>
      <c r="J210" s="26" t="s">
        <v>57</v>
      </c>
      <c r="K210" s="27" t="s">
        <v>91</v>
      </c>
      <c r="L210" s="28" t="s">
        <v>56</v>
      </c>
      <c r="M210" s="29" t="str">
        <f t="shared" si="15"/>
        <v>⚠ Missing</v>
      </c>
      <c r="N210" s="42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 t="s">
        <v>61</v>
      </c>
      <c r="AG210" s="33" t="s">
        <v>55</v>
      </c>
      <c r="AH210" s="33" t="s">
        <v>56</v>
      </c>
      <c r="AI210" s="33" t="s">
        <v>57</v>
      </c>
      <c r="AJ210" s="33" t="s">
        <v>58</v>
      </c>
      <c r="AK210" s="33" t="s">
        <v>56</v>
      </c>
      <c r="AL210" s="27"/>
      <c r="AM210" s="34" t="s">
        <v>57</v>
      </c>
      <c r="AN210" s="35" t="str">
        <f t="shared" si="18"/>
        <v>✓ OK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1743</v>
      </c>
      <c r="C211" s="25" t="s">
        <v>1744</v>
      </c>
      <c r="D211" s="23" t="s">
        <v>1332</v>
      </c>
      <c r="E211" s="42">
        <v>46132</v>
      </c>
      <c r="F211" s="26" t="s">
        <v>55</v>
      </c>
      <c r="G211" s="26" t="s">
        <v>57</v>
      </c>
      <c r="H211" s="26" t="s">
        <v>57</v>
      </c>
      <c r="I211" s="26" t="s">
        <v>90</v>
      </c>
      <c r="J211" s="26" t="s">
        <v>57</v>
      </c>
      <c r="K211" s="27" t="s">
        <v>91</v>
      </c>
      <c r="L211" s="28" t="s">
        <v>56</v>
      </c>
      <c r="M211" s="29" t="str">
        <f t="shared" si="15"/>
        <v>⚠ Missing</v>
      </c>
      <c r="N211" s="42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 t="s">
        <v>61</v>
      </c>
      <c r="AG211" s="33" t="s">
        <v>55</v>
      </c>
      <c r="AH211" s="33" t="s">
        <v>56</v>
      </c>
      <c r="AI211" s="33" t="s">
        <v>57</v>
      </c>
      <c r="AJ211" s="33" t="s">
        <v>58</v>
      </c>
      <c r="AK211" s="33" t="s">
        <v>56</v>
      </c>
      <c r="AL211" s="27"/>
      <c r="AM211" s="34" t="s">
        <v>57</v>
      </c>
      <c r="AN211" s="35" t="str">
        <f t="shared" si="18"/>
        <v>✓ OK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1745</v>
      </c>
      <c r="C212" s="41" t="s">
        <v>1746</v>
      </c>
      <c r="D212" s="39" t="s">
        <v>1332</v>
      </c>
      <c r="E212" s="42">
        <v>46132</v>
      </c>
      <c r="F212" s="26" t="s">
        <v>55</v>
      </c>
      <c r="G212" s="26" t="s">
        <v>57</v>
      </c>
      <c r="H212" s="26" t="s">
        <v>57</v>
      </c>
      <c r="I212" s="26" t="s">
        <v>90</v>
      </c>
      <c r="J212" s="26" t="s">
        <v>57</v>
      </c>
      <c r="K212" s="27" t="s">
        <v>91</v>
      </c>
      <c r="L212" s="28" t="s">
        <v>56</v>
      </c>
      <c r="M212" s="29" t="str">
        <f t="shared" si="15"/>
        <v>⚠ Missing</v>
      </c>
      <c r="N212" s="42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 t="s">
        <v>61</v>
      </c>
      <c r="AG212" s="33" t="s">
        <v>55</v>
      </c>
      <c r="AH212" s="33" t="s">
        <v>56</v>
      </c>
      <c r="AI212" s="33" t="s">
        <v>57</v>
      </c>
      <c r="AJ212" s="33" t="s">
        <v>58</v>
      </c>
      <c r="AK212" s="33" t="s">
        <v>56</v>
      </c>
      <c r="AL212" s="27"/>
      <c r="AM212" s="34" t="s">
        <v>57</v>
      </c>
      <c r="AN212" s="35" t="str">
        <f t="shared" si="18"/>
        <v>✓ OK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1747</v>
      </c>
      <c r="C213" s="25" t="s">
        <v>1748</v>
      </c>
      <c r="D213" s="23" t="s">
        <v>1332</v>
      </c>
      <c r="E213" s="42">
        <v>46132</v>
      </c>
      <c r="F213" s="26" t="s">
        <v>55</v>
      </c>
      <c r="G213" s="26" t="s">
        <v>57</v>
      </c>
      <c r="H213" s="26" t="s">
        <v>57</v>
      </c>
      <c r="I213" s="26" t="s">
        <v>90</v>
      </c>
      <c r="J213" s="26" t="s">
        <v>57</v>
      </c>
      <c r="K213" s="27" t="s">
        <v>91</v>
      </c>
      <c r="L213" s="28" t="s">
        <v>56</v>
      </c>
      <c r="M213" s="29" t="str">
        <f t="shared" si="15"/>
        <v>⚠ Missing</v>
      </c>
      <c r="N213" s="42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 t="s">
        <v>61</v>
      </c>
      <c r="AG213" s="33" t="s">
        <v>55</v>
      </c>
      <c r="AH213" s="33" t="s">
        <v>56</v>
      </c>
      <c r="AI213" s="33" t="s">
        <v>57</v>
      </c>
      <c r="AJ213" s="33" t="s">
        <v>58</v>
      </c>
      <c r="AK213" s="33" t="s">
        <v>56</v>
      </c>
      <c r="AL213" s="27"/>
      <c r="AM213" s="34" t="s">
        <v>57</v>
      </c>
      <c r="AN213" s="35" t="str">
        <f t="shared" si="18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1749</v>
      </c>
      <c r="C214" s="41" t="s">
        <v>1750</v>
      </c>
      <c r="D214" s="39" t="s">
        <v>1332</v>
      </c>
      <c r="E214" s="42">
        <v>46132</v>
      </c>
      <c r="F214" s="26" t="s">
        <v>55</v>
      </c>
      <c r="G214" s="26" t="s">
        <v>57</v>
      </c>
      <c r="H214" s="26" t="s">
        <v>57</v>
      </c>
      <c r="I214" s="26" t="s">
        <v>90</v>
      </c>
      <c r="J214" s="26" t="s">
        <v>57</v>
      </c>
      <c r="K214" s="27" t="s">
        <v>91</v>
      </c>
      <c r="L214" s="28" t="s">
        <v>56</v>
      </c>
      <c r="M214" s="29" t="str">
        <f t="shared" si="15"/>
        <v>⚠ Missing</v>
      </c>
      <c r="N214" s="42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 t="s">
        <v>61</v>
      </c>
      <c r="AG214" s="33" t="s">
        <v>55</v>
      </c>
      <c r="AH214" s="33" t="s">
        <v>56</v>
      </c>
      <c r="AI214" s="33" t="s">
        <v>57</v>
      </c>
      <c r="AJ214" s="33" t="s">
        <v>58</v>
      </c>
      <c r="AK214" s="33" t="s">
        <v>56</v>
      </c>
      <c r="AL214" s="27"/>
      <c r="AM214" s="34" t="s">
        <v>57</v>
      </c>
      <c r="AN214" s="35" t="str">
        <f t="shared" si="18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1751</v>
      </c>
      <c r="C215" s="25" t="s">
        <v>1752</v>
      </c>
      <c r="D215" s="23" t="s">
        <v>1332</v>
      </c>
      <c r="E215" s="42">
        <v>46132</v>
      </c>
      <c r="F215" s="26" t="s">
        <v>55</v>
      </c>
      <c r="G215" s="26" t="s">
        <v>57</v>
      </c>
      <c r="H215" s="26" t="s">
        <v>57</v>
      </c>
      <c r="I215" s="26" t="s">
        <v>90</v>
      </c>
      <c r="J215" s="26" t="s">
        <v>57</v>
      </c>
      <c r="K215" s="27" t="s">
        <v>91</v>
      </c>
      <c r="L215" s="28" t="s">
        <v>56</v>
      </c>
      <c r="M215" s="29" t="str">
        <f t="shared" si="15"/>
        <v>⚠ Missing</v>
      </c>
      <c r="N215" s="42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56</v>
      </c>
      <c r="Z215" s="30" t="s">
        <v>57</v>
      </c>
      <c r="AA215" s="30" t="s">
        <v>58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 t="s">
        <v>61</v>
      </c>
      <c r="AG215" s="33" t="s">
        <v>55</v>
      </c>
      <c r="AH215" s="33" t="s">
        <v>56</v>
      </c>
      <c r="AI215" s="33" t="s">
        <v>57</v>
      </c>
      <c r="AJ215" s="33" t="s">
        <v>58</v>
      </c>
      <c r="AK215" s="33" t="s">
        <v>56</v>
      </c>
      <c r="AL215" s="27"/>
      <c r="AM215" s="34" t="s">
        <v>57</v>
      </c>
      <c r="AN215" s="35" t="str">
        <f t="shared" si="18"/>
        <v>✓ OK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1753</v>
      </c>
      <c r="C216" s="41" t="s">
        <v>1754</v>
      </c>
      <c r="D216" s="39" t="s">
        <v>1332</v>
      </c>
      <c r="E216" s="42">
        <v>46132</v>
      </c>
      <c r="F216" s="26" t="s">
        <v>55</v>
      </c>
      <c r="G216" s="26" t="s">
        <v>57</v>
      </c>
      <c r="H216" s="26" t="s">
        <v>57</v>
      </c>
      <c r="I216" s="26" t="s">
        <v>90</v>
      </c>
      <c r="J216" s="26" t="s">
        <v>57</v>
      </c>
      <c r="K216" s="27" t="s">
        <v>91</v>
      </c>
      <c r="L216" s="28" t="s">
        <v>56</v>
      </c>
      <c r="M216" s="29" t="str">
        <f t="shared" si="15"/>
        <v>⚠ Missing</v>
      </c>
      <c r="N216" s="42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 t="s">
        <v>61</v>
      </c>
      <c r="AG216" s="33" t="s">
        <v>55</v>
      </c>
      <c r="AH216" s="33" t="s">
        <v>56</v>
      </c>
      <c r="AI216" s="33" t="s">
        <v>57</v>
      </c>
      <c r="AJ216" s="33" t="s">
        <v>58</v>
      </c>
      <c r="AK216" s="33" t="s">
        <v>56</v>
      </c>
      <c r="AL216" s="27"/>
      <c r="AM216" s="34" t="s">
        <v>57</v>
      </c>
      <c r="AN216" s="35" t="str">
        <f t="shared" si="18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1755</v>
      </c>
      <c r="C217" s="25" t="s">
        <v>1756</v>
      </c>
      <c r="D217" s="23" t="s">
        <v>1332</v>
      </c>
      <c r="E217" s="42">
        <v>46132</v>
      </c>
      <c r="F217" s="26" t="s">
        <v>55</v>
      </c>
      <c r="G217" s="26" t="s">
        <v>57</v>
      </c>
      <c r="H217" s="26" t="s">
        <v>57</v>
      </c>
      <c r="I217" s="26" t="s">
        <v>90</v>
      </c>
      <c r="J217" s="26" t="s">
        <v>57</v>
      </c>
      <c r="K217" s="27" t="s">
        <v>91</v>
      </c>
      <c r="L217" s="28" t="s">
        <v>56</v>
      </c>
      <c r="M217" s="29" t="str">
        <f t="shared" si="15"/>
        <v>⚠ Missing</v>
      </c>
      <c r="N217" s="42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 t="s">
        <v>61</v>
      </c>
      <c r="AG217" s="33" t="s">
        <v>55</v>
      </c>
      <c r="AH217" s="33" t="s">
        <v>56</v>
      </c>
      <c r="AI217" s="33" t="s">
        <v>57</v>
      </c>
      <c r="AJ217" s="33" t="s">
        <v>58</v>
      </c>
      <c r="AK217" s="33" t="s">
        <v>56</v>
      </c>
      <c r="AL217" s="27"/>
      <c r="AM217" s="34" t="s">
        <v>57</v>
      </c>
      <c r="AN217" s="35" t="str">
        <f t="shared" si="18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1757</v>
      </c>
      <c r="C218" s="41" t="s">
        <v>1758</v>
      </c>
      <c r="D218" s="39" t="s">
        <v>1332</v>
      </c>
      <c r="E218" s="42">
        <v>46132</v>
      </c>
      <c r="F218" s="26" t="s">
        <v>55</v>
      </c>
      <c r="G218" s="26" t="s">
        <v>57</v>
      </c>
      <c r="H218" s="26" t="s">
        <v>57</v>
      </c>
      <c r="I218" s="26" t="s">
        <v>90</v>
      </c>
      <c r="J218" s="26" t="s">
        <v>57</v>
      </c>
      <c r="K218" s="27" t="s">
        <v>91</v>
      </c>
      <c r="L218" s="28" t="s">
        <v>56</v>
      </c>
      <c r="M218" s="29" t="str">
        <f t="shared" si="15"/>
        <v>⚠ Missing</v>
      </c>
      <c r="N218" s="42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56</v>
      </c>
      <c r="Z218" s="30" t="s">
        <v>57</v>
      </c>
      <c r="AA218" s="30" t="s">
        <v>58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 t="s">
        <v>61</v>
      </c>
      <c r="AG218" s="33" t="s">
        <v>55</v>
      </c>
      <c r="AH218" s="33" t="s">
        <v>56</v>
      </c>
      <c r="AI218" s="33" t="s">
        <v>57</v>
      </c>
      <c r="AJ218" s="33" t="s">
        <v>58</v>
      </c>
      <c r="AK218" s="33" t="s">
        <v>56</v>
      </c>
      <c r="AL218" s="27"/>
      <c r="AM218" s="34" t="s">
        <v>57</v>
      </c>
      <c r="AN218" s="35" t="str">
        <f t="shared" si="18"/>
        <v>✓ OK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1759</v>
      </c>
      <c r="C219" s="25" t="s">
        <v>1760</v>
      </c>
      <c r="D219" s="23" t="s">
        <v>1332</v>
      </c>
      <c r="E219" s="42">
        <v>46132</v>
      </c>
      <c r="F219" s="26" t="s">
        <v>55</v>
      </c>
      <c r="G219" s="26" t="s">
        <v>57</v>
      </c>
      <c r="H219" s="26" t="s">
        <v>57</v>
      </c>
      <c r="I219" s="26" t="s">
        <v>90</v>
      </c>
      <c r="J219" s="26" t="s">
        <v>57</v>
      </c>
      <c r="K219" s="27" t="s">
        <v>91</v>
      </c>
      <c r="L219" s="28" t="s">
        <v>56</v>
      </c>
      <c r="M219" s="29" t="str">
        <f t="shared" si="15"/>
        <v>⚠ Missing</v>
      </c>
      <c r="N219" s="42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56</v>
      </c>
      <c r="Z219" s="30" t="s">
        <v>57</v>
      </c>
      <c r="AA219" s="30" t="s">
        <v>58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 t="s">
        <v>61</v>
      </c>
      <c r="AG219" s="33" t="s">
        <v>55</v>
      </c>
      <c r="AH219" s="33" t="s">
        <v>56</v>
      </c>
      <c r="AI219" s="33" t="s">
        <v>57</v>
      </c>
      <c r="AJ219" s="33" t="s">
        <v>58</v>
      </c>
      <c r="AK219" s="33" t="s">
        <v>56</v>
      </c>
      <c r="AL219" s="27"/>
      <c r="AM219" s="34" t="s">
        <v>57</v>
      </c>
      <c r="AN219" s="35" t="str">
        <f t="shared" si="18"/>
        <v>✓ OK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1761</v>
      </c>
      <c r="C220" s="41" t="s">
        <v>1762</v>
      </c>
      <c r="D220" s="39" t="s">
        <v>1332</v>
      </c>
      <c r="E220" s="42">
        <v>46132</v>
      </c>
      <c r="F220" s="26" t="s">
        <v>55</v>
      </c>
      <c r="G220" s="26" t="s">
        <v>57</v>
      </c>
      <c r="H220" s="26" t="s">
        <v>57</v>
      </c>
      <c r="I220" s="26" t="s">
        <v>90</v>
      </c>
      <c r="J220" s="26" t="s">
        <v>57</v>
      </c>
      <c r="K220" s="27" t="s">
        <v>91</v>
      </c>
      <c r="L220" s="28" t="s">
        <v>56</v>
      </c>
      <c r="M220" s="29" t="str">
        <f t="shared" si="15"/>
        <v>⚠ Missing</v>
      </c>
      <c r="N220" s="42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56</v>
      </c>
      <c r="Z220" s="30" t="s">
        <v>57</v>
      </c>
      <c r="AA220" s="30" t="s">
        <v>58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 t="s">
        <v>61</v>
      </c>
      <c r="AG220" s="33" t="s">
        <v>55</v>
      </c>
      <c r="AH220" s="33" t="s">
        <v>56</v>
      </c>
      <c r="AI220" s="33" t="s">
        <v>57</v>
      </c>
      <c r="AJ220" s="33" t="s">
        <v>58</v>
      </c>
      <c r="AK220" s="33" t="s">
        <v>56</v>
      </c>
      <c r="AL220" s="27"/>
      <c r="AM220" s="34" t="s">
        <v>57</v>
      </c>
      <c r="AN220" s="35" t="str">
        <f t="shared" si="18"/>
        <v>✓ OK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1763</v>
      </c>
      <c r="C221" s="25" t="s">
        <v>1764</v>
      </c>
      <c r="D221" s="23" t="s">
        <v>1332</v>
      </c>
      <c r="E221" s="42">
        <v>46132</v>
      </c>
      <c r="F221" s="26" t="s">
        <v>55</v>
      </c>
      <c r="G221" s="26" t="s">
        <v>57</v>
      </c>
      <c r="H221" s="26" t="s">
        <v>57</v>
      </c>
      <c r="I221" s="26" t="s">
        <v>90</v>
      </c>
      <c r="J221" s="26" t="s">
        <v>57</v>
      </c>
      <c r="K221" s="27" t="s">
        <v>91</v>
      </c>
      <c r="L221" s="28" t="s">
        <v>56</v>
      </c>
      <c r="M221" s="29" t="str">
        <f t="shared" si="15"/>
        <v>⚠ Missing</v>
      </c>
      <c r="N221" s="42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 t="s">
        <v>61</v>
      </c>
      <c r="AG221" s="33" t="s">
        <v>55</v>
      </c>
      <c r="AH221" s="33" t="s">
        <v>56</v>
      </c>
      <c r="AI221" s="33" t="s">
        <v>57</v>
      </c>
      <c r="AJ221" s="33" t="s">
        <v>58</v>
      </c>
      <c r="AK221" s="33" t="s">
        <v>56</v>
      </c>
      <c r="AL221" s="27"/>
      <c r="AM221" s="34" t="s">
        <v>57</v>
      </c>
      <c r="AN221" s="35" t="str">
        <f t="shared" si="18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1765</v>
      </c>
      <c r="C222" s="41" t="s">
        <v>1766</v>
      </c>
      <c r="D222" s="39" t="s">
        <v>1332</v>
      </c>
      <c r="E222" s="42">
        <v>46132</v>
      </c>
      <c r="F222" s="26" t="s">
        <v>55</v>
      </c>
      <c r="G222" s="26" t="s">
        <v>57</v>
      </c>
      <c r="H222" s="26" t="s">
        <v>57</v>
      </c>
      <c r="I222" s="26" t="s">
        <v>90</v>
      </c>
      <c r="J222" s="26" t="s">
        <v>57</v>
      </c>
      <c r="K222" s="27" t="s">
        <v>91</v>
      </c>
      <c r="L222" s="28" t="s">
        <v>56</v>
      </c>
      <c r="M222" s="29" t="str">
        <f t="shared" si="15"/>
        <v>⚠ Missing</v>
      </c>
      <c r="N222" s="42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 t="s">
        <v>61</v>
      </c>
      <c r="AG222" s="33" t="s">
        <v>55</v>
      </c>
      <c r="AH222" s="33" t="s">
        <v>56</v>
      </c>
      <c r="AI222" s="33" t="s">
        <v>57</v>
      </c>
      <c r="AJ222" s="33" t="s">
        <v>58</v>
      </c>
      <c r="AK222" s="33" t="s">
        <v>56</v>
      </c>
      <c r="AL222" s="27"/>
      <c r="AM222" s="34" t="s">
        <v>57</v>
      </c>
      <c r="AN222" s="35" t="str">
        <f t="shared" si="18"/>
        <v>✓ OK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1767</v>
      </c>
      <c r="C223" s="25" t="s">
        <v>1768</v>
      </c>
      <c r="D223" s="23" t="s">
        <v>1332</v>
      </c>
      <c r="E223" s="42">
        <v>46132</v>
      </c>
      <c r="F223" s="26" t="s">
        <v>55</v>
      </c>
      <c r="G223" s="26" t="s">
        <v>57</v>
      </c>
      <c r="H223" s="26" t="s">
        <v>57</v>
      </c>
      <c r="I223" s="26" t="s">
        <v>90</v>
      </c>
      <c r="J223" s="26" t="s">
        <v>57</v>
      </c>
      <c r="K223" s="27" t="s">
        <v>91</v>
      </c>
      <c r="L223" s="28" t="s">
        <v>56</v>
      </c>
      <c r="M223" s="29" t="str">
        <f t="shared" si="15"/>
        <v>⚠ Missing</v>
      </c>
      <c r="N223" s="42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 t="s">
        <v>61</v>
      </c>
      <c r="AG223" s="33" t="s">
        <v>55</v>
      </c>
      <c r="AH223" s="33" t="s">
        <v>56</v>
      </c>
      <c r="AI223" s="33" t="s">
        <v>57</v>
      </c>
      <c r="AJ223" s="33" t="s">
        <v>58</v>
      </c>
      <c r="AK223" s="33" t="s">
        <v>56</v>
      </c>
      <c r="AL223" s="27"/>
      <c r="AM223" s="34" t="s">
        <v>57</v>
      </c>
      <c r="AN223" s="35" t="str">
        <f t="shared" si="18"/>
        <v>✓ OK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1769</v>
      </c>
      <c r="C224" s="41" t="s">
        <v>1770</v>
      </c>
      <c r="D224" s="39" t="s">
        <v>1332</v>
      </c>
      <c r="E224" s="42">
        <v>46132</v>
      </c>
      <c r="F224" s="26" t="s">
        <v>55</v>
      </c>
      <c r="G224" s="26" t="s">
        <v>57</v>
      </c>
      <c r="H224" s="26" t="s">
        <v>57</v>
      </c>
      <c r="I224" s="26" t="s">
        <v>90</v>
      </c>
      <c r="J224" s="26" t="s">
        <v>57</v>
      </c>
      <c r="K224" s="27" t="s">
        <v>91</v>
      </c>
      <c r="L224" s="28" t="s">
        <v>56</v>
      </c>
      <c r="M224" s="29" t="str">
        <f t="shared" si="15"/>
        <v>⚠ Missing</v>
      </c>
      <c r="N224" s="42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 t="s">
        <v>61</v>
      </c>
      <c r="AG224" s="33" t="s">
        <v>55</v>
      </c>
      <c r="AH224" s="33" t="s">
        <v>56</v>
      </c>
      <c r="AI224" s="33" t="s">
        <v>57</v>
      </c>
      <c r="AJ224" s="33" t="s">
        <v>58</v>
      </c>
      <c r="AK224" s="33" t="s">
        <v>56</v>
      </c>
      <c r="AL224" s="27"/>
      <c r="AM224" s="34" t="s">
        <v>57</v>
      </c>
      <c r="AN224" s="35" t="str">
        <f t="shared" si="18"/>
        <v>✓ OK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1771</v>
      </c>
      <c r="C225" s="25" t="s">
        <v>1772</v>
      </c>
      <c r="D225" s="23" t="s">
        <v>1332</v>
      </c>
      <c r="E225" s="42">
        <v>46132</v>
      </c>
      <c r="F225" s="26" t="s">
        <v>55</v>
      </c>
      <c r="G225" s="26" t="s">
        <v>57</v>
      </c>
      <c r="H225" s="26" t="s">
        <v>57</v>
      </c>
      <c r="I225" s="26" t="s">
        <v>90</v>
      </c>
      <c r="J225" s="26" t="s">
        <v>57</v>
      </c>
      <c r="K225" s="27" t="s">
        <v>91</v>
      </c>
      <c r="L225" s="28" t="s">
        <v>56</v>
      </c>
      <c r="M225" s="29" t="str">
        <f t="shared" si="15"/>
        <v>⚠ Missing</v>
      </c>
      <c r="N225" s="42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 t="s">
        <v>61</v>
      </c>
      <c r="AG225" s="33" t="s">
        <v>55</v>
      </c>
      <c r="AH225" s="33" t="s">
        <v>56</v>
      </c>
      <c r="AI225" s="33" t="s">
        <v>57</v>
      </c>
      <c r="AJ225" s="33" t="s">
        <v>58</v>
      </c>
      <c r="AK225" s="33" t="s">
        <v>56</v>
      </c>
      <c r="AL225" s="27"/>
      <c r="AM225" s="34" t="s">
        <v>57</v>
      </c>
      <c r="AN225" s="35" t="str">
        <f t="shared" si="18"/>
        <v>✓ OK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1773</v>
      </c>
      <c r="C226" s="41" t="s">
        <v>1774</v>
      </c>
      <c r="D226" s="39" t="s">
        <v>1332</v>
      </c>
      <c r="E226" s="42">
        <v>46132</v>
      </c>
      <c r="F226" s="26" t="s">
        <v>55</v>
      </c>
      <c r="G226" s="26" t="s">
        <v>57</v>
      </c>
      <c r="H226" s="26" t="s">
        <v>57</v>
      </c>
      <c r="I226" s="26" t="s">
        <v>90</v>
      </c>
      <c r="J226" s="26" t="s">
        <v>57</v>
      </c>
      <c r="K226" s="27" t="s">
        <v>91</v>
      </c>
      <c r="L226" s="28" t="s">
        <v>56</v>
      </c>
      <c r="M226" s="29" t="str">
        <f t="shared" si="15"/>
        <v>⚠ Missing</v>
      </c>
      <c r="N226" s="42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56</v>
      </c>
      <c r="Z226" s="30" t="s">
        <v>57</v>
      </c>
      <c r="AA226" s="30" t="s">
        <v>58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 t="s">
        <v>61</v>
      </c>
      <c r="AG226" s="33" t="s">
        <v>55</v>
      </c>
      <c r="AH226" s="33" t="s">
        <v>56</v>
      </c>
      <c r="AI226" s="33" t="s">
        <v>57</v>
      </c>
      <c r="AJ226" s="33" t="s">
        <v>58</v>
      </c>
      <c r="AK226" s="33" t="s">
        <v>56</v>
      </c>
      <c r="AL226" s="27"/>
      <c r="AM226" s="34" t="s">
        <v>57</v>
      </c>
      <c r="AN226" s="35" t="str">
        <f t="shared" si="18"/>
        <v>✓ OK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1775</v>
      </c>
      <c r="C227" s="25" t="s">
        <v>1776</v>
      </c>
      <c r="D227" s="23" t="s">
        <v>1332</v>
      </c>
      <c r="E227" s="42">
        <v>46132</v>
      </c>
      <c r="F227" s="26" t="s">
        <v>55</v>
      </c>
      <c r="G227" s="26" t="s">
        <v>57</v>
      </c>
      <c r="H227" s="26" t="s">
        <v>57</v>
      </c>
      <c r="I227" s="26" t="s">
        <v>90</v>
      </c>
      <c r="J227" s="26" t="s">
        <v>57</v>
      </c>
      <c r="K227" s="27" t="s">
        <v>91</v>
      </c>
      <c r="L227" s="28" t="s">
        <v>56</v>
      </c>
      <c r="M227" s="29" t="str">
        <f t="shared" si="15"/>
        <v>⚠ Missing</v>
      </c>
      <c r="N227" s="42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 t="s">
        <v>61</v>
      </c>
      <c r="AG227" s="33" t="s">
        <v>55</v>
      </c>
      <c r="AH227" s="33" t="s">
        <v>56</v>
      </c>
      <c r="AI227" s="33" t="s">
        <v>57</v>
      </c>
      <c r="AJ227" s="33" t="s">
        <v>58</v>
      </c>
      <c r="AK227" s="33" t="s">
        <v>56</v>
      </c>
      <c r="AL227" s="27"/>
      <c r="AM227" s="34" t="s">
        <v>57</v>
      </c>
      <c r="AN227" s="35" t="str">
        <f t="shared" si="18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1777</v>
      </c>
      <c r="C228" s="41" t="s">
        <v>1778</v>
      </c>
      <c r="D228" s="39" t="s">
        <v>1332</v>
      </c>
      <c r="E228" s="42">
        <v>46132</v>
      </c>
      <c r="F228" s="26" t="s">
        <v>55</v>
      </c>
      <c r="G228" s="26" t="s">
        <v>57</v>
      </c>
      <c r="H228" s="26" t="s">
        <v>57</v>
      </c>
      <c r="I228" s="26" t="s">
        <v>90</v>
      </c>
      <c r="J228" s="26" t="s">
        <v>57</v>
      </c>
      <c r="K228" s="27" t="s">
        <v>91</v>
      </c>
      <c r="L228" s="28" t="s">
        <v>56</v>
      </c>
      <c r="M228" s="29" t="str">
        <f t="shared" si="15"/>
        <v>⚠ Missing</v>
      </c>
      <c r="N228" s="42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 t="s">
        <v>61</v>
      </c>
      <c r="AG228" s="33" t="s">
        <v>55</v>
      </c>
      <c r="AH228" s="33" t="s">
        <v>56</v>
      </c>
      <c r="AI228" s="33" t="s">
        <v>57</v>
      </c>
      <c r="AJ228" s="33" t="s">
        <v>58</v>
      </c>
      <c r="AK228" s="33" t="s">
        <v>56</v>
      </c>
      <c r="AL228" s="27"/>
      <c r="AM228" s="34" t="s">
        <v>57</v>
      </c>
      <c r="AN228" s="35" t="str">
        <f t="shared" si="18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1779</v>
      </c>
      <c r="C229" s="25" t="s">
        <v>1780</v>
      </c>
      <c r="D229" s="23" t="s">
        <v>1332</v>
      </c>
      <c r="E229" s="42">
        <v>46132</v>
      </c>
      <c r="F229" s="26" t="s">
        <v>55</v>
      </c>
      <c r="G229" s="26" t="s">
        <v>57</v>
      </c>
      <c r="H229" s="26" t="s">
        <v>57</v>
      </c>
      <c r="I229" s="26" t="s">
        <v>90</v>
      </c>
      <c r="J229" s="26" t="s">
        <v>57</v>
      </c>
      <c r="K229" s="27" t="s">
        <v>91</v>
      </c>
      <c r="L229" s="28" t="s">
        <v>56</v>
      </c>
      <c r="M229" s="29" t="str">
        <f t="shared" si="15"/>
        <v>⚠ Missing</v>
      </c>
      <c r="N229" s="42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 t="s">
        <v>61</v>
      </c>
      <c r="AG229" s="33" t="s">
        <v>55</v>
      </c>
      <c r="AH229" s="33" t="s">
        <v>56</v>
      </c>
      <c r="AI229" s="33" t="s">
        <v>57</v>
      </c>
      <c r="AJ229" s="33" t="s">
        <v>58</v>
      </c>
      <c r="AK229" s="33" t="s">
        <v>56</v>
      </c>
      <c r="AL229" s="27"/>
      <c r="AM229" s="34" t="s">
        <v>57</v>
      </c>
      <c r="AN229" s="35" t="str">
        <f t="shared" si="18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1781</v>
      </c>
      <c r="C230" s="41" t="s">
        <v>1782</v>
      </c>
      <c r="D230" s="39" t="s">
        <v>1332</v>
      </c>
      <c r="E230" s="42">
        <v>46132</v>
      </c>
      <c r="F230" s="26" t="s">
        <v>55</v>
      </c>
      <c r="G230" s="26" t="s">
        <v>57</v>
      </c>
      <c r="H230" s="26" t="s">
        <v>57</v>
      </c>
      <c r="I230" s="26" t="s">
        <v>90</v>
      </c>
      <c r="J230" s="26" t="s">
        <v>57</v>
      </c>
      <c r="K230" s="27" t="s">
        <v>91</v>
      </c>
      <c r="L230" s="28" t="s">
        <v>56</v>
      </c>
      <c r="M230" s="29" t="str">
        <f t="shared" si="15"/>
        <v>⚠ Missing</v>
      </c>
      <c r="N230" s="42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56</v>
      </c>
      <c r="Z230" s="30" t="s">
        <v>57</v>
      </c>
      <c r="AA230" s="30" t="s">
        <v>58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 t="s">
        <v>61</v>
      </c>
      <c r="AG230" s="33" t="s">
        <v>55</v>
      </c>
      <c r="AH230" s="33" t="s">
        <v>56</v>
      </c>
      <c r="AI230" s="33" t="s">
        <v>57</v>
      </c>
      <c r="AJ230" s="33" t="s">
        <v>58</v>
      </c>
      <c r="AK230" s="33" t="s">
        <v>56</v>
      </c>
      <c r="AL230" s="27"/>
      <c r="AM230" s="34" t="s">
        <v>57</v>
      </c>
      <c r="AN230" s="35" t="str">
        <f t="shared" si="18"/>
        <v>✓ OK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1783</v>
      </c>
      <c r="C231" s="25" t="s">
        <v>1784</v>
      </c>
      <c r="D231" s="23" t="s">
        <v>1332</v>
      </c>
      <c r="E231" s="42">
        <v>46132</v>
      </c>
      <c r="F231" s="26" t="s">
        <v>55</v>
      </c>
      <c r="G231" s="26" t="s">
        <v>57</v>
      </c>
      <c r="H231" s="26" t="s">
        <v>57</v>
      </c>
      <c r="I231" s="26" t="s">
        <v>90</v>
      </c>
      <c r="J231" s="26" t="s">
        <v>57</v>
      </c>
      <c r="K231" s="27" t="s">
        <v>91</v>
      </c>
      <c r="L231" s="28" t="s">
        <v>56</v>
      </c>
      <c r="M231" s="29" t="str">
        <f t="shared" si="15"/>
        <v>⚠ Missing</v>
      </c>
      <c r="N231" s="42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56</v>
      </c>
      <c r="Z231" s="30" t="s">
        <v>57</v>
      </c>
      <c r="AA231" s="30" t="s">
        <v>58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 t="s">
        <v>61</v>
      </c>
      <c r="AG231" s="33" t="s">
        <v>55</v>
      </c>
      <c r="AH231" s="33" t="s">
        <v>56</v>
      </c>
      <c r="AI231" s="33" t="s">
        <v>57</v>
      </c>
      <c r="AJ231" s="33" t="s">
        <v>58</v>
      </c>
      <c r="AK231" s="33" t="s">
        <v>56</v>
      </c>
      <c r="AL231" s="27"/>
      <c r="AM231" s="34" t="s">
        <v>57</v>
      </c>
      <c r="AN231" s="35" t="str">
        <f t="shared" si="18"/>
        <v>✓ OK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1785</v>
      </c>
      <c r="C232" s="41" t="s">
        <v>1786</v>
      </c>
      <c r="D232" s="39" t="s">
        <v>1332</v>
      </c>
      <c r="E232" s="42">
        <v>46132</v>
      </c>
      <c r="F232" s="26" t="s">
        <v>55</v>
      </c>
      <c r="G232" s="26" t="s">
        <v>57</v>
      </c>
      <c r="H232" s="26" t="s">
        <v>57</v>
      </c>
      <c r="I232" s="26" t="s">
        <v>90</v>
      </c>
      <c r="J232" s="26" t="s">
        <v>57</v>
      </c>
      <c r="K232" s="27" t="s">
        <v>91</v>
      </c>
      <c r="L232" s="28" t="s">
        <v>56</v>
      </c>
      <c r="M232" s="29" t="str">
        <f t="shared" si="15"/>
        <v>⚠ Missing</v>
      </c>
      <c r="N232" s="42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 t="s">
        <v>61</v>
      </c>
      <c r="AG232" s="33" t="s">
        <v>55</v>
      </c>
      <c r="AH232" s="33" t="s">
        <v>56</v>
      </c>
      <c r="AI232" s="33" t="s">
        <v>57</v>
      </c>
      <c r="AJ232" s="33" t="s">
        <v>58</v>
      </c>
      <c r="AK232" s="33" t="s">
        <v>56</v>
      </c>
      <c r="AL232" s="27"/>
      <c r="AM232" s="34" t="s">
        <v>57</v>
      </c>
      <c r="AN232" s="35" t="str">
        <f t="shared" si="18"/>
        <v>✓ OK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1787</v>
      </c>
      <c r="C233" s="25" t="s">
        <v>1788</v>
      </c>
      <c r="D233" s="23" t="s">
        <v>1332</v>
      </c>
      <c r="E233" s="42">
        <v>46132</v>
      </c>
      <c r="F233" s="26" t="s">
        <v>55</v>
      </c>
      <c r="G233" s="26" t="s">
        <v>57</v>
      </c>
      <c r="H233" s="26" t="s">
        <v>57</v>
      </c>
      <c r="I233" s="26" t="s">
        <v>90</v>
      </c>
      <c r="J233" s="26" t="s">
        <v>57</v>
      </c>
      <c r="K233" s="27" t="s">
        <v>91</v>
      </c>
      <c r="L233" s="28" t="s">
        <v>56</v>
      </c>
      <c r="M233" s="29" t="str">
        <f t="shared" si="15"/>
        <v>⚠ Missing</v>
      </c>
      <c r="N233" s="42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56</v>
      </c>
      <c r="Z233" s="30" t="s">
        <v>57</v>
      </c>
      <c r="AA233" s="30" t="s">
        <v>58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 t="s">
        <v>61</v>
      </c>
      <c r="AG233" s="33" t="s">
        <v>55</v>
      </c>
      <c r="AH233" s="33" t="s">
        <v>56</v>
      </c>
      <c r="AI233" s="33" t="s">
        <v>57</v>
      </c>
      <c r="AJ233" s="33" t="s">
        <v>58</v>
      </c>
      <c r="AK233" s="33" t="s">
        <v>56</v>
      </c>
      <c r="AL233" s="27"/>
      <c r="AM233" s="34" t="s">
        <v>57</v>
      </c>
      <c r="AN233" s="35" t="str">
        <f t="shared" si="18"/>
        <v>✓ OK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1789</v>
      </c>
      <c r="C234" s="41" t="s">
        <v>1790</v>
      </c>
      <c r="D234" s="39" t="s">
        <v>1332</v>
      </c>
      <c r="E234" s="42">
        <v>46132</v>
      </c>
      <c r="F234" s="26" t="s">
        <v>55</v>
      </c>
      <c r="G234" s="26" t="s">
        <v>57</v>
      </c>
      <c r="H234" s="26" t="s">
        <v>57</v>
      </c>
      <c r="I234" s="26" t="s">
        <v>90</v>
      </c>
      <c r="J234" s="26" t="s">
        <v>57</v>
      </c>
      <c r="K234" s="27" t="s">
        <v>91</v>
      </c>
      <c r="L234" s="28" t="s">
        <v>56</v>
      </c>
      <c r="M234" s="29" t="str">
        <f t="shared" si="15"/>
        <v>⚠ Missing</v>
      </c>
      <c r="N234" s="42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 t="s">
        <v>61</v>
      </c>
      <c r="AG234" s="33" t="s">
        <v>55</v>
      </c>
      <c r="AH234" s="33" t="s">
        <v>56</v>
      </c>
      <c r="AI234" s="33" t="s">
        <v>57</v>
      </c>
      <c r="AJ234" s="33" t="s">
        <v>58</v>
      </c>
      <c r="AK234" s="33" t="s">
        <v>56</v>
      </c>
      <c r="AL234" s="27"/>
      <c r="AM234" s="34" t="s">
        <v>57</v>
      </c>
      <c r="AN234" s="35" t="str">
        <f t="shared" si="18"/>
        <v>✓ OK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1791</v>
      </c>
      <c r="C235" s="25" t="s">
        <v>1792</v>
      </c>
      <c r="D235" s="23" t="s">
        <v>1332</v>
      </c>
      <c r="E235" s="42">
        <v>46132</v>
      </c>
      <c r="F235" s="26" t="s">
        <v>55</v>
      </c>
      <c r="G235" s="26" t="s">
        <v>57</v>
      </c>
      <c r="H235" s="26" t="s">
        <v>57</v>
      </c>
      <c r="I235" s="26" t="s">
        <v>90</v>
      </c>
      <c r="J235" s="26" t="s">
        <v>57</v>
      </c>
      <c r="K235" s="27" t="s">
        <v>91</v>
      </c>
      <c r="L235" s="28" t="s">
        <v>56</v>
      </c>
      <c r="M235" s="29" t="str">
        <f t="shared" si="15"/>
        <v>⚠ Missing</v>
      </c>
      <c r="N235" s="42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 t="s">
        <v>61</v>
      </c>
      <c r="AG235" s="33" t="s">
        <v>55</v>
      </c>
      <c r="AH235" s="33" t="s">
        <v>56</v>
      </c>
      <c r="AI235" s="33" t="s">
        <v>57</v>
      </c>
      <c r="AJ235" s="33" t="s">
        <v>58</v>
      </c>
      <c r="AK235" s="33" t="s">
        <v>56</v>
      </c>
      <c r="AL235" s="27"/>
      <c r="AM235" s="34" t="s">
        <v>57</v>
      </c>
      <c r="AN235" s="35" t="str">
        <f t="shared" si="18"/>
        <v>✓ OK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1793</v>
      </c>
      <c r="C236" s="41" t="s">
        <v>1794</v>
      </c>
      <c r="D236" s="39" t="s">
        <v>1332</v>
      </c>
      <c r="E236" s="42">
        <v>46132</v>
      </c>
      <c r="F236" s="26" t="s">
        <v>55</v>
      </c>
      <c r="G236" s="26" t="s">
        <v>57</v>
      </c>
      <c r="H236" s="26" t="s">
        <v>57</v>
      </c>
      <c r="I236" s="26" t="s">
        <v>90</v>
      </c>
      <c r="J236" s="26" t="s">
        <v>57</v>
      </c>
      <c r="K236" s="27" t="s">
        <v>91</v>
      </c>
      <c r="L236" s="28" t="s">
        <v>56</v>
      </c>
      <c r="M236" s="29" t="str">
        <f t="shared" si="15"/>
        <v>⚠ Missing</v>
      </c>
      <c r="N236" s="42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 t="s">
        <v>61</v>
      </c>
      <c r="AG236" s="33" t="s">
        <v>55</v>
      </c>
      <c r="AH236" s="33" t="s">
        <v>56</v>
      </c>
      <c r="AI236" s="33" t="s">
        <v>57</v>
      </c>
      <c r="AJ236" s="33" t="s">
        <v>58</v>
      </c>
      <c r="AK236" s="33" t="s">
        <v>56</v>
      </c>
      <c r="AL236" s="27"/>
      <c r="AM236" s="34" t="s">
        <v>57</v>
      </c>
      <c r="AN236" s="35" t="str">
        <f t="shared" si="18"/>
        <v>✓ OK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1795</v>
      </c>
      <c r="C237" s="25" t="s">
        <v>1796</v>
      </c>
      <c r="D237" s="23" t="s">
        <v>1332</v>
      </c>
      <c r="E237" s="42">
        <v>46132</v>
      </c>
      <c r="F237" s="26" t="s">
        <v>55</v>
      </c>
      <c r="G237" s="26" t="s">
        <v>57</v>
      </c>
      <c r="H237" s="26" t="s">
        <v>57</v>
      </c>
      <c r="I237" s="26" t="s">
        <v>90</v>
      </c>
      <c r="J237" s="26" t="s">
        <v>57</v>
      </c>
      <c r="K237" s="27" t="s">
        <v>91</v>
      </c>
      <c r="L237" s="28" t="s">
        <v>56</v>
      </c>
      <c r="M237" s="29" t="str">
        <f t="shared" si="15"/>
        <v>⚠ Missing</v>
      </c>
      <c r="N237" s="42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 t="s">
        <v>61</v>
      </c>
      <c r="AG237" s="33" t="s">
        <v>55</v>
      </c>
      <c r="AH237" s="33" t="s">
        <v>56</v>
      </c>
      <c r="AI237" s="33" t="s">
        <v>57</v>
      </c>
      <c r="AJ237" s="33" t="s">
        <v>58</v>
      </c>
      <c r="AK237" s="33" t="s">
        <v>56</v>
      </c>
      <c r="AL237" s="27"/>
      <c r="AM237" s="34" t="s">
        <v>57</v>
      </c>
      <c r="AN237" s="35" t="str">
        <f t="shared" si="18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1797</v>
      </c>
      <c r="C238" s="41" t="s">
        <v>1798</v>
      </c>
      <c r="D238" s="39" t="s">
        <v>1332</v>
      </c>
      <c r="E238" s="42">
        <v>46132</v>
      </c>
      <c r="F238" s="26" t="s">
        <v>55</v>
      </c>
      <c r="G238" s="26" t="s">
        <v>57</v>
      </c>
      <c r="H238" s="26" t="s">
        <v>57</v>
      </c>
      <c r="I238" s="26" t="s">
        <v>90</v>
      </c>
      <c r="J238" s="26" t="s">
        <v>57</v>
      </c>
      <c r="K238" s="27" t="s">
        <v>91</v>
      </c>
      <c r="L238" s="28" t="s">
        <v>56</v>
      </c>
      <c r="M238" s="29" t="str">
        <f t="shared" si="15"/>
        <v>⚠ Missing</v>
      </c>
      <c r="N238" s="42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56</v>
      </c>
      <c r="Z238" s="30" t="s">
        <v>57</v>
      </c>
      <c r="AA238" s="30" t="s">
        <v>58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 t="s">
        <v>61</v>
      </c>
      <c r="AG238" s="33" t="s">
        <v>55</v>
      </c>
      <c r="AH238" s="33" t="s">
        <v>56</v>
      </c>
      <c r="AI238" s="33" t="s">
        <v>57</v>
      </c>
      <c r="AJ238" s="33" t="s">
        <v>58</v>
      </c>
      <c r="AK238" s="33" t="s">
        <v>56</v>
      </c>
      <c r="AL238" s="27"/>
      <c r="AM238" s="34" t="s">
        <v>57</v>
      </c>
      <c r="AN238" s="35" t="str">
        <f t="shared" si="18"/>
        <v>✓ OK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1799</v>
      </c>
      <c r="C239" s="25" t="s">
        <v>1800</v>
      </c>
      <c r="D239" s="23" t="s">
        <v>1332</v>
      </c>
      <c r="E239" s="42">
        <v>46132</v>
      </c>
      <c r="F239" s="26" t="s">
        <v>55</v>
      </c>
      <c r="G239" s="26" t="s">
        <v>57</v>
      </c>
      <c r="H239" s="26" t="s">
        <v>57</v>
      </c>
      <c r="I239" s="26" t="s">
        <v>90</v>
      </c>
      <c r="J239" s="26" t="s">
        <v>57</v>
      </c>
      <c r="K239" s="27" t="s">
        <v>91</v>
      </c>
      <c r="L239" s="28" t="s">
        <v>56</v>
      </c>
      <c r="M239" s="29" t="str">
        <f t="shared" si="15"/>
        <v>⚠ Missing</v>
      </c>
      <c r="N239" s="42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56</v>
      </c>
      <c r="Z239" s="30" t="s">
        <v>57</v>
      </c>
      <c r="AA239" s="30" t="s">
        <v>58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 t="s">
        <v>61</v>
      </c>
      <c r="AG239" s="33" t="s">
        <v>55</v>
      </c>
      <c r="AH239" s="33" t="s">
        <v>56</v>
      </c>
      <c r="AI239" s="33" t="s">
        <v>57</v>
      </c>
      <c r="AJ239" s="33" t="s">
        <v>58</v>
      </c>
      <c r="AK239" s="33" t="s">
        <v>56</v>
      </c>
      <c r="AL239" s="27"/>
      <c r="AM239" s="34" t="s">
        <v>57</v>
      </c>
      <c r="AN239" s="35" t="str">
        <f t="shared" si="18"/>
        <v>✓ OK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1801</v>
      </c>
      <c r="C240" s="41" t="s">
        <v>1802</v>
      </c>
      <c r="D240" s="39" t="s">
        <v>1332</v>
      </c>
      <c r="E240" s="42">
        <v>46132</v>
      </c>
      <c r="F240" s="26" t="s">
        <v>55</v>
      </c>
      <c r="G240" s="26" t="s">
        <v>57</v>
      </c>
      <c r="H240" s="26" t="s">
        <v>57</v>
      </c>
      <c r="I240" s="26" t="s">
        <v>90</v>
      </c>
      <c r="J240" s="26" t="s">
        <v>57</v>
      </c>
      <c r="K240" s="27" t="s">
        <v>91</v>
      </c>
      <c r="L240" s="28" t="s">
        <v>56</v>
      </c>
      <c r="M240" s="29" t="str">
        <f t="shared" si="15"/>
        <v>⚠ Missing</v>
      </c>
      <c r="N240" s="42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56</v>
      </c>
      <c r="Z240" s="30" t="s">
        <v>57</v>
      </c>
      <c r="AA240" s="30" t="s">
        <v>58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 t="s">
        <v>61</v>
      </c>
      <c r="AG240" s="33" t="s">
        <v>55</v>
      </c>
      <c r="AH240" s="33" t="s">
        <v>56</v>
      </c>
      <c r="AI240" s="33" t="s">
        <v>57</v>
      </c>
      <c r="AJ240" s="33" t="s">
        <v>58</v>
      </c>
      <c r="AK240" s="33" t="s">
        <v>56</v>
      </c>
      <c r="AL240" s="27"/>
      <c r="AM240" s="34" t="s">
        <v>57</v>
      </c>
      <c r="AN240" s="35" t="str">
        <f t="shared" si="18"/>
        <v>✓ OK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1803</v>
      </c>
      <c r="C241" s="25" t="s">
        <v>1804</v>
      </c>
      <c r="D241" s="23" t="s">
        <v>1332</v>
      </c>
      <c r="E241" s="42">
        <v>46132</v>
      </c>
      <c r="F241" s="26" t="s">
        <v>55</v>
      </c>
      <c r="G241" s="26" t="s">
        <v>57</v>
      </c>
      <c r="H241" s="26" t="s">
        <v>57</v>
      </c>
      <c r="I241" s="26" t="s">
        <v>90</v>
      </c>
      <c r="J241" s="26" t="s">
        <v>57</v>
      </c>
      <c r="K241" s="27" t="s">
        <v>91</v>
      </c>
      <c r="L241" s="28" t="s">
        <v>56</v>
      </c>
      <c r="M241" s="29" t="str">
        <f t="shared" si="15"/>
        <v>⚠ Missing</v>
      </c>
      <c r="N241" s="42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 t="s">
        <v>61</v>
      </c>
      <c r="AG241" s="33" t="s">
        <v>55</v>
      </c>
      <c r="AH241" s="33" t="s">
        <v>56</v>
      </c>
      <c r="AI241" s="33" t="s">
        <v>57</v>
      </c>
      <c r="AJ241" s="33" t="s">
        <v>58</v>
      </c>
      <c r="AK241" s="33" t="s">
        <v>56</v>
      </c>
      <c r="AL241" s="27"/>
      <c r="AM241" s="34" t="s">
        <v>57</v>
      </c>
      <c r="AN241" s="35" t="str">
        <f t="shared" si="18"/>
        <v>✓ OK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1805</v>
      </c>
      <c r="C242" s="41" t="s">
        <v>1806</v>
      </c>
      <c r="D242" s="39" t="s">
        <v>1332</v>
      </c>
      <c r="E242" s="42">
        <v>46132</v>
      </c>
      <c r="F242" s="26" t="s">
        <v>55</v>
      </c>
      <c r="G242" s="26" t="s">
        <v>57</v>
      </c>
      <c r="H242" s="26" t="s">
        <v>57</v>
      </c>
      <c r="I242" s="26" t="s">
        <v>90</v>
      </c>
      <c r="J242" s="26" t="s">
        <v>57</v>
      </c>
      <c r="K242" s="27" t="s">
        <v>91</v>
      </c>
      <c r="L242" s="28" t="s">
        <v>56</v>
      </c>
      <c r="M242" s="29" t="str">
        <f t="shared" si="15"/>
        <v>⚠ Missing</v>
      </c>
      <c r="N242" s="42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56</v>
      </c>
      <c r="Z242" s="30" t="s">
        <v>57</v>
      </c>
      <c r="AA242" s="30" t="s">
        <v>58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 t="s">
        <v>61</v>
      </c>
      <c r="AG242" s="33" t="s">
        <v>55</v>
      </c>
      <c r="AH242" s="33" t="s">
        <v>56</v>
      </c>
      <c r="AI242" s="33" t="s">
        <v>57</v>
      </c>
      <c r="AJ242" s="33" t="s">
        <v>58</v>
      </c>
      <c r="AK242" s="33" t="s">
        <v>56</v>
      </c>
      <c r="AL242" s="27"/>
      <c r="AM242" s="34" t="s">
        <v>57</v>
      </c>
      <c r="AN242" s="35" t="str">
        <f t="shared" si="18"/>
        <v>✓ OK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1807</v>
      </c>
      <c r="C243" s="25" t="s">
        <v>1808</v>
      </c>
      <c r="D243" s="23" t="s">
        <v>1332</v>
      </c>
      <c r="E243" s="42">
        <v>46132</v>
      </c>
      <c r="F243" s="26" t="s">
        <v>55</v>
      </c>
      <c r="G243" s="26" t="s">
        <v>57</v>
      </c>
      <c r="H243" s="26" t="s">
        <v>57</v>
      </c>
      <c r="I243" s="26" t="s">
        <v>90</v>
      </c>
      <c r="J243" s="26" t="s">
        <v>57</v>
      </c>
      <c r="K243" s="27" t="s">
        <v>91</v>
      </c>
      <c r="L243" s="28" t="s">
        <v>56</v>
      </c>
      <c r="M243" s="29" t="str">
        <f t="shared" si="15"/>
        <v>⚠ Missing</v>
      </c>
      <c r="N243" s="42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56</v>
      </c>
      <c r="Z243" s="30" t="s">
        <v>57</v>
      </c>
      <c r="AA243" s="30" t="s">
        <v>58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 t="s">
        <v>61</v>
      </c>
      <c r="AG243" s="33" t="s">
        <v>55</v>
      </c>
      <c r="AH243" s="33" t="s">
        <v>56</v>
      </c>
      <c r="AI243" s="33" t="s">
        <v>57</v>
      </c>
      <c r="AJ243" s="33" t="s">
        <v>58</v>
      </c>
      <c r="AK243" s="33" t="s">
        <v>56</v>
      </c>
      <c r="AL243" s="27"/>
      <c r="AM243" s="34" t="s">
        <v>57</v>
      </c>
      <c r="AN243" s="35" t="str">
        <f t="shared" si="18"/>
        <v>✓ OK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1809</v>
      </c>
      <c r="C244" s="41" t="s">
        <v>1810</v>
      </c>
      <c r="D244" s="39" t="s">
        <v>1332</v>
      </c>
      <c r="E244" s="42">
        <v>46132</v>
      </c>
      <c r="F244" s="26" t="s">
        <v>55</v>
      </c>
      <c r="G244" s="26" t="s">
        <v>57</v>
      </c>
      <c r="H244" s="26" t="s">
        <v>57</v>
      </c>
      <c r="I244" s="26" t="s">
        <v>90</v>
      </c>
      <c r="J244" s="26" t="s">
        <v>57</v>
      </c>
      <c r="K244" s="27" t="s">
        <v>91</v>
      </c>
      <c r="L244" s="28" t="s">
        <v>56</v>
      </c>
      <c r="M244" s="29" t="str">
        <f t="shared" si="15"/>
        <v>⚠ Missing</v>
      </c>
      <c r="N244" s="42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 t="s">
        <v>61</v>
      </c>
      <c r="AG244" s="33" t="s">
        <v>55</v>
      </c>
      <c r="AH244" s="33" t="s">
        <v>56</v>
      </c>
      <c r="AI244" s="33" t="s">
        <v>57</v>
      </c>
      <c r="AJ244" s="33" t="s">
        <v>58</v>
      </c>
      <c r="AK244" s="33" t="s">
        <v>56</v>
      </c>
      <c r="AL244" s="27"/>
      <c r="AM244" s="34" t="s">
        <v>57</v>
      </c>
      <c r="AN244" s="35" t="str">
        <f t="shared" si="18"/>
        <v>✓ OK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1811</v>
      </c>
      <c r="C245" s="25" t="s">
        <v>1812</v>
      </c>
      <c r="D245" s="23" t="s">
        <v>1332</v>
      </c>
      <c r="E245" s="42">
        <v>46132</v>
      </c>
      <c r="F245" s="26" t="s">
        <v>55</v>
      </c>
      <c r="G245" s="26" t="s">
        <v>57</v>
      </c>
      <c r="H245" s="26" t="s">
        <v>57</v>
      </c>
      <c r="I245" s="26" t="s">
        <v>90</v>
      </c>
      <c r="J245" s="26" t="s">
        <v>57</v>
      </c>
      <c r="K245" s="27" t="s">
        <v>91</v>
      </c>
      <c r="L245" s="28" t="s">
        <v>56</v>
      </c>
      <c r="M245" s="29" t="str">
        <f t="shared" si="15"/>
        <v>⚠ Missing</v>
      </c>
      <c r="N245" s="42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 t="s">
        <v>61</v>
      </c>
      <c r="AG245" s="33" t="s">
        <v>55</v>
      </c>
      <c r="AH245" s="33" t="s">
        <v>56</v>
      </c>
      <c r="AI245" s="33" t="s">
        <v>57</v>
      </c>
      <c r="AJ245" s="33" t="s">
        <v>58</v>
      </c>
      <c r="AK245" s="33" t="s">
        <v>56</v>
      </c>
      <c r="AL245" s="27"/>
      <c r="AM245" s="34" t="s">
        <v>57</v>
      </c>
      <c r="AN245" s="35" t="str">
        <f t="shared" si="18"/>
        <v>✓ OK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1813</v>
      </c>
      <c r="C246" s="41" t="s">
        <v>1814</v>
      </c>
      <c r="D246" s="39" t="s">
        <v>1332</v>
      </c>
      <c r="E246" s="42">
        <v>46132</v>
      </c>
      <c r="F246" s="26" t="s">
        <v>55</v>
      </c>
      <c r="G246" s="26" t="s">
        <v>57</v>
      </c>
      <c r="H246" s="26" t="s">
        <v>57</v>
      </c>
      <c r="I246" s="26" t="s">
        <v>90</v>
      </c>
      <c r="J246" s="26" t="s">
        <v>57</v>
      </c>
      <c r="K246" s="27" t="s">
        <v>91</v>
      </c>
      <c r="L246" s="28" t="s">
        <v>56</v>
      </c>
      <c r="M246" s="29" t="str">
        <f t="shared" si="15"/>
        <v>⚠ Missing</v>
      </c>
      <c r="N246" s="42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58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 t="s">
        <v>61</v>
      </c>
      <c r="AG246" s="33" t="s">
        <v>55</v>
      </c>
      <c r="AH246" s="33" t="s">
        <v>56</v>
      </c>
      <c r="AI246" s="33" t="s">
        <v>57</v>
      </c>
      <c r="AJ246" s="33" t="s">
        <v>58</v>
      </c>
      <c r="AK246" s="33" t="s">
        <v>56</v>
      </c>
      <c r="AL246" s="27"/>
      <c r="AM246" s="34" t="s">
        <v>57</v>
      </c>
      <c r="AN246" s="35" t="str">
        <f t="shared" si="18"/>
        <v>✓ OK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1815</v>
      </c>
      <c r="C247" s="25" t="s">
        <v>1816</v>
      </c>
      <c r="D247" s="23" t="s">
        <v>1332</v>
      </c>
      <c r="E247" s="42">
        <v>46132</v>
      </c>
      <c r="F247" s="26" t="s">
        <v>55</v>
      </c>
      <c r="G247" s="26" t="s">
        <v>57</v>
      </c>
      <c r="H247" s="26" t="s">
        <v>57</v>
      </c>
      <c r="I247" s="26" t="s">
        <v>90</v>
      </c>
      <c r="J247" s="26" t="s">
        <v>57</v>
      </c>
      <c r="K247" s="27" t="s">
        <v>91</v>
      </c>
      <c r="L247" s="28" t="s">
        <v>56</v>
      </c>
      <c r="M247" s="29" t="str">
        <f t="shared" si="15"/>
        <v>⚠ Missing</v>
      </c>
      <c r="N247" s="42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 t="s">
        <v>61</v>
      </c>
      <c r="AG247" s="33" t="s">
        <v>55</v>
      </c>
      <c r="AH247" s="33" t="s">
        <v>56</v>
      </c>
      <c r="AI247" s="33" t="s">
        <v>57</v>
      </c>
      <c r="AJ247" s="33" t="s">
        <v>58</v>
      </c>
      <c r="AK247" s="33" t="s">
        <v>56</v>
      </c>
      <c r="AL247" s="27"/>
      <c r="AM247" s="34" t="s">
        <v>57</v>
      </c>
      <c r="AN247" s="35" t="str">
        <f t="shared" si="18"/>
        <v>✓ OK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1817</v>
      </c>
      <c r="C248" s="41" t="s">
        <v>1818</v>
      </c>
      <c r="D248" s="39" t="s">
        <v>1332</v>
      </c>
      <c r="E248" s="42">
        <v>46132</v>
      </c>
      <c r="F248" s="26" t="s">
        <v>55</v>
      </c>
      <c r="G248" s="26" t="s">
        <v>57</v>
      </c>
      <c r="H248" s="26" t="s">
        <v>57</v>
      </c>
      <c r="I248" s="26" t="s">
        <v>90</v>
      </c>
      <c r="J248" s="26" t="s">
        <v>57</v>
      </c>
      <c r="K248" s="27" t="s">
        <v>91</v>
      </c>
      <c r="L248" s="28" t="s">
        <v>56</v>
      </c>
      <c r="M248" s="29" t="str">
        <f t="shared" si="15"/>
        <v>⚠ Missing</v>
      </c>
      <c r="N248" s="42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56</v>
      </c>
      <c r="Z248" s="30" t="s">
        <v>57</v>
      </c>
      <c r="AA248" s="30" t="s">
        <v>58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 t="s">
        <v>61</v>
      </c>
      <c r="AG248" s="33" t="s">
        <v>55</v>
      </c>
      <c r="AH248" s="33" t="s">
        <v>56</v>
      </c>
      <c r="AI248" s="33" t="s">
        <v>57</v>
      </c>
      <c r="AJ248" s="33" t="s">
        <v>58</v>
      </c>
      <c r="AK248" s="33" t="s">
        <v>56</v>
      </c>
      <c r="AL248" s="27"/>
      <c r="AM248" s="34" t="s">
        <v>57</v>
      </c>
      <c r="AN248" s="35" t="str">
        <f t="shared" si="18"/>
        <v>✓ OK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1819</v>
      </c>
      <c r="C249" s="25" t="s">
        <v>1820</v>
      </c>
      <c r="D249" s="23" t="s">
        <v>1332</v>
      </c>
      <c r="E249" s="42">
        <v>46132</v>
      </c>
      <c r="F249" s="26" t="s">
        <v>55</v>
      </c>
      <c r="G249" s="26" t="s">
        <v>57</v>
      </c>
      <c r="H249" s="26" t="s">
        <v>57</v>
      </c>
      <c r="I249" s="26" t="s">
        <v>90</v>
      </c>
      <c r="J249" s="26" t="s">
        <v>57</v>
      </c>
      <c r="K249" s="27" t="s">
        <v>91</v>
      </c>
      <c r="L249" s="28" t="s">
        <v>56</v>
      </c>
      <c r="M249" s="29" t="str">
        <f t="shared" si="15"/>
        <v>⚠ Missing</v>
      </c>
      <c r="N249" s="42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56</v>
      </c>
      <c r="Z249" s="30" t="s">
        <v>57</v>
      </c>
      <c r="AA249" s="30" t="s">
        <v>58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 t="s">
        <v>61</v>
      </c>
      <c r="AG249" s="33" t="s">
        <v>55</v>
      </c>
      <c r="AH249" s="33" t="s">
        <v>56</v>
      </c>
      <c r="AI249" s="33" t="s">
        <v>57</v>
      </c>
      <c r="AJ249" s="33" t="s">
        <v>58</v>
      </c>
      <c r="AK249" s="33" t="s">
        <v>56</v>
      </c>
      <c r="AL249" s="27"/>
      <c r="AM249" s="34" t="s">
        <v>57</v>
      </c>
      <c r="AN249" s="35" t="str">
        <f t="shared" si="18"/>
        <v>✓ OK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1821</v>
      </c>
      <c r="C250" s="41" t="s">
        <v>1822</v>
      </c>
      <c r="D250" s="39" t="s">
        <v>1332</v>
      </c>
      <c r="E250" s="42">
        <v>46132</v>
      </c>
      <c r="F250" s="26" t="s">
        <v>55</v>
      </c>
      <c r="G250" s="26" t="s">
        <v>57</v>
      </c>
      <c r="H250" s="26" t="s">
        <v>57</v>
      </c>
      <c r="I250" s="26" t="s">
        <v>90</v>
      </c>
      <c r="J250" s="26" t="s">
        <v>57</v>
      </c>
      <c r="K250" s="27" t="s">
        <v>91</v>
      </c>
      <c r="L250" s="28" t="s">
        <v>56</v>
      </c>
      <c r="M250" s="29" t="str">
        <f t="shared" si="15"/>
        <v>⚠ Missing</v>
      </c>
      <c r="N250" s="42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56</v>
      </c>
      <c r="Z250" s="30" t="s">
        <v>57</v>
      </c>
      <c r="AA250" s="30" t="s">
        <v>58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 t="s">
        <v>61</v>
      </c>
      <c r="AG250" s="33" t="s">
        <v>55</v>
      </c>
      <c r="AH250" s="33" t="s">
        <v>56</v>
      </c>
      <c r="AI250" s="33" t="s">
        <v>57</v>
      </c>
      <c r="AJ250" s="33" t="s">
        <v>58</v>
      </c>
      <c r="AK250" s="33" t="s">
        <v>56</v>
      </c>
      <c r="AL250" s="27"/>
      <c r="AM250" s="34" t="s">
        <v>57</v>
      </c>
      <c r="AN250" s="35" t="str">
        <f t="shared" si="18"/>
        <v>✓ OK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1823</v>
      </c>
      <c r="C251" s="25" t="s">
        <v>1824</v>
      </c>
      <c r="D251" s="23" t="s">
        <v>1332</v>
      </c>
      <c r="E251" s="42">
        <v>46132</v>
      </c>
      <c r="F251" s="26" t="s">
        <v>55</v>
      </c>
      <c r="G251" s="26" t="s">
        <v>57</v>
      </c>
      <c r="H251" s="26" t="s">
        <v>57</v>
      </c>
      <c r="I251" s="26" t="s">
        <v>90</v>
      </c>
      <c r="J251" s="26" t="s">
        <v>57</v>
      </c>
      <c r="K251" s="27" t="s">
        <v>91</v>
      </c>
      <c r="L251" s="28" t="s">
        <v>56</v>
      </c>
      <c r="M251" s="29" t="str">
        <f t="shared" si="15"/>
        <v>⚠ Missing</v>
      </c>
      <c r="N251" s="42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 t="s">
        <v>61</v>
      </c>
      <c r="AG251" s="33" t="s">
        <v>55</v>
      </c>
      <c r="AH251" s="33" t="s">
        <v>56</v>
      </c>
      <c r="AI251" s="33" t="s">
        <v>57</v>
      </c>
      <c r="AJ251" s="33" t="s">
        <v>58</v>
      </c>
      <c r="AK251" s="33" t="s">
        <v>56</v>
      </c>
      <c r="AL251" s="27"/>
      <c r="AM251" s="34" t="s">
        <v>57</v>
      </c>
      <c r="AN251" s="35" t="str">
        <f t="shared" si="18"/>
        <v>✓ OK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1825</v>
      </c>
      <c r="C252" s="41" t="s">
        <v>1826</v>
      </c>
      <c r="D252" s="39" t="s">
        <v>1332</v>
      </c>
      <c r="E252" s="42">
        <v>46132</v>
      </c>
      <c r="F252" s="26" t="s">
        <v>55</v>
      </c>
      <c r="G252" s="26" t="s">
        <v>57</v>
      </c>
      <c r="H252" s="26" t="s">
        <v>57</v>
      </c>
      <c r="I252" s="26" t="s">
        <v>90</v>
      </c>
      <c r="J252" s="26" t="s">
        <v>57</v>
      </c>
      <c r="K252" s="27" t="s">
        <v>91</v>
      </c>
      <c r="L252" s="28" t="s">
        <v>56</v>
      </c>
      <c r="M252" s="29" t="str">
        <f t="shared" si="15"/>
        <v>⚠ Missing</v>
      </c>
      <c r="N252" s="42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 t="s">
        <v>61</v>
      </c>
      <c r="AG252" s="33" t="s">
        <v>55</v>
      </c>
      <c r="AH252" s="33" t="s">
        <v>56</v>
      </c>
      <c r="AI252" s="33" t="s">
        <v>57</v>
      </c>
      <c r="AJ252" s="33" t="s">
        <v>58</v>
      </c>
      <c r="AK252" s="33" t="s">
        <v>56</v>
      </c>
      <c r="AL252" s="27"/>
      <c r="AM252" s="34" t="s">
        <v>57</v>
      </c>
      <c r="AN252" s="35" t="str">
        <f t="shared" si="18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1827</v>
      </c>
      <c r="C253" s="25" t="s">
        <v>1828</v>
      </c>
      <c r="D253" s="23" t="s">
        <v>1332</v>
      </c>
      <c r="E253" s="42">
        <v>46132</v>
      </c>
      <c r="F253" s="26" t="s">
        <v>55</v>
      </c>
      <c r="G253" s="26" t="s">
        <v>57</v>
      </c>
      <c r="H253" s="26" t="s">
        <v>57</v>
      </c>
      <c r="I253" s="26" t="s">
        <v>90</v>
      </c>
      <c r="J253" s="26" t="s">
        <v>57</v>
      </c>
      <c r="K253" s="27" t="s">
        <v>91</v>
      </c>
      <c r="L253" s="28" t="s">
        <v>56</v>
      </c>
      <c r="M253" s="29" t="str">
        <f t="shared" si="15"/>
        <v>⚠ Missing</v>
      </c>
      <c r="N253" s="42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 t="s">
        <v>61</v>
      </c>
      <c r="AG253" s="33" t="s">
        <v>55</v>
      </c>
      <c r="AH253" s="33" t="s">
        <v>56</v>
      </c>
      <c r="AI253" s="33" t="s">
        <v>57</v>
      </c>
      <c r="AJ253" s="33" t="s">
        <v>58</v>
      </c>
      <c r="AK253" s="33" t="s">
        <v>56</v>
      </c>
      <c r="AL253" s="27"/>
      <c r="AM253" s="34" t="s">
        <v>57</v>
      </c>
      <c r="AN253" s="35" t="str">
        <f t="shared" si="18"/>
        <v>✓ OK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1829</v>
      </c>
      <c r="C254" s="41" t="s">
        <v>1830</v>
      </c>
      <c r="D254" s="39" t="s">
        <v>1332</v>
      </c>
      <c r="E254" s="42">
        <v>46132</v>
      </c>
      <c r="F254" s="26" t="s">
        <v>55</v>
      </c>
      <c r="G254" s="26" t="s">
        <v>57</v>
      </c>
      <c r="H254" s="26" t="s">
        <v>57</v>
      </c>
      <c r="I254" s="26" t="s">
        <v>90</v>
      </c>
      <c r="J254" s="26" t="s">
        <v>57</v>
      </c>
      <c r="K254" s="27" t="s">
        <v>91</v>
      </c>
      <c r="L254" s="28" t="s">
        <v>56</v>
      </c>
      <c r="M254" s="29" t="str">
        <f t="shared" si="15"/>
        <v>⚠ Missing</v>
      </c>
      <c r="N254" s="42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 t="s">
        <v>61</v>
      </c>
      <c r="AG254" s="33" t="s">
        <v>55</v>
      </c>
      <c r="AH254" s="33" t="s">
        <v>56</v>
      </c>
      <c r="AI254" s="33" t="s">
        <v>57</v>
      </c>
      <c r="AJ254" s="33" t="s">
        <v>58</v>
      </c>
      <c r="AK254" s="33" t="s">
        <v>56</v>
      </c>
      <c r="AL254" s="27"/>
      <c r="AM254" s="34" t="s">
        <v>57</v>
      </c>
      <c r="AN254" s="35" t="str">
        <f t="shared" si="18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1831</v>
      </c>
      <c r="C255" s="25" t="s">
        <v>1832</v>
      </c>
      <c r="D255" s="23" t="s">
        <v>1332</v>
      </c>
      <c r="E255" s="42">
        <v>46132</v>
      </c>
      <c r="F255" s="26" t="s">
        <v>55</v>
      </c>
      <c r="G255" s="26" t="s">
        <v>57</v>
      </c>
      <c r="H255" s="26" t="s">
        <v>57</v>
      </c>
      <c r="I255" s="26" t="s">
        <v>90</v>
      </c>
      <c r="J255" s="26" t="s">
        <v>57</v>
      </c>
      <c r="K255" s="27" t="s">
        <v>91</v>
      </c>
      <c r="L255" s="28" t="s">
        <v>56</v>
      </c>
      <c r="M255" s="29" t="str">
        <f t="shared" si="15"/>
        <v>⚠ Missing</v>
      </c>
      <c r="N255" s="42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 t="s">
        <v>61</v>
      </c>
      <c r="AG255" s="33" t="s">
        <v>55</v>
      </c>
      <c r="AH255" s="33" t="s">
        <v>56</v>
      </c>
      <c r="AI255" s="33" t="s">
        <v>57</v>
      </c>
      <c r="AJ255" s="33" t="s">
        <v>58</v>
      </c>
      <c r="AK255" s="33" t="s">
        <v>56</v>
      </c>
      <c r="AL255" s="27"/>
      <c r="AM255" s="34" t="s">
        <v>57</v>
      </c>
      <c r="AN255" s="35" t="str">
        <f t="shared" si="18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1833</v>
      </c>
      <c r="C256" s="41" t="s">
        <v>1834</v>
      </c>
      <c r="D256" s="39" t="s">
        <v>1332</v>
      </c>
      <c r="E256" s="42">
        <v>46132</v>
      </c>
      <c r="F256" s="26" t="s">
        <v>55</v>
      </c>
      <c r="G256" s="26" t="s">
        <v>57</v>
      </c>
      <c r="H256" s="26" t="s">
        <v>57</v>
      </c>
      <c r="I256" s="26" t="s">
        <v>90</v>
      </c>
      <c r="J256" s="26" t="s">
        <v>57</v>
      </c>
      <c r="K256" s="27" t="s">
        <v>91</v>
      </c>
      <c r="L256" s="28" t="s">
        <v>56</v>
      </c>
      <c r="M256" s="29" t="str">
        <f t="shared" si="15"/>
        <v>⚠ Missing</v>
      </c>
      <c r="N256" s="42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 t="s">
        <v>61</v>
      </c>
      <c r="AG256" s="33" t="s">
        <v>55</v>
      </c>
      <c r="AH256" s="33" t="s">
        <v>56</v>
      </c>
      <c r="AI256" s="33" t="s">
        <v>57</v>
      </c>
      <c r="AJ256" s="33" t="s">
        <v>58</v>
      </c>
      <c r="AK256" s="33" t="s">
        <v>56</v>
      </c>
      <c r="AL256" s="27"/>
      <c r="AM256" s="34" t="s">
        <v>57</v>
      </c>
      <c r="AN256" s="35" t="str">
        <f t="shared" si="18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1835</v>
      </c>
      <c r="C257" s="25" t="s">
        <v>1836</v>
      </c>
      <c r="D257" s="23" t="s">
        <v>1332</v>
      </c>
      <c r="E257" s="42">
        <v>46132</v>
      </c>
      <c r="F257" s="26" t="s">
        <v>55</v>
      </c>
      <c r="G257" s="26" t="s">
        <v>57</v>
      </c>
      <c r="H257" s="26" t="s">
        <v>57</v>
      </c>
      <c r="I257" s="26" t="s">
        <v>90</v>
      </c>
      <c r="J257" s="26" t="s">
        <v>57</v>
      </c>
      <c r="K257" s="27" t="s">
        <v>91</v>
      </c>
      <c r="L257" s="28" t="s">
        <v>56</v>
      </c>
      <c r="M257" s="29" t="str">
        <f t="shared" si="15"/>
        <v>⚠ Missing</v>
      </c>
      <c r="N257" s="42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56</v>
      </c>
      <c r="Z257" s="30" t="s">
        <v>57</v>
      </c>
      <c r="AA257" s="30" t="s">
        <v>58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 t="s">
        <v>61</v>
      </c>
      <c r="AG257" s="33" t="s">
        <v>55</v>
      </c>
      <c r="AH257" s="33" t="s">
        <v>56</v>
      </c>
      <c r="AI257" s="33" t="s">
        <v>57</v>
      </c>
      <c r="AJ257" s="33" t="s">
        <v>58</v>
      </c>
      <c r="AK257" s="33" t="s">
        <v>56</v>
      </c>
      <c r="AL257" s="27"/>
      <c r="AM257" s="34" t="s">
        <v>57</v>
      </c>
      <c r="AN257" s="35" t="str">
        <f t="shared" si="18"/>
        <v>✓ OK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1837</v>
      </c>
      <c r="C258" s="41" t="s">
        <v>1838</v>
      </c>
      <c r="D258" s="39" t="s">
        <v>1332</v>
      </c>
      <c r="E258" s="42">
        <v>46132</v>
      </c>
      <c r="F258" s="26" t="s">
        <v>55</v>
      </c>
      <c r="G258" s="26" t="s">
        <v>57</v>
      </c>
      <c r="H258" s="26" t="s">
        <v>57</v>
      </c>
      <c r="I258" s="26" t="s">
        <v>90</v>
      </c>
      <c r="J258" s="26" t="s">
        <v>57</v>
      </c>
      <c r="K258" s="27" t="s">
        <v>91</v>
      </c>
      <c r="L258" s="28" t="s">
        <v>56</v>
      </c>
      <c r="M258" s="29" t="str">
        <f t="shared" si="15"/>
        <v>⚠ Missing</v>
      </c>
      <c r="N258" s="42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 t="s">
        <v>61</v>
      </c>
      <c r="AG258" s="33" t="s">
        <v>55</v>
      </c>
      <c r="AH258" s="33" t="s">
        <v>56</v>
      </c>
      <c r="AI258" s="33" t="s">
        <v>57</v>
      </c>
      <c r="AJ258" s="33" t="s">
        <v>58</v>
      </c>
      <c r="AK258" s="33" t="s">
        <v>56</v>
      </c>
      <c r="AL258" s="27"/>
      <c r="AM258" s="34" t="s">
        <v>57</v>
      </c>
      <c r="AN258" s="35" t="str">
        <f t="shared" si="18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1839</v>
      </c>
      <c r="C259" s="25" t="s">
        <v>1840</v>
      </c>
      <c r="D259" s="23" t="s">
        <v>1332</v>
      </c>
      <c r="E259" s="42">
        <v>46132</v>
      </c>
      <c r="F259" s="26" t="s">
        <v>55</v>
      </c>
      <c r="G259" s="26" t="s">
        <v>57</v>
      </c>
      <c r="H259" s="26" t="s">
        <v>57</v>
      </c>
      <c r="I259" s="26" t="s">
        <v>90</v>
      </c>
      <c r="J259" s="26" t="s">
        <v>57</v>
      </c>
      <c r="K259" s="27" t="s">
        <v>91</v>
      </c>
      <c r="L259" s="28" t="s">
        <v>56</v>
      </c>
      <c r="M259" s="29" t="str">
        <f t="shared" si="15"/>
        <v>⚠ Missing</v>
      </c>
      <c r="N259" s="42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 t="s">
        <v>61</v>
      </c>
      <c r="AG259" s="33" t="s">
        <v>55</v>
      </c>
      <c r="AH259" s="33" t="s">
        <v>56</v>
      </c>
      <c r="AI259" s="33" t="s">
        <v>57</v>
      </c>
      <c r="AJ259" s="33" t="s">
        <v>58</v>
      </c>
      <c r="AK259" s="33" t="s">
        <v>56</v>
      </c>
      <c r="AL259" s="27"/>
      <c r="AM259" s="34" t="s">
        <v>57</v>
      </c>
      <c r="AN259" s="35" t="str">
        <f t="shared" si="18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1841</v>
      </c>
      <c r="C260" s="41" t="s">
        <v>1842</v>
      </c>
      <c r="D260" s="39" t="s">
        <v>1332</v>
      </c>
      <c r="E260" s="42">
        <v>46132</v>
      </c>
      <c r="F260" s="26" t="s">
        <v>55</v>
      </c>
      <c r="G260" s="26" t="s">
        <v>57</v>
      </c>
      <c r="H260" s="26" t="s">
        <v>57</v>
      </c>
      <c r="I260" s="26" t="s">
        <v>90</v>
      </c>
      <c r="J260" s="26" t="s">
        <v>57</v>
      </c>
      <c r="K260" s="27" t="s">
        <v>91</v>
      </c>
      <c r="L260" s="28" t="s">
        <v>56</v>
      </c>
      <c r="M260" s="29" t="str">
        <f t="shared" si="15"/>
        <v>⚠ Missing</v>
      </c>
      <c r="N260" s="42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 t="s">
        <v>61</v>
      </c>
      <c r="AG260" s="33" t="s">
        <v>55</v>
      </c>
      <c r="AH260" s="33" t="s">
        <v>56</v>
      </c>
      <c r="AI260" s="33" t="s">
        <v>57</v>
      </c>
      <c r="AJ260" s="33" t="s">
        <v>58</v>
      </c>
      <c r="AK260" s="33" t="s">
        <v>56</v>
      </c>
      <c r="AL260" s="27"/>
      <c r="AM260" s="34" t="s">
        <v>57</v>
      </c>
      <c r="AN260" s="35" t="str">
        <f t="shared" si="18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1843</v>
      </c>
      <c r="C261" s="25" t="s">
        <v>1844</v>
      </c>
      <c r="D261" s="23" t="s">
        <v>1332</v>
      </c>
      <c r="E261" s="42">
        <v>46132</v>
      </c>
      <c r="F261" s="26" t="s">
        <v>55</v>
      </c>
      <c r="G261" s="26" t="s">
        <v>57</v>
      </c>
      <c r="H261" s="26" t="s">
        <v>57</v>
      </c>
      <c r="I261" s="26" t="s">
        <v>90</v>
      </c>
      <c r="J261" s="26" t="s">
        <v>57</v>
      </c>
      <c r="K261" s="27" t="s">
        <v>91</v>
      </c>
      <c r="L261" s="28" t="s">
        <v>56</v>
      </c>
      <c r="M261" s="29" t="str">
        <f t="shared" ref="M261:M324" si="20">IF(E261="","",IF(H261="Yes","❌ Disc",IF(G261="No","⚠ Missing",IF(J261="Yes","✓ OK","⚠ Check"))))</f>
        <v>⚠ Missing</v>
      </c>
      <c r="N261" s="42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324" si="22">IF(W261="","",IF(Z261="Yes","❌ Disc",IF(Y261="No","⚠ Missing",IF(AB261="Yes","✓ OK","⚠ Check"))))</f>
        <v>✓ OK</v>
      </c>
      <c r="AF261" s="33" t="s">
        <v>61</v>
      </c>
      <c r="AG261" s="33" t="s">
        <v>55</v>
      </c>
      <c r="AH261" s="33" t="s">
        <v>56</v>
      </c>
      <c r="AI261" s="33" t="s">
        <v>57</v>
      </c>
      <c r="AJ261" s="33" t="s">
        <v>58</v>
      </c>
      <c r="AK261" s="33" t="s">
        <v>56</v>
      </c>
      <c r="AL261" s="27"/>
      <c r="AM261" s="34" t="s">
        <v>57</v>
      </c>
      <c r="AN261" s="35" t="str">
        <f t="shared" ref="AN261:AN324" si="23">IF(AF261="","",IF(AI261="Yes","❌ Disc",IF(AH261="No","⚠ Missing",IF(AK261="Yes","✓ OK","⚠ Check"))))</f>
        <v>✓ OK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1845</v>
      </c>
      <c r="C262" s="41" t="s">
        <v>1846</v>
      </c>
      <c r="D262" s="39" t="s">
        <v>1332</v>
      </c>
      <c r="E262" s="42">
        <v>46132</v>
      </c>
      <c r="F262" s="26" t="s">
        <v>55</v>
      </c>
      <c r="G262" s="26" t="s">
        <v>57</v>
      </c>
      <c r="H262" s="26" t="s">
        <v>57</v>
      </c>
      <c r="I262" s="26" t="s">
        <v>90</v>
      </c>
      <c r="J262" s="26" t="s">
        <v>57</v>
      </c>
      <c r="K262" s="27" t="s">
        <v>91</v>
      </c>
      <c r="L262" s="28" t="s">
        <v>56</v>
      </c>
      <c r="M262" s="29" t="str">
        <f t="shared" si="20"/>
        <v>⚠ Missing</v>
      </c>
      <c r="N262" s="42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 t="s">
        <v>61</v>
      </c>
      <c r="AG262" s="33" t="s">
        <v>55</v>
      </c>
      <c r="AH262" s="33" t="s">
        <v>56</v>
      </c>
      <c r="AI262" s="33" t="s">
        <v>57</v>
      </c>
      <c r="AJ262" s="33" t="s">
        <v>58</v>
      </c>
      <c r="AK262" s="33" t="s">
        <v>56</v>
      </c>
      <c r="AL262" s="27"/>
      <c r="AM262" s="34" t="s">
        <v>57</v>
      </c>
      <c r="AN262" s="35" t="str">
        <f t="shared" si="23"/>
        <v>✓ OK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1847</v>
      </c>
      <c r="C263" s="25" t="s">
        <v>1848</v>
      </c>
      <c r="D263" s="23" t="s">
        <v>1332</v>
      </c>
      <c r="E263" s="42">
        <v>46132</v>
      </c>
      <c r="F263" s="26" t="s">
        <v>55</v>
      </c>
      <c r="G263" s="26" t="s">
        <v>57</v>
      </c>
      <c r="H263" s="26" t="s">
        <v>57</v>
      </c>
      <c r="I263" s="26" t="s">
        <v>90</v>
      </c>
      <c r="J263" s="26" t="s">
        <v>57</v>
      </c>
      <c r="K263" s="27" t="s">
        <v>91</v>
      </c>
      <c r="L263" s="28" t="s">
        <v>56</v>
      </c>
      <c r="M263" s="29" t="str">
        <f t="shared" si="20"/>
        <v>⚠ Missing</v>
      </c>
      <c r="N263" s="42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 t="s">
        <v>61</v>
      </c>
      <c r="AG263" s="33" t="s">
        <v>55</v>
      </c>
      <c r="AH263" s="33" t="s">
        <v>56</v>
      </c>
      <c r="AI263" s="33" t="s">
        <v>57</v>
      </c>
      <c r="AJ263" s="33" t="s">
        <v>58</v>
      </c>
      <c r="AK263" s="33" t="s">
        <v>56</v>
      </c>
      <c r="AL263" s="27"/>
      <c r="AM263" s="34" t="s">
        <v>57</v>
      </c>
      <c r="AN263" s="35" t="str">
        <f t="shared" si="23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1849</v>
      </c>
      <c r="C264" s="41" t="s">
        <v>1850</v>
      </c>
      <c r="D264" s="39" t="s">
        <v>1332</v>
      </c>
      <c r="E264" s="42">
        <v>46132</v>
      </c>
      <c r="F264" s="26" t="s">
        <v>55</v>
      </c>
      <c r="G264" s="26" t="s">
        <v>57</v>
      </c>
      <c r="H264" s="26" t="s">
        <v>57</v>
      </c>
      <c r="I264" s="26" t="s">
        <v>90</v>
      </c>
      <c r="J264" s="26" t="s">
        <v>57</v>
      </c>
      <c r="K264" s="27" t="s">
        <v>91</v>
      </c>
      <c r="L264" s="28" t="s">
        <v>56</v>
      </c>
      <c r="M264" s="29" t="str">
        <f t="shared" si="20"/>
        <v>⚠ Missing</v>
      </c>
      <c r="N264" s="42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 t="s">
        <v>61</v>
      </c>
      <c r="AG264" s="33" t="s">
        <v>55</v>
      </c>
      <c r="AH264" s="33" t="s">
        <v>56</v>
      </c>
      <c r="AI264" s="33" t="s">
        <v>57</v>
      </c>
      <c r="AJ264" s="33" t="s">
        <v>58</v>
      </c>
      <c r="AK264" s="33" t="s">
        <v>56</v>
      </c>
      <c r="AL264" s="27"/>
      <c r="AM264" s="34" t="s">
        <v>57</v>
      </c>
      <c r="AN264" s="35" t="str">
        <f t="shared" si="23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1851</v>
      </c>
      <c r="C265" s="25" t="s">
        <v>1852</v>
      </c>
      <c r="D265" s="23" t="s">
        <v>1332</v>
      </c>
      <c r="E265" s="42">
        <v>46132</v>
      </c>
      <c r="F265" s="26" t="s">
        <v>55</v>
      </c>
      <c r="G265" s="26" t="s">
        <v>57</v>
      </c>
      <c r="H265" s="26" t="s">
        <v>57</v>
      </c>
      <c r="I265" s="26" t="s">
        <v>90</v>
      </c>
      <c r="J265" s="26" t="s">
        <v>57</v>
      </c>
      <c r="K265" s="27" t="s">
        <v>91</v>
      </c>
      <c r="L265" s="28" t="s">
        <v>56</v>
      </c>
      <c r="M265" s="29" t="str">
        <f t="shared" si="20"/>
        <v>⚠ Missing</v>
      </c>
      <c r="N265" s="42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 t="s">
        <v>61</v>
      </c>
      <c r="AG265" s="33" t="s">
        <v>55</v>
      </c>
      <c r="AH265" s="33" t="s">
        <v>56</v>
      </c>
      <c r="AI265" s="33" t="s">
        <v>57</v>
      </c>
      <c r="AJ265" s="33" t="s">
        <v>58</v>
      </c>
      <c r="AK265" s="33" t="s">
        <v>56</v>
      </c>
      <c r="AL265" s="27"/>
      <c r="AM265" s="34" t="s">
        <v>57</v>
      </c>
      <c r="AN265" s="35" t="str">
        <f t="shared" si="23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1853</v>
      </c>
      <c r="C266" s="41" t="s">
        <v>1854</v>
      </c>
      <c r="D266" s="39" t="s">
        <v>1332</v>
      </c>
      <c r="E266" s="42">
        <v>46132</v>
      </c>
      <c r="F266" s="26" t="s">
        <v>55</v>
      </c>
      <c r="G266" s="26" t="s">
        <v>57</v>
      </c>
      <c r="H266" s="26" t="s">
        <v>57</v>
      </c>
      <c r="I266" s="26" t="s">
        <v>90</v>
      </c>
      <c r="J266" s="26" t="s">
        <v>57</v>
      </c>
      <c r="K266" s="27" t="s">
        <v>91</v>
      </c>
      <c r="L266" s="28" t="s">
        <v>56</v>
      </c>
      <c r="M266" s="29" t="str">
        <f t="shared" si="20"/>
        <v>⚠ Missing</v>
      </c>
      <c r="N266" s="42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 t="s">
        <v>61</v>
      </c>
      <c r="AG266" s="33" t="s">
        <v>55</v>
      </c>
      <c r="AH266" s="33" t="s">
        <v>56</v>
      </c>
      <c r="AI266" s="33" t="s">
        <v>57</v>
      </c>
      <c r="AJ266" s="33" t="s">
        <v>58</v>
      </c>
      <c r="AK266" s="33" t="s">
        <v>56</v>
      </c>
      <c r="AL266" s="27"/>
      <c r="AM266" s="34" t="s">
        <v>57</v>
      </c>
      <c r="AN266" s="35" t="str">
        <f t="shared" si="23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1855</v>
      </c>
      <c r="C267" s="25" t="s">
        <v>1856</v>
      </c>
      <c r="D267" s="23" t="s">
        <v>1332</v>
      </c>
      <c r="E267" s="42">
        <v>46132</v>
      </c>
      <c r="F267" s="26" t="s">
        <v>55</v>
      </c>
      <c r="G267" s="26" t="s">
        <v>57</v>
      </c>
      <c r="H267" s="26" t="s">
        <v>57</v>
      </c>
      <c r="I267" s="26" t="s">
        <v>90</v>
      </c>
      <c r="J267" s="26" t="s">
        <v>57</v>
      </c>
      <c r="K267" s="27" t="s">
        <v>91</v>
      </c>
      <c r="L267" s="28" t="s">
        <v>56</v>
      </c>
      <c r="M267" s="29" t="str">
        <f t="shared" si="20"/>
        <v>⚠ Missing</v>
      </c>
      <c r="N267" s="42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 t="s">
        <v>61</v>
      </c>
      <c r="AG267" s="33" t="s">
        <v>55</v>
      </c>
      <c r="AH267" s="33" t="s">
        <v>56</v>
      </c>
      <c r="AI267" s="33" t="s">
        <v>57</v>
      </c>
      <c r="AJ267" s="33" t="s">
        <v>58</v>
      </c>
      <c r="AK267" s="33" t="s">
        <v>56</v>
      </c>
      <c r="AL267" s="27"/>
      <c r="AM267" s="34" t="s">
        <v>57</v>
      </c>
      <c r="AN267" s="35" t="str">
        <f t="shared" si="23"/>
        <v>✓ OK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1857</v>
      </c>
      <c r="C268" s="41" t="s">
        <v>1858</v>
      </c>
      <c r="D268" s="39" t="s">
        <v>1332</v>
      </c>
      <c r="E268" s="42">
        <v>46132</v>
      </c>
      <c r="F268" s="26" t="s">
        <v>55</v>
      </c>
      <c r="G268" s="26" t="s">
        <v>57</v>
      </c>
      <c r="H268" s="26" t="s">
        <v>57</v>
      </c>
      <c r="I268" s="26" t="s">
        <v>90</v>
      </c>
      <c r="J268" s="26" t="s">
        <v>57</v>
      </c>
      <c r="K268" s="27" t="s">
        <v>91</v>
      </c>
      <c r="L268" s="28" t="s">
        <v>56</v>
      </c>
      <c r="M268" s="29" t="str">
        <f t="shared" si="20"/>
        <v>⚠ Missing</v>
      </c>
      <c r="N268" s="42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 t="s">
        <v>61</v>
      </c>
      <c r="AG268" s="33" t="s">
        <v>55</v>
      </c>
      <c r="AH268" s="33" t="s">
        <v>56</v>
      </c>
      <c r="AI268" s="33" t="s">
        <v>57</v>
      </c>
      <c r="AJ268" s="33" t="s">
        <v>58</v>
      </c>
      <c r="AK268" s="33" t="s">
        <v>56</v>
      </c>
      <c r="AL268" s="27"/>
      <c r="AM268" s="34" t="s">
        <v>57</v>
      </c>
      <c r="AN268" s="35" t="str">
        <f t="shared" si="23"/>
        <v>✓ OK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1859</v>
      </c>
      <c r="C269" s="25" t="s">
        <v>1860</v>
      </c>
      <c r="D269" s="23" t="s">
        <v>1332</v>
      </c>
      <c r="E269" s="42">
        <v>46132</v>
      </c>
      <c r="F269" s="26" t="s">
        <v>55</v>
      </c>
      <c r="G269" s="26" t="s">
        <v>57</v>
      </c>
      <c r="H269" s="26" t="s">
        <v>57</v>
      </c>
      <c r="I269" s="26" t="s">
        <v>90</v>
      </c>
      <c r="J269" s="26" t="s">
        <v>57</v>
      </c>
      <c r="K269" s="27" t="s">
        <v>91</v>
      </c>
      <c r="L269" s="28" t="s">
        <v>56</v>
      </c>
      <c r="M269" s="29" t="str">
        <f t="shared" si="20"/>
        <v>⚠ Missing</v>
      </c>
      <c r="N269" s="42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56</v>
      </c>
      <c r="Z269" s="30" t="s">
        <v>57</v>
      </c>
      <c r="AA269" s="30" t="s">
        <v>58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 t="s">
        <v>61</v>
      </c>
      <c r="AG269" s="33" t="s">
        <v>55</v>
      </c>
      <c r="AH269" s="33" t="s">
        <v>56</v>
      </c>
      <c r="AI269" s="33" t="s">
        <v>57</v>
      </c>
      <c r="AJ269" s="33" t="s">
        <v>58</v>
      </c>
      <c r="AK269" s="33" t="s">
        <v>56</v>
      </c>
      <c r="AL269" s="27"/>
      <c r="AM269" s="34" t="s">
        <v>57</v>
      </c>
      <c r="AN269" s="35" t="str">
        <f t="shared" si="23"/>
        <v>✓ OK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1861</v>
      </c>
      <c r="C270" s="41" t="s">
        <v>1862</v>
      </c>
      <c r="D270" s="39" t="s">
        <v>1332</v>
      </c>
      <c r="E270" s="42">
        <v>46132</v>
      </c>
      <c r="F270" s="26" t="s">
        <v>55</v>
      </c>
      <c r="G270" s="26" t="s">
        <v>57</v>
      </c>
      <c r="H270" s="26" t="s">
        <v>57</v>
      </c>
      <c r="I270" s="26" t="s">
        <v>90</v>
      </c>
      <c r="J270" s="26" t="s">
        <v>57</v>
      </c>
      <c r="K270" s="27" t="s">
        <v>91</v>
      </c>
      <c r="L270" s="28" t="s">
        <v>56</v>
      </c>
      <c r="M270" s="29" t="str">
        <f t="shared" si="20"/>
        <v>⚠ Missing</v>
      </c>
      <c r="N270" s="42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 t="s">
        <v>61</v>
      </c>
      <c r="AG270" s="33" t="s">
        <v>55</v>
      </c>
      <c r="AH270" s="33" t="s">
        <v>56</v>
      </c>
      <c r="AI270" s="33" t="s">
        <v>57</v>
      </c>
      <c r="AJ270" s="33" t="s">
        <v>58</v>
      </c>
      <c r="AK270" s="33" t="s">
        <v>56</v>
      </c>
      <c r="AL270" s="27"/>
      <c r="AM270" s="34" t="s">
        <v>57</v>
      </c>
      <c r="AN270" s="35" t="str">
        <f t="shared" si="23"/>
        <v>✓ OK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1863</v>
      </c>
      <c r="C271" s="25" t="s">
        <v>1864</v>
      </c>
      <c r="D271" s="23" t="s">
        <v>1332</v>
      </c>
      <c r="E271" s="42">
        <v>46132</v>
      </c>
      <c r="F271" s="26" t="s">
        <v>55</v>
      </c>
      <c r="G271" s="26" t="s">
        <v>57</v>
      </c>
      <c r="H271" s="26" t="s">
        <v>57</v>
      </c>
      <c r="I271" s="26" t="s">
        <v>90</v>
      </c>
      <c r="J271" s="26" t="s">
        <v>57</v>
      </c>
      <c r="K271" s="27" t="s">
        <v>91</v>
      </c>
      <c r="L271" s="28" t="s">
        <v>56</v>
      </c>
      <c r="M271" s="29" t="str">
        <f t="shared" si="20"/>
        <v>⚠ Missing</v>
      </c>
      <c r="N271" s="42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 t="s">
        <v>61</v>
      </c>
      <c r="AG271" s="33" t="s">
        <v>55</v>
      </c>
      <c r="AH271" s="33" t="s">
        <v>56</v>
      </c>
      <c r="AI271" s="33" t="s">
        <v>57</v>
      </c>
      <c r="AJ271" s="33" t="s">
        <v>58</v>
      </c>
      <c r="AK271" s="33" t="s">
        <v>56</v>
      </c>
      <c r="AL271" s="27"/>
      <c r="AM271" s="34" t="s">
        <v>57</v>
      </c>
      <c r="AN271" s="35" t="str">
        <f t="shared" si="23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1865</v>
      </c>
      <c r="C272" s="41" t="s">
        <v>1866</v>
      </c>
      <c r="D272" s="39" t="s">
        <v>1332</v>
      </c>
      <c r="E272" s="42">
        <v>46132</v>
      </c>
      <c r="F272" s="26" t="s">
        <v>55</v>
      </c>
      <c r="G272" s="26" t="s">
        <v>57</v>
      </c>
      <c r="H272" s="26" t="s">
        <v>57</v>
      </c>
      <c r="I272" s="26" t="s">
        <v>90</v>
      </c>
      <c r="J272" s="26" t="s">
        <v>57</v>
      </c>
      <c r="K272" s="27" t="s">
        <v>91</v>
      </c>
      <c r="L272" s="28" t="s">
        <v>56</v>
      </c>
      <c r="M272" s="29" t="str">
        <f t="shared" si="20"/>
        <v>⚠ Missing</v>
      </c>
      <c r="N272" s="42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 t="s">
        <v>61</v>
      </c>
      <c r="AG272" s="33" t="s">
        <v>55</v>
      </c>
      <c r="AH272" s="33" t="s">
        <v>56</v>
      </c>
      <c r="AI272" s="33" t="s">
        <v>57</v>
      </c>
      <c r="AJ272" s="33" t="s">
        <v>58</v>
      </c>
      <c r="AK272" s="33" t="s">
        <v>56</v>
      </c>
      <c r="AL272" s="27"/>
      <c r="AM272" s="34" t="s">
        <v>57</v>
      </c>
      <c r="AN272" s="35" t="str">
        <f t="shared" si="23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1867</v>
      </c>
      <c r="C273" s="25" t="s">
        <v>1868</v>
      </c>
      <c r="D273" s="23" t="s">
        <v>1332</v>
      </c>
      <c r="E273" s="42">
        <v>46132</v>
      </c>
      <c r="F273" s="26" t="s">
        <v>55</v>
      </c>
      <c r="G273" s="26" t="s">
        <v>57</v>
      </c>
      <c r="H273" s="26" t="s">
        <v>57</v>
      </c>
      <c r="I273" s="26" t="s">
        <v>90</v>
      </c>
      <c r="J273" s="26" t="s">
        <v>57</v>
      </c>
      <c r="K273" s="27" t="s">
        <v>91</v>
      </c>
      <c r="L273" s="28" t="s">
        <v>56</v>
      </c>
      <c r="M273" s="29" t="str">
        <f t="shared" si="20"/>
        <v>⚠ Missing</v>
      </c>
      <c r="N273" s="42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 t="s">
        <v>61</v>
      </c>
      <c r="AG273" s="33" t="s">
        <v>55</v>
      </c>
      <c r="AH273" s="33" t="s">
        <v>56</v>
      </c>
      <c r="AI273" s="33" t="s">
        <v>57</v>
      </c>
      <c r="AJ273" s="33" t="s">
        <v>58</v>
      </c>
      <c r="AK273" s="33" t="s">
        <v>56</v>
      </c>
      <c r="AL273" s="27"/>
      <c r="AM273" s="34" t="s">
        <v>57</v>
      </c>
      <c r="AN273" s="35" t="str">
        <f t="shared" si="23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1869</v>
      </c>
      <c r="C274" s="41" t="s">
        <v>1870</v>
      </c>
      <c r="D274" s="39" t="s">
        <v>1332</v>
      </c>
      <c r="E274" s="42">
        <v>46132</v>
      </c>
      <c r="F274" s="26" t="s">
        <v>55</v>
      </c>
      <c r="G274" s="26" t="s">
        <v>57</v>
      </c>
      <c r="H274" s="26" t="s">
        <v>57</v>
      </c>
      <c r="I274" s="26" t="s">
        <v>90</v>
      </c>
      <c r="J274" s="26" t="s">
        <v>57</v>
      </c>
      <c r="K274" s="27" t="s">
        <v>91</v>
      </c>
      <c r="L274" s="28" t="s">
        <v>56</v>
      </c>
      <c r="M274" s="29" t="str">
        <f t="shared" si="20"/>
        <v>⚠ Missing</v>
      </c>
      <c r="N274" s="42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 t="s">
        <v>61</v>
      </c>
      <c r="AG274" s="33" t="s">
        <v>55</v>
      </c>
      <c r="AH274" s="33" t="s">
        <v>56</v>
      </c>
      <c r="AI274" s="33" t="s">
        <v>57</v>
      </c>
      <c r="AJ274" s="33" t="s">
        <v>58</v>
      </c>
      <c r="AK274" s="33" t="s">
        <v>56</v>
      </c>
      <c r="AL274" s="27"/>
      <c r="AM274" s="34" t="s">
        <v>57</v>
      </c>
      <c r="AN274" s="35" t="str">
        <f t="shared" si="23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1871</v>
      </c>
      <c r="C275" s="25" t="s">
        <v>1872</v>
      </c>
      <c r="D275" s="23" t="s">
        <v>1332</v>
      </c>
      <c r="E275" s="42">
        <v>46132</v>
      </c>
      <c r="F275" s="26" t="s">
        <v>55</v>
      </c>
      <c r="G275" s="26" t="s">
        <v>57</v>
      </c>
      <c r="H275" s="26" t="s">
        <v>57</v>
      </c>
      <c r="I275" s="26" t="s">
        <v>90</v>
      </c>
      <c r="J275" s="26" t="s">
        <v>57</v>
      </c>
      <c r="K275" s="27" t="s">
        <v>91</v>
      </c>
      <c r="L275" s="28" t="s">
        <v>56</v>
      </c>
      <c r="M275" s="29" t="str">
        <f t="shared" si="20"/>
        <v>⚠ Missing</v>
      </c>
      <c r="N275" s="42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56</v>
      </c>
      <c r="Z275" s="30" t="s">
        <v>57</v>
      </c>
      <c r="AA275" s="30" t="s">
        <v>58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 t="s">
        <v>61</v>
      </c>
      <c r="AG275" s="33" t="s">
        <v>55</v>
      </c>
      <c r="AH275" s="33" t="s">
        <v>56</v>
      </c>
      <c r="AI275" s="33" t="s">
        <v>57</v>
      </c>
      <c r="AJ275" s="33" t="s">
        <v>58</v>
      </c>
      <c r="AK275" s="33" t="s">
        <v>56</v>
      </c>
      <c r="AL275" s="27"/>
      <c r="AM275" s="34" t="s">
        <v>57</v>
      </c>
      <c r="AN275" s="35" t="str">
        <f t="shared" si="23"/>
        <v>✓ OK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1873</v>
      </c>
      <c r="C276" s="41" t="s">
        <v>1874</v>
      </c>
      <c r="D276" s="39" t="s">
        <v>1332</v>
      </c>
      <c r="E276" s="42">
        <v>46132</v>
      </c>
      <c r="F276" s="26" t="s">
        <v>55</v>
      </c>
      <c r="G276" s="26" t="s">
        <v>57</v>
      </c>
      <c r="H276" s="26" t="s">
        <v>57</v>
      </c>
      <c r="I276" s="26" t="s">
        <v>90</v>
      </c>
      <c r="J276" s="26" t="s">
        <v>57</v>
      </c>
      <c r="K276" s="27" t="s">
        <v>91</v>
      </c>
      <c r="L276" s="28" t="s">
        <v>56</v>
      </c>
      <c r="M276" s="29" t="str">
        <f t="shared" si="20"/>
        <v>⚠ Missing</v>
      </c>
      <c r="N276" s="42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 t="s">
        <v>61</v>
      </c>
      <c r="AG276" s="33" t="s">
        <v>55</v>
      </c>
      <c r="AH276" s="33" t="s">
        <v>56</v>
      </c>
      <c r="AI276" s="33" t="s">
        <v>57</v>
      </c>
      <c r="AJ276" s="33" t="s">
        <v>58</v>
      </c>
      <c r="AK276" s="33" t="s">
        <v>56</v>
      </c>
      <c r="AL276" s="27"/>
      <c r="AM276" s="34" t="s">
        <v>57</v>
      </c>
      <c r="AN276" s="35" t="str">
        <f t="shared" si="23"/>
        <v>✓ OK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1875</v>
      </c>
      <c r="C277" s="25" t="s">
        <v>1876</v>
      </c>
      <c r="D277" s="23" t="s">
        <v>1332</v>
      </c>
      <c r="E277" s="42">
        <v>46132</v>
      </c>
      <c r="F277" s="26" t="s">
        <v>55</v>
      </c>
      <c r="G277" s="26" t="s">
        <v>57</v>
      </c>
      <c r="H277" s="26" t="s">
        <v>57</v>
      </c>
      <c r="I277" s="26" t="s">
        <v>90</v>
      </c>
      <c r="J277" s="26" t="s">
        <v>57</v>
      </c>
      <c r="K277" s="27" t="s">
        <v>91</v>
      </c>
      <c r="L277" s="28" t="s">
        <v>56</v>
      </c>
      <c r="M277" s="29" t="str">
        <f t="shared" si="20"/>
        <v>⚠ Missing</v>
      </c>
      <c r="N277" s="42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 t="s">
        <v>61</v>
      </c>
      <c r="AG277" s="33" t="s">
        <v>55</v>
      </c>
      <c r="AH277" s="33" t="s">
        <v>56</v>
      </c>
      <c r="AI277" s="33" t="s">
        <v>57</v>
      </c>
      <c r="AJ277" s="33" t="s">
        <v>58</v>
      </c>
      <c r="AK277" s="33" t="s">
        <v>56</v>
      </c>
      <c r="AL277" s="27"/>
      <c r="AM277" s="34" t="s">
        <v>57</v>
      </c>
      <c r="AN277" s="35" t="str">
        <f t="shared" si="23"/>
        <v>✓ OK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1877</v>
      </c>
      <c r="C278" s="41" t="s">
        <v>1878</v>
      </c>
      <c r="D278" s="39" t="s">
        <v>1332</v>
      </c>
      <c r="E278" s="42">
        <v>46132</v>
      </c>
      <c r="F278" s="26" t="s">
        <v>55</v>
      </c>
      <c r="G278" s="26" t="s">
        <v>57</v>
      </c>
      <c r="H278" s="26" t="s">
        <v>57</v>
      </c>
      <c r="I278" s="26" t="s">
        <v>90</v>
      </c>
      <c r="J278" s="26" t="s">
        <v>57</v>
      </c>
      <c r="K278" s="27" t="s">
        <v>91</v>
      </c>
      <c r="L278" s="28" t="s">
        <v>56</v>
      </c>
      <c r="M278" s="29" t="str">
        <f t="shared" si="20"/>
        <v>⚠ Missing</v>
      </c>
      <c r="N278" s="42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 t="s">
        <v>61</v>
      </c>
      <c r="AG278" s="33" t="s">
        <v>55</v>
      </c>
      <c r="AH278" s="33" t="s">
        <v>56</v>
      </c>
      <c r="AI278" s="33" t="s">
        <v>57</v>
      </c>
      <c r="AJ278" s="33" t="s">
        <v>58</v>
      </c>
      <c r="AK278" s="33" t="s">
        <v>56</v>
      </c>
      <c r="AL278" s="27"/>
      <c r="AM278" s="34" t="s">
        <v>57</v>
      </c>
      <c r="AN278" s="35" t="str">
        <f t="shared" si="23"/>
        <v>✓ OK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1879</v>
      </c>
      <c r="C279" s="25" t="s">
        <v>1880</v>
      </c>
      <c r="D279" s="23" t="s">
        <v>1332</v>
      </c>
      <c r="E279" s="42">
        <v>46132</v>
      </c>
      <c r="F279" s="26" t="s">
        <v>55</v>
      </c>
      <c r="G279" s="26" t="s">
        <v>57</v>
      </c>
      <c r="H279" s="26" t="s">
        <v>57</v>
      </c>
      <c r="I279" s="26" t="s">
        <v>90</v>
      </c>
      <c r="J279" s="26" t="s">
        <v>57</v>
      </c>
      <c r="K279" s="27" t="s">
        <v>91</v>
      </c>
      <c r="L279" s="28" t="s">
        <v>56</v>
      </c>
      <c r="M279" s="29" t="str">
        <f t="shared" si="20"/>
        <v>⚠ Missing</v>
      </c>
      <c r="N279" s="42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 t="s">
        <v>61</v>
      </c>
      <c r="AG279" s="33" t="s">
        <v>55</v>
      </c>
      <c r="AH279" s="33" t="s">
        <v>56</v>
      </c>
      <c r="AI279" s="33" t="s">
        <v>57</v>
      </c>
      <c r="AJ279" s="33" t="s">
        <v>58</v>
      </c>
      <c r="AK279" s="33" t="s">
        <v>56</v>
      </c>
      <c r="AL279" s="27"/>
      <c r="AM279" s="34" t="s">
        <v>57</v>
      </c>
      <c r="AN279" s="35" t="str">
        <f t="shared" si="23"/>
        <v>✓ OK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1881</v>
      </c>
      <c r="C280" s="41" t="s">
        <v>1882</v>
      </c>
      <c r="D280" s="39" t="s">
        <v>1332</v>
      </c>
      <c r="E280" s="42">
        <v>46132</v>
      </c>
      <c r="F280" s="26" t="s">
        <v>55</v>
      </c>
      <c r="G280" s="26" t="s">
        <v>57</v>
      </c>
      <c r="H280" s="26" t="s">
        <v>57</v>
      </c>
      <c r="I280" s="26" t="s">
        <v>90</v>
      </c>
      <c r="J280" s="26" t="s">
        <v>57</v>
      </c>
      <c r="K280" s="27" t="s">
        <v>91</v>
      </c>
      <c r="L280" s="28" t="s">
        <v>56</v>
      </c>
      <c r="M280" s="29" t="str">
        <f t="shared" si="20"/>
        <v>⚠ Missing</v>
      </c>
      <c r="N280" s="42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 t="s">
        <v>61</v>
      </c>
      <c r="AG280" s="33" t="s">
        <v>55</v>
      </c>
      <c r="AH280" s="33" t="s">
        <v>56</v>
      </c>
      <c r="AI280" s="33" t="s">
        <v>57</v>
      </c>
      <c r="AJ280" s="33" t="s">
        <v>58</v>
      </c>
      <c r="AK280" s="33" t="s">
        <v>56</v>
      </c>
      <c r="AL280" s="27"/>
      <c r="AM280" s="34" t="s">
        <v>57</v>
      </c>
      <c r="AN280" s="35" t="str">
        <f t="shared" si="23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1883</v>
      </c>
      <c r="C281" s="25" t="s">
        <v>1884</v>
      </c>
      <c r="D281" s="23" t="s">
        <v>1332</v>
      </c>
      <c r="E281" s="42">
        <v>46132</v>
      </c>
      <c r="F281" s="26" t="s">
        <v>55</v>
      </c>
      <c r="G281" s="26" t="s">
        <v>57</v>
      </c>
      <c r="H281" s="26" t="s">
        <v>57</v>
      </c>
      <c r="I281" s="26" t="s">
        <v>90</v>
      </c>
      <c r="J281" s="26" t="s">
        <v>57</v>
      </c>
      <c r="K281" s="27" t="s">
        <v>91</v>
      </c>
      <c r="L281" s="28" t="s">
        <v>56</v>
      </c>
      <c r="M281" s="29" t="str">
        <f t="shared" si="20"/>
        <v>⚠ Missing</v>
      </c>
      <c r="N281" s="42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 t="s">
        <v>61</v>
      </c>
      <c r="AG281" s="33" t="s">
        <v>55</v>
      </c>
      <c r="AH281" s="33" t="s">
        <v>56</v>
      </c>
      <c r="AI281" s="33" t="s">
        <v>57</v>
      </c>
      <c r="AJ281" s="33" t="s">
        <v>58</v>
      </c>
      <c r="AK281" s="33" t="s">
        <v>56</v>
      </c>
      <c r="AL281" s="27"/>
      <c r="AM281" s="34" t="s">
        <v>57</v>
      </c>
      <c r="AN281" s="35" t="str">
        <f t="shared" si="23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1885</v>
      </c>
      <c r="C282" s="41" t="s">
        <v>1886</v>
      </c>
      <c r="D282" s="39" t="s">
        <v>1332</v>
      </c>
      <c r="E282" s="42">
        <v>46132</v>
      </c>
      <c r="F282" s="26" t="s">
        <v>55</v>
      </c>
      <c r="G282" s="26" t="s">
        <v>57</v>
      </c>
      <c r="H282" s="26" t="s">
        <v>57</v>
      </c>
      <c r="I282" s="26" t="s">
        <v>90</v>
      </c>
      <c r="J282" s="26" t="s">
        <v>57</v>
      </c>
      <c r="K282" s="27" t="s">
        <v>91</v>
      </c>
      <c r="L282" s="28" t="s">
        <v>56</v>
      </c>
      <c r="M282" s="29" t="str">
        <f t="shared" si="20"/>
        <v>⚠ Missing</v>
      </c>
      <c r="N282" s="42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 t="s">
        <v>61</v>
      </c>
      <c r="AG282" s="33" t="s">
        <v>55</v>
      </c>
      <c r="AH282" s="33" t="s">
        <v>56</v>
      </c>
      <c r="AI282" s="33" t="s">
        <v>57</v>
      </c>
      <c r="AJ282" s="33" t="s">
        <v>58</v>
      </c>
      <c r="AK282" s="33" t="s">
        <v>56</v>
      </c>
      <c r="AL282" s="27"/>
      <c r="AM282" s="34" t="s">
        <v>57</v>
      </c>
      <c r="AN282" s="35" t="str">
        <f t="shared" si="23"/>
        <v>✓ OK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1887</v>
      </c>
      <c r="C283" s="25" t="s">
        <v>1888</v>
      </c>
      <c r="D283" s="23" t="s">
        <v>1332</v>
      </c>
      <c r="E283" s="42">
        <v>46132</v>
      </c>
      <c r="F283" s="26" t="s">
        <v>55</v>
      </c>
      <c r="G283" s="26" t="s">
        <v>57</v>
      </c>
      <c r="H283" s="26" t="s">
        <v>57</v>
      </c>
      <c r="I283" s="26" t="s">
        <v>90</v>
      </c>
      <c r="J283" s="26" t="s">
        <v>57</v>
      </c>
      <c r="K283" s="27" t="s">
        <v>91</v>
      </c>
      <c r="L283" s="28" t="s">
        <v>56</v>
      </c>
      <c r="M283" s="29" t="str">
        <f t="shared" si="20"/>
        <v>⚠ Missing</v>
      </c>
      <c r="N283" s="42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 t="s">
        <v>61</v>
      </c>
      <c r="AG283" s="33" t="s">
        <v>55</v>
      </c>
      <c r="AH283" s="33" t="s">
        <v>56</v>
      </c>
      <c r="AI283" s="33" t="s">
        <v>57</v>
      </c>
      <c r="AJ283" s="33" t="s">
        <v>58</v>
      </c>
      <c r="AK283" s="33" t="s">
        <v>56</v>
      </c>
      <c r="AL283" s="27"/>
      <c r="AM283" s="34" t="s">
        <v>57</v>
      </c>
      <c r="AN283" s="35" t="str">
        <f t="shared" si="23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1889</v>
      </c>
      <c r="C284" s="41" t="s">
        <v>1890</v>
      </c>
      <c r="D284" s="39" t="s">
        <v>1332</v>
      </c>
      <c r="E284" s="42">
        <v>46132</v>
      </c>
      <c r="F284" s="26" t="s">
        <v>55</v>
      </c>
      <c r="G284" s="26" t="s">
        <v>57</v>
      </c>
      <c r="H284" s="26" t="s">
        <v>57</v>
      </c>
      <c r="I284" s="26" t="s">
        <v>90</v>
      </c>
      <c r="J284" s="26" t="s">
        <v>57</v>
      </c>
      <c r="K284" s="27" t="s">
        <v>91</v>
      </c>
      <c r="L284" s="28" t="s">
        <v>56</v>
      </c>
      <c r="M284" s="29" t="str">
        <f t="shared" si="20"/>
        <v>⚠ Missing</v>
      </c>
      <c r="N284" s="42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 t="s">
        <v>61</v>
      </c>
      <c r="AG284" s="33" t="s">
        <v>55</v>
      </c>
      <c r="AH284" s="33" t="s">
        <v>56</v>
      </c>
      <c r="AI284" s="33" t="s">
        <v>57</v>
      </c>
      <c r="AJ284" s="33" t="s">
        <v>58</v>
      </c>
      <c r="AK284" s="33" t="s">
        <v>56</v>
      </c>
      <c r="AL284" s="27"/>
      <c r="AM284" s="34" t="s">
        <v>57</v>
      </c>
      <c r="AN284" s="35" t="str">
        <f t="shared" si="23"/>
        <v>✓ OK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1891</v>
      </c>
      <c r="C285" s="25" t="s">
        <v>1892</v>
      </c>
      <c r="D285" s="23" t="s">
        <v>1332</v>
      </c>
      <c r="E285" s="42">
        <v>46132</v>
      </c>
      <c r="F285" s="26" t="s">
        <v>55</v>
      </c>
      <c r="G285" s="26" t="s">
        <v>57</v>
      </c>
      <c r="H285" s="26" t="s">
        <v>57</v>
      </c>
      <c r="I285" s="26" t="s">
        <v>90</v>
      </c>
      <c r="J285" s="26" t="s">
        <v>57</v>
      </c>
      <c r="K285" s="27" t="s">
        <v>91</v>
      </c>
      <c r="L285" s="28" t="s">
        <v>56</v>
      </c>
      <c r="M285" s="29" t="str">
        <f t="shared" si="20"/>
        <v>⚠ Missing</v>
      </c>
      <c r="N285" s="42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56</v>
      </c>
      <c r="Z285" s="30" t="s">
        <v>57</v>
      </c>
      <c r="AA285" s="30" t="s">
        <v>58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 t="s">
        <v>61</v>
      </c>
      <c r="AG285" s="33" t="s">
        <v>55</v>
      </c>
      <c r="AH285" s="33" t="s">
        <v>56</v>
      </c>
      <c r="AI285" s="33" t="s">
        <v>57</v>
      </c>
      <c r="AJ285" s="33" t="s">
        <v>58</v>
      </c>
      <c r="AK285" s="33" t="s">
        <v>56</v>
      </c>
      <c r="AL285" s="27"/>
      <c r="AM285" s="34" t="s">
        <v>57</v>
      </c>
      <c r="AN285" s="35" t="str">
        <f t="shared" si="23"/>
        <v>✓ OK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1893</v>
      </c>
      <c r="C286" s="41" t="s">
        <v>1894</v>
      </c>
      <c r="D286" s="39" t="s">
        <v>1332</v>
      </c>
      <c r="E286" s="42">
        <v>46132</v>
      </c>
      <c r="F286" s="26" t="s">
        <v>55</v>
      </c>
      <c r="G286" s="26" t="s">
        <v>57</v>
      </c>
      <c r="H286" s="26" t="s">
        <v>57</v>
      </c>
      <c r="I286" s="26" t="s">
        <v>90</v>
      </c>
      <c r="J286" s="26" t="s">
        <v>57</v>
      </c>
      <c r="K286" s="27" t="s">
        <v>91</v>
      </c>
      <c r="L286" s="28" t="s">
        <v>56</v>
      </c>
      <c r="M286" s="29" t="str">
        <f t="shared" si="20"/>
        <v>⚠ Missing</v>
      </c>
      <c r="N286" s="42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 t="s">
        <v>61</v>
      </c>
      <c r="AG286" s="33" t="s">
        <v>55</v>
      </c>
      <c r="AH286" s="33" t="s">
        <v>56</v>
      </c>
      <c r="AI286" s="33" t="s">
        <v>57</v>
      </c>
      <c r="AJ286" s="33" t="s">
        <v>58</v>
      </c>
      <c r="AK286" s="33" t="s">
        <v>56</v>
      </c>
      <c r="AL286" s="27"/>
      <c r="AM286" s="34" t="s">
        <v>57</v>
      </c>
      <c r="AN286" s="35" t="str">
        <f t="shared" si="23"/>
        <v>✓ OK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1895</v>
      </c>
      <c r="C287" s="25" t="s">
        <v>1896</v>
      </c>
      <c r="D287" s="23" t="s">
        <v>1332</v>
      </c>
      <c r="E287" s="42">
        <v>46132</v>
      </c>
      <c r="F287" s="26" t="s">
        <v>55</v>
      </c>
      <c r="G287" s="26" t="s">
        <v>57</v>
      </c>
      <c r="H287" s="26" t="s">
        <v>57</v>
      </c>
      <c r="I287" s="26" t="s">
        <v>90</v>
      </c>
      <c r="J287" s="26" t="s">
        <v>57</v>
      </c>
      <c r="K287" s="27" t="s">
        <v>91</v>
      </c>
      <c r="L287" s="28" t="s">
        <v>56</v>
      </c>
      <c r="M287" s="29" t="str">
        <f t="shared" si="20"/>
        <v>⚠ Missing</v>
      </c>
      <c r="N287" s="42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 t="s">
        <v>61</v>
      </c>
      <c r="AG287" s="33" t="s">
        <v>55</v>
      </c>
      <c r="AH287" s="33" t="s">
        <v>56</v>
      </c>
      <c r="AI287" s="33" t="s">
        <v>57</v>
      </c>
      <c r="AJ287" s="33" t="s">
        <v>58</v>
      </c>
      <c r="AK287" s="33" t="s">
        <v>56</v>
      </c>
      <c r="AL287" s="27"/>
      <c r="AM287" s="34" t="s">
        <v>57</v>
      </c>
      <c r="AN287" s="35" t="str">
        <f t="shared" si="23"/>
        <v>✓ OK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1897</v>
      </c>
      <c r="C288" s="41" t="s">
        <v>1898</v>
      </c>
      <c r="D288" s="39" t="s">
        <v>1332</v>
      </c>
      <c r="E288" s="42">
        <v>46132</v>
      </c>
      <c r="F288" s="26" t="s">
        <v>55</v>
      </c>
      <c r="G288" s="26" t="s">
        <v>57</v>
      </c>
      <c r="H288" s="26" t="s">
        <v>57</v>
      </c>
      <c r="I288" s="26" t="s">
        <v>90</v>
      </c>
      <c r="J288" s="26" t="s">
        <v>57</v>
      </c>
      <c r="K288" s="27" t="s">
        <v>91</v>
      </c>
      <c r="L288" s="28" t="s">
        <v>56</v>
      </c>
      <c r="M288" s="29" t="str">
        <f t="shared" si="20"/>
        <v>⚠ Missing</v>
      </c>
      <c r="N288" s="42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 t="s">
        <v>61</v>
      </c>
      <c r="AG288" s="33" t="s">
        <v>55</v>
      </c>
      <c r="AH288" s="33" t="s">
        <v>56</v>
      </c>
      <c r="AI288" s="33" t="s">
        <v>57</v>
      </c>
      <c r="AJ288" s="33" t="s">
        <v>58</v>
      </c>
      <c r="AK288" s="33" t="s">
        <v>56</v>
      </c>
      <c r="AL288" s="27"/>
      <c r="AM288" s="34" t="s">
        <v>57</v>
      </c>
      <c r="AN288" s="35" t="str">
        <f t="shared" si="23"/>
        <v>✓ OK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1899</v>
      </c>
      <c r="C289" s="25" t="s">
        <v>1900</v>
      </c>
      <c r="D289" s="23" t="s">
        <v>1332</v>
      </c>
      <c r="E289" s="42">
        <v>46132</v>
      </c>
      <c r="F289" s="26" t="s">
        <v>55</v>
      </c>
      <c r="G289" s="26" t="s">
        <v>57</v>
      </c>
      <c r="H289" s="26" t="s">
        <v>57</v>
      </c>
      <c r="I289" s="26" t="s">
        <v>90</v>
      </c>
      <c r="J289" s="26" t="s">
        <v>57</v>
      </c>
      <c r="K289" s="27" t="s">
        <v>91</v>
      </c>
      <c r="L289" s="28" t="s">
        <v>56</v>
      </c>
      <c r="M289" s="29" t="str">
        <f t="shared" si="20"/>
        <v>⚠ Missing</v>
      </c>
      <c r="N289" s="42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 t="s">
        <v>61</v>
      </c>
      <c r="AG289" s="33" t="s">
        <v>55</v>
      </c>
      <c r="AH289" s="33" t="s">
        <v>56</v>
      </c>
      <c r="AI289" s="33" t="s">
        <v>57</v>
      </c>
      <c r="AJ289" s="33" t="s">
        <v>58</v>
      </c>
      <c r="AK289" s="33" t="s">
        <v>56</v>
      </c>
      <c r="AL289" s="27"/>
      <c r="AM289" s="34" t="s">
        <v>57</v>
      </c>
      <c r="AN289" s="35" t="str">
        <f t="shared" si="23"/>
        <v>✓ OK</v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1901</v>
      </c>
      <c r="C290" s="41" t="s">
        <v>1902</v>
      </c>
      <c r="D290" s="39" t="s">
        <v>1332</v>
      </c>
      <c r="E290" s="42">
        <v>46132</v>
      </c>
      <c r="F290" s="26" t="s">
        <v>55</v>
      </c>
      <c r="G290" s="26" t="s">
        <v>57</v>
      </c>
      <c r="H290" s="26" t="s">
        <v>57</v>
      </c>
      <c r="I290" s="26" t="s">
        <v>90</v>
      </c>
      <c r="J290" s="26" t="s">
        <v>57</v>
      </c>
      <c r="K290" s="27" t="s">
        <v>91</v>
      </c>
      <c r="L290" s="28" t="s">
        <v>56</v>
      </c>
      <c r="M290" s="29" t="str">
        <f t="shared" si="20"/>
        <v>⚠ Missing</v>
      </c>
      <c r="N290" s="42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56</v>
      </c>
      <c r="Z290" s="30" t="s">
        <v>57</v>
      </c>
      <c r="AA290" s="30" t="s">
        <v>58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 t="s">
        <v>61</v>
      </c>
      <c r="AG290" s="33" t="s">
        <v>55</v>
      </c>
      <c r="AH290" s="33" t="s">
        <v>56</v>
      </c>
      <c r="AI290" s="33" t="s">
        <v>57</v>
      </c>
      <c r="AJ290" s="33" t="s">
        <v>58</v>
      </c>
      <c r="AK290" s="33" t="s">
        <v>56</v>
      </c>
      <c r="AL290" s="27"/>
      <c r="AM290" s="34" t="s">
        <v>57</v>
      </c>
      <c r="AN290" s="35" t="str">
        <f t="shared" si="23"/>
        <v>✓ OK</v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1903</v>
      </c>
      <c r="C291" s="25" t="s">
        <v>1904</v>
      </c>
      <c r="D291" s="23" t="s">
        <v>1332</v>
      </c>
      <c r="E291" s="42">
        <v>46132</v>
      </c>
      <c r="F291" s="26" t="s">
        <v>55</v>
      </c>
      <c r="G291" s="26" t="s">
        <v>57</v>
      </c>
      <c r="H291" s="26" t="s">
        <v>57</v>
      </c>
      <c r="I291" s="26" t="s">
        <v>90</v>
      </c>
      <c r="J291" s="26" t="s">
        <v>57</v>
      </c>
      <c r="K291" s="27" t="s">
        <v>91</v>
      </c>
      <c r="L291" s="28" t="s">
        <v>56</v>
      </c>
      <c r="M291" s="29" t="str">
        <f t="shared" si="20"/>
        <v>⚠ Missing</v>
      </c>
      <c r="N291" s="42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 t="s">
        <v>61</v>
      </c>
      <c r="AG291" s="33" t="s">
        <v>55</v>
      </c>
      <c r="AH291" s="33" t="s">
        <v>56</v>
      </c>
      <c r="AI291" s="33" t="s">
        <v>57</v>
      </c>
      <c r="AJ291" s="33" t="s">
        <v>58</v>
      </c>
      <c r="AK291" s="33" t="s">
        <v>56</v>
      </c>
      <c r="AL291" s="27"/>
      <c r="AM291" s="34" t="s">
        <v>57</v>
      </c>
      <c r="AN291" s="35" t="str">
        <f t="shared" si="23"/>
        <v>✓ OK</v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1905</v>
      </c>
      <c r="C292" s="41" t="s">
        <v>1906</v>
      </c>
      <c r="D292" s="39" t="s">
        <v>1332</v>
      </c>
      <c r="E292" s="42">
        <v>46132</v>
      </c>
      <c r="F292" s="26" t="s">
        <v>55</v>
      </c>
      <c r="G292" s="26" t="s">
        <v>57</v>
      </c>
      <c r="H292" s="26" t="s">
        <v>57</v>
      </c>
      <c r="I292" s="26" t="s">
        <v>90</v>
      </c>
      <c r="J292" s="26" t="s">
        <v>57</v>
      </c>
      <c r="K292" s="27" t="s">
        <v>91</v>
      </c>
      <c r="L292" s="28" t="s">
        <v>56</v>
      </c>
      <c r="M292" s="29" t="str">
        <f t="shared" si="20"/>
        <v>⚠ Missing</v>
      </c>
      <c r="N292" s="42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56</v>
      </c>
      <c r="Z292" s="30" t="s">
        <v>57</v>
      </c>
      <c r="AA292" s="30" t="s">
        <v>58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 t="s">
        <v>61</v>
      </c>
      <c r="AG292" s="33" t="s">
        <v>55</v>
      </c>
      <c r="AH292" s="33" t="s">
        <v>56</v>
      </c>
      <c r="AI292" s="33" t="s">
        <v>57</v>
      </c>
      <c r="AJ292" s="33" t="s">
        <v>58</v>
      </c>
      <c r="AK292" s="33" t="s">
        <v>56</v>
      </c>
      <c r="AL292" s="27"/>
      <c r="AM292" s="34" t="s">
        <v>57</v>
      </c>
      <c r="AN292" s="35" t="str">
        <f t="shared" si="23"/>
        <v>✓ OK</v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1907</v>
      </c>
      <c r="C293" s="25" t="s">
        <v>1908</v>
      </c>
      <c r="D293" s="23" t="s">
        <v>1332</v>
      </c>
      <c r="E293" s="42">
        <v>46132</v>
      </c>
      <c r="F293" s="26" t="s">
        <v>55</v>
      </c>
      <c r="G293" s="26" t="s">
        <v>57</v>
      </c>
      <c r="H293" s="26" t="s">
        <v>57</v>
      </c>
      <c r="I293" s="26" t="s">
        <v>90</v>
      </c>
      <c r="J293" s="26" t="s">
        <v>57</v>
      </c>
      <c r="K293" s="27" t="s">
        <v>91</v>
      </c>
      <c r="L293" s="28" t="s">
        <v>56</v>
      </c>
      <c r="M293" s="29" t="str">
        <f t="shared" si="20"/>
        <v>⚠ Missing</v>
      </c>
      <c r="N293" s="42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70">
        <v>46248</v>
      </c>
      <c r="X293" s="30" t="s">
        <v>55</v>
      </c>
      <c r="Y293" s="30" t="s">
        <v>56</v>
      </c>
      <c r="Z293" s="30" t="s">
        <v>57</v>
      </c>
      <c r="AA293" s="30" t="s">
        <v>58</v>
      </c>
      <c r="AB293" s="30" t="s">
        <v>56</v>
      </c>
      <c r="AC293" s="27"/>
      <c r="AD293" s="31" t="s">
        <v>57</v>
      </c>
      <c r="AE293" s="32" t="str">
        <f t="shared" si="22"/>
        <v>✓ OK</v>
      </c>
      <c r="AF293" s="33" t="s">
        <v>61</v>
      </c>
      <c r="AG293" s="33" t="s">
        <v>55</v>
      </c>
      <c r="AH293" s="33" t="s">
        <v>56</v>
      </c>
      <c r="AI293" s="33" t="s">
        <v>57</v>
      </c>
      <c r="AJ293" s="33" t="s">
        <v>58</v>
      </c>
      <c r="AK293" s="33" t="s">
        <v>56</v>
      </c>
      <c r="AL293" s="27"/>
      <c r="AM293" s="34" t="s">
        <v>57</v>
      </c>
      <c r="AN293" s="35" t="str">
        <f t="shared" si="23"/>
        <v>✓ OK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1909</v>
      </c>
      <c r="C294" s="41" t="s">
        <v>1910</v>
      </c>
      <c r="D294" s="39" t="s">
        <v>1332</v>
      </c>
      <c r="E294" s="42">
        <v>46132</v>
      </c>
      <c r="F294" s="26" t="s">
        <v>55</v>
      </c>
      <c r="G294" s="26" t="s">
        <v>57</v>
      </c>
      <c r="H294" s="26" t="s">
        <v>57</v>
      </c>
      <c r="I294" s="26" t="s">
        <v>90</v>
      </c>
      <c r="J294" s="26" t="s">
        <v>57</v>
      </c>
      <c r="K294" s="27" t="s">
        <v>91</v>
      </c>
      <c r="L294" s="28" t="s">
        <v>56</v>
      </c>
      <c r="M294" s="29" t="str">
        <f t="shared" si="20"/>
        <v>⚠ Missing</v>
      </c>
      <c r="N294" s="42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 t="s">
        <v>61</v>
      </c>
      <c r="AG294" s="33" t="s">
        <v>55</v>
      </c>
      <c r="AH294" s="33" t="s">
        <v>56</v>
      </c>
      <c r="AI294" s="33" t="s">
        <v>57</v>
      </c>
      <c r="AJ294" s="33" t="s">
        <v>58</v>
      </c>
      <c r="AK294" s="33" t="s">
        <v>56</v>
      </c>
      <c r="AL294" s="27"/>
      <c r="AM294" s="34" t="s">
        <v>57</v>
      </c>
      <c r="AN294" s="35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1911</v>
      </c>
      <c r="C295" s="25" t="s">
        <v>1912</v>
      </c>
      <c r="D295" s="23" t="s">
        <v>1332</v>
      </c>
      <c r="E295" s="42">
        <v>46132</v>
      </c>
      <c r="F295" s="26" t="s">
        <v>55</v>
      </c>
      <c r="G295" s="26" t="s">
        <v>57</v>
      </c>
      <c r="H295" s="26" t="s">
        <v>57</v>
      </c>
      <c r="I295" s="26" t="s">
        <v>90</v>
      </c>
      <c r="J295" s="26" t="s">
        <v>57</v>
      </c>
      <c r="K295" s="27" t="s">
        <v>91</v>
      </c>
      <c r="L295" s="28" t="s">
        <v>56</v>
      </c>
      <c r="M295" s="29" t="str">
        <f t="shared" si="20"/>
        <v>⚠ Missing</v>
      </c>
      <c r="N295" s="42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56</v>
      </c>
      <c r="Z295" s="30" t="s">
        <v>57</v>
      </c>
      <c r="AA295" s="30" t="s">
        <v>58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 t="s">
        <v>61</v>
      </c>
      <c r="AG295" s="33" t="s">
        <v>55</v>
      </c>
      <c r="AH295" s="33" t="s">
        <v>56</v>
      </c>
      <c r="AI295" s="33" t="s">
        <v>57</v>
      </c>
      <c r="AJ295" s="33" t="s">
        <v>58</v>
      </c>
      <c r="AK295" s="33" t="s">
        <v>56</v>
      </c>
      <c r="AL295" s="27"/>
      <c r="AM295" s="34" t="s">
        <v>57</v>
      </c>
      <c r="AN295" s="35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1913</v>
      </c>
      <c r="C296" s="41" t="s">
        <v>1914</v>
      </c>
      <c r="D296" s="39" t="s">
        <v>1332</v>
      </c>
      <c r="E296" s="42">
        <v>46132</v>
      </c>
      <c r="F296" s="26" t="s">
        <v>55</v>
      </c>
      <c r="G296" s="26" t="s">
        <v>57</v>
      </c>
      <c r="H296" s="26" t="s">
        <v>57</v>
      </c>
      <c r="I296" s="26" t="s">
        <v>90</v>
      </c>
      <c r="J296" s="26" t="s">
        <v>57</v>
      </c>
      <c r="K296" s="27" t="s">
        <v>91</v>
      </c>
      <c r="L296" s="28" t="s">
        <v>56</v>
      </c>
      <c r="M296" s="29" t="str">
        <f t="shared" si="20"/>
        <v>⚠ Missing</v>
      </c>
      <c r="N296" s="42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70">
        <v>46248</v>
      </c>
      <c r="X296" s="30" t="s">
        <v>55</v>
      </c>
      <c r="Y296" s="30" t="s">
        <v>56</v>
      </c>
      <c r="Z296" s="30" t="s">
        <v>57</v>
      </c>
      <c r="AA296" s="30" t="s">
        <v>58</v>
      </c>
      <c r="AB296" s="30" t="s">
        <v>56</v>
      </c>
      <c r="AC296" s="27"/>
      <c r="AD296" s="31" t="s">
        <v>57</v>
      </c>
      <c r="AE296" s="32" t="str">
        <f t="shared" si="22"/>
        <v>✓ OK</v>
      </c>
      <c r="AF296" s="33" t="s">
        <v>61</v>
      </c>
      <c r="AG296" s="33" t="s">
        <v>55</v>
      </c>
      <c r="AH296" s="33" t="s">
        <v>56</v>
      </c>
      <c r="AI296" s="33" t="s">
        <v>57</v>
      </c>
      <c r="AJ296" s="33" t="s">
        <v>58</v>
      </c>
      <c r="AK296" s="33" t="s">
        <v>56</v>
      </c>
      <c r="AL296" s="27"/>
      <c r="AM296" s="34" t="s">
        <v>57</v>
      </c>
      <c r="AN296" s="35" t="str">
        <f t="shared" si="23"/>
        <v>✓ OK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1915</v>
      </c>
      <c r="C297" s="25" t="s">
        <v>1916</v>
      </c>
      <c r="D297" s="23" t="s">
        <v>1332</v>
      </c>
      <c r="E297" s="42">
        <v>46132</v>
      </c>
      <c r="F297" s="26" t="s">
        <v>55</v>
      </c>
      <c r="G297" s="26" t="s">
        <v>57</v>
      </c>
      <c r="H297" s="26" t="s">
        <v>57</v>
      </c>
      <c r="I297" s="26" t="s">
        <v>90</v>
      </c>
      <c r="J297" s="26" t="s">
        <v>57</v>
      </c>
      <c r="K297" s="27" t="s">
        <v>91</v>
      </c>
      <c r="L297" s="28" t="s">
        <v>56</v>
      </c>
      <c r="M297" s="29" t="str">
        <f t="shared" si="20"/>
        <v>⚠ Missing</v>
      </c>
      <c r="N297" s="42">
        <v>46185</v>
      </c>
      <c r="O297" s="26" t="s">
        <v>55</v>
      </c>
      <c r="P297" s="26" t="s">
        <v>56</v>
      </c>
      <c r="Q297" s="26" t="s">
        <v>57</v>
      </c>
      <c r="R297" s="26" t="s">
        <v>58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70">
        <v>46248</v>
      </c>
      <c r="X297" s="30" t="s">
        <v>55</v>
      </c>
      <c r="Y297" s="30" t="s">
        <v>56</v>
      </c>
      <c r="Z297" s="30" t="s">
        <v>57</v>
      </c>
      <c r="AA297" s="30" t="s">
        <v>58</v>
      </c>
      <c r="AB297" s="30" t="s">
        <v>56</v>
      </c>
      <c r="AC297" s="27"/>
      <c r="AD297" s="31" t="s">
        <v>57</v>
      </c>
      <c r="AE297" s="32" t="str">
        <f t="shared" si="22"/>
        <v>✓ OK</v>
      </c>
      <c r="AF297" s="33" t="s">
        <v>61</v>
      </c>
      <c r="AG297" s="33" t="s">
        <v>55</v>
      </c>
      <c r="AH297" s="33" t="s">
        <v>56</v>
      </c>
      <c r="AI297" s="33" t="s">
        <v>57</v>
      </c>
      <c r="AJ297" s="33" t="s">
        <v>58</v>
      </c>
      <c r="AK297" s="33" t="s">
        <v>56</v>
      </c>
      <c r="AL297" s="27"/>
      <c r="AM297" s="34" t="s">
        <v>57</v>
      </c>
      <c r="AN297" s="35" t="str">
        <f t="shared" si="23"/>
        <v>✓ OK</v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1917</v>
      </c>
      <c r="C298" s="41" t="s">
        <v>1918</v>
      </c>
      <c r="D298" s="39" t="s">
        <v>1332</v>
      </c>
      <c r="E298" s="42">
        <v>46132</v>
      </c>
      <c r="F298" s="26" t="s">
        <v>55</v>
      </c>
      <c r="G298" s="26" t="s">
        <v>57</v>
      </c>
      <c r="H298" s="26" t="s">
        <v>57</v>
      </c>
      <c r="I298" s="26" t="s">
        <v>90</v>
      </c>
      <c r="J298" s="26" t="s">
        <v>57</v>
      </c>
      <c r="K298" s="27" t="s">
        <v>91</v>
      </c>
      <c r="L298" s="28" t="s">
        <v>56</v>
      </c>
      <c r="M298" s="29" t="str">
        <f t="shared" si="20"/>
        <v>⚠ Missing</v>
      </c>
      <c r="N298" s="42">
        <v>46185</v>
      </c>
      <c r="O298" s="26" t="s">
        <v>55</v>
      </c>
      <c r="P298" s="26" t="s">
        <v>56</v>
      </c>
      <c r="Q298" s="26" t="s">
        <v>57</v>
      </c>
      <c r="R298" s="26" t="s">
        <v>58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70">
        <v>46248</v>
      </c>
      <c r="X298" s="30" t="s">
        <v>55</v>
      </c>
      <c r="Y298" s="30" t="s">
        <v>56</v>
      </c>
      <c r="Z298" s="30" t="s">
        <v>57</v>
      </c>
      <c r="AA298" s="30" t="s">
        <v>58</v>
      </c>
      <c r="AB298" s="30" t="s">
        <v>56</v>
      </c>
      <c r="AC298" s="27"/>
      <c r="AD298" s="31" t="s">
        <v>57</v>
      </c>
      <c r="AE298" s="32" t="str">
        <f t="shared" si="22"/>
        <v>✓ OK</v>
      </c>
      <c r="AF298" s="33" t="s">
        <v>61</v>
      </c>
      <c r="AG298" s="33" t="s">
        <v>55</v>
      </c>
      <c r="AH298" s="33" t="s">
        <v>56</v>
      </c>
      <c r="AI298" s="33" t="s">
        <v>57</v>
      </c>
      <c r="AJ298" s="33" t="s">
        <v>58</v>
      </c>
      <c r="AK298" s="33" t="s">
        <v>56</v>
      </c>
      <c r="AL298" s="27"/>
      <c r="AM298" s="34" t="s">
        <v>57</v>
      </c>
      <c r="AN298" s="35" t="str">
        <f t="shared" si="23"/>
        <v>✓ OK</v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1919</v>
      </c>
      <c r="C299" s="25" t="s">
        <v>1920</v>
      </c>
      <c r="D299" s="23" t="s">
        <v>1332</v>
      </c>
      <c r="E299" s="42">
        <v>46132</v>
      </c>
      <c r="F299" s="26" t="s">
        <v>55</v>
      </c>
      <c r="G299" s="26" t="s">
        <v>57</v>
      </c>
      <c r="H299" s="26" t="s">
        <v>57</v>
      </c>
      <c r="I299" s="26" t="s">
        <v>90</v>
      </c>
      <c r="J299" s="26" t="s">
        <v>57</v>
      </c>
      <c r="K299" s="27" t="s">
        <v>91</v>
      </c>
      <c r="L299" s="28" t="s">
        <v>56</v>
      </c>
      <c r="M299" s="29" t="str">
        <f t="shared" si="20"/>
        <v>⚠ Missing</v>
      </c>
      <c r="N299" s="42">
        <v>46185</v>
      </c>
      <c r="O299" s="26" t="s">
        <v>55</v>
      </c>
      <c r="P299" s="26" t="s">
        <v>56</v>
      </c>
      <c r="Q299" s="26" t="s">
        <v>57</v>
      </c>
      <c r="R299" s="26" t="s">
        <v>58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70">
        <v>46248</v>
      </c>
      <c r="X299" s="30" t="s">
        <v>55</v>
      </c>
      <c r="Y299" s="30" t="s">
        <v>56</v>
      </c>
      <c r="Z299" s="30" t="s">
        <v>57</v>
      </c>
      <c r="AA299" s="30" t="s">
        <v>58</v>
      </c>
      <c r="AB299" s="30" t="s">
        <v>56</v>
      </c>
      <c r="AC299" s="27"/>
      <c r="AD299" s="31" t="s">
        <v>57</v>
      </c>
      <c r="AE299" s="32" t="str">
        <f t="shared" si="22"/>
        <v>✓ OK</v>
      </c>
      <c r="AF299" s="33" t="s">
        <v>61</v>
      </c>
      <c r="AG299" s="33" t="s">
        <v>55</v>
      </c>
      <c r="AH299" s="33" t="s">
        <v>56</v>
      </c>
      <c r="AI299" s="33" t="s">
        <v>57</v>
      </c>
      <c r="AJ299" s="33" t="s">
        <v>58</v>
      </c>
      <c r="AK299" s="33" t="s">
        <v>56</v>
      </c>
      <c r="AL299" s="27"/>
      <c r="AM299" s="34" t="s">
        <v>57</v>
      </c>
      <c r="AN299" s="35" t="str">
        <f t="shared" si="23"/>
        <v>✓ OK</v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1921</v>
      </c>
      <c r="C300" s="41" t="s">
        <v>1922</v>
      </c>
      <c r="D300" s="39" t="s">
        <v>1332</v>
      </c>
      <c r="E300" s="42">
        <v>46132</v>
      </c>
      <c r="F300" s="26" t="s">
        <v>55</v>
      </c>
      <c r="G300" s="26" t="s">
        <v>57</v>
      </c>
      <c r="H300" s="26" t="s">
        <v>57</v>
      </c>
      <c r="I300" s="26" t="s">
        <v>90</v>
      </c>
      <c r="J300" s="26" t="s">
        <v>57</v>
      </c>
      <c r="K300" s="27" t="s">
        <v>91</v>
      </c>
      <c r="L300" s="28" t="s">
        <v>56</v>
      </c>
      <c r="M300" s="29" t="str">
        <f t="shared" si="20"/>
        <v>⚠ Missing</v>
      </c>
      <c r="N300" s="42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70">
        <v>46248</v>
      </c>
      <c r="X300" s="30" t="s">
        <v>55</v>
      </c>
      <c r="Y300" s="30" t="s">
        <v>56</v>
      </c>
      <c r="Z300" s="30" t="s">
        <v>57</v>
      </c>
      <c r="AA300" s="30" t="s">
        <v>58</v>
      </c>
      <c r="AB300" s="30" t="s">
        <v>56</v>
      </c>
      <c r="AC300" s="27"/>
      <c r="AD300" s="31" t="s">
        <v>57</v>
      </c>
      <c r="AE300" s="32" t="str">
        <f t="shared" si="22"/>
        <v>✓ OK</v>
      </c>
      <c r="AF300" s="33" t="s">
        <v>61</v>
      </c>
      <c r="AG300" s="33" t="s">
        <v>55</v>
      </c>
      <c r="AH300" s="33" t="s">
        <v>56</v>
      </c>
      <c r="AI300" s="33" t="s">
        <v>57</v>
      </c>
      <c r="AJ300" s="33" t="s">
        <v>58</v>
      </c>
      <c r="AK300" s="33" t="s">
        <v>56</v>
      </c>
      <c r="AL300" s="27"/>
      <c r="AM300" s="34" t="s">
        <v>57</v>
      </c>
      <c r="AN300" s="35" t="str">
        <f t="shared" si="23"/>
        <v>✓ OK</v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1923</v>
      </c>
      <c r="C301" s="25" t="s">
        <v>1924</v>
      </c>
      <c r="D301" s="23" t="s">
        <v>1332</v>
      </c>
      <c r="E301" s="42">
        <v>46132</v>
      </c>
      <c r="F301" s="26" t="s">
        <v>55</v>
      </c>
      <c r="G301" s="26" t="s">
        <v>57</v>
      </c>
      <c r="H301" s="26" t="s">
        <v>57</v>
      </c>
      <c r="I301" s="26" t="s">
        <v>90</v>
      </c>
      <c r="J301" s="26" t="s">
        <v>57</v>
      </c>
      <c r="K301" s="27" t="s">
        <v>91</v>
      </c>
      <c r="L301" s="28" t="s">
        <v>56</v>
      </c>
      <c r="M301" s="29" t="str">
        <f t="shared" si="20"/>
        <v>⚠ Missing</v>
      </c>
      <c r="N301" s="42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70">
        <v>46248</v>
      </c>
      <c r="X301" s="30" t="s">
        <v>55</v>
      </c>
      <c r="Y301" s="30" t="s">
        <v>56</v>
      </c>
      <c r="Z301" s="30" t="s">
        <v>57</v>
      </c>
      <c r="AA301" s="30" t="s">
        <v>58</v>
      </c>
      <c r="AB301" s="30" t="s">
        <v>56</v>
      </c>
      <c r="AC301" s="27"/>
      <c r="AD301" s="31" t="s">
        <v>57</v>
      </c>
      <c r="AE301" s="32" t="str">
        <f t="shared" si="22"/>
        <v>✓ OK</v>
      </c>
      <c r="AF301" s="33" t="s">
        <v>61</v>
      </c>
      <c r="AG301" s="33" t="s">
        <v>55</v>
      </c>
      <c r="AH301" s="33" t="s">
        <v>56</v>
      </c>
      <c r="AI301" s="33" t="s">
        <v>57</v>
      </c>
      <c r="AJ301" s="33" t="s">
        <v>58</v>
      </c>
      <c r="AK301" s="33" t="s">
        <v>56</v>
      </c>
      <c r="AL301" s="27"/>
      <c r="AM301" s="34" t="s">
        <v>57</v>
      </c>
      <c r="AN301" s="35" t="str">
        <f t="shared" si="23"/>
        <v>✓ OK</v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1925</v>
      </c>
      <c r="C302" s="41" t="s">
        <v>1926</v>
      </c>
      <c r="D302" s="39" t="s">
        <v>1332</v>
      </c>
      <c r="E302" s="42">
        <v>46132</v>
      </c>
      <c r="F302" s="26" t="s">
        <v>55</v>
      </c>
      <c r="G302" s="26" t="s">
        <v>57</v>
      </c>
      <c r="H302" s="26" t="s">
        <v>57</v>
      </c>
      <c r="I302" s="26" t="s">
        <v>90</v>
      </c>
      <c r="J302" s="26" t="s">
        <v>57</v>
      </c>
      <c r="K302" s="27" t="s">
        <v>91</v>
      </c>
      <c r="L302" s="28" t="s">
        <v>56</v>
      </c>
      <c r="M302" s="29" t="str">
        <f t="shared" si="20"/>
        <v>⚠ Missing</v>
      </c>
      <c r="N302" s="42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70">
        <v>46248</v>
      </c>
      <c r="X302" s="30" t="s">
        <v>55</v>
      </c>
      <c r="Y302" s="30" t="s">
        <v>56</v>
      </c>
      <c r="Z302" s="30" t="s">
        <v>57</v>
      </c>
      <c r="AA302" s="30" t="s">
        <v>58</v>
      </c>
      <c r="AB302" s="30" t="s">
        <v>56</v>
      </c>
      <c r="AC302" s="27"/>
      <c r="AD302" s="31" t="s">
        <v>57</v>
      </c>
      <c r="AE302" s="32" t="str">
        <f t="shared" si="22"/>
        <v>✓ OK</v>
      </c>
      <c r="AF302" s="33" t="s">
        <v>61</v>
      </c>
      <c r="AG302" s="33" t="s">
        <v>55</v>
      </c>
      <c r="AH302" s="33" t="s">
        <v>56</v>
      </c>
      <c r="AI302" s="33" t="s">
        <v>57</v>
      </c>
      <c r="AJ302" s="33" t="s">
        <v>58</v>
      </c>
      <c r="AK302" s="33" t="s">
        <v>56</v>
      </c>
      <c r="AL302" s="27"/>
      <c r="AM302" s="34" t="s">
        <v>57</v>
      </c>
      <c r="AN302" s="35" t="str">
        <f t="shared" si="23"/>
        <v>✓ OK</v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1927</v>
      </c>
      <c r="C303" s="25" t="s">
        <v>1928</v>
      </c>
      <c r="D303" s="23" t="s">
        <v>1332</v>
      </c>
      <c r="E303" s="42">
        <v>46132</v>
      </c>
      <c r="F303" s="26" t="s">
        <v>55</v>
      </c>
      <c r="G303" s="26" t="s">
        <v>57</v>
      </c>
      <c r="H303" s="26" t="s">
        <v>57</v>
      </c>
      <c r="I303" s="26" t="s">
        <v>90</v>
      </c>
      <c r="J303" s="26" t="s">
        <v>57</v>
      </c>
      <c r="K303" s="27" t="s">
        <v>91</v>
      </c>
      <c r="L303" s="28" t="s">
        <v>56</v>
      </c>
      <c r="M303" s="29" t="str">
        <f t="shared" si="20"/>
        <v>⚠ Missing</v>
      </c>
      <c r="N303" s="42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70">
        <v>46248</v>
      </c>
      <c r="X303" s="30" t="s">
        <v>55</v>
      </c>
      <c r="Y303" s="30" t="s">
        <v>56</v>
      </c>
      <c r="Z303" s="30" t="s">
        <v>57</v>
      </c>
      <c r="AA303" s="30" t="s">
        <v>58</v>
      </c>
      <c r="AB303" s="30" t="s">
        <v>56</v>
      </c>
      <c r="AC303" s="27"/>
      <c r="AD303" s="31" t="s">
        <v>57</v>
      </c>
      <c r="AE303" s="32" t="str">
        <f t="shared" si="22"/>
        <v>✓ OK</v>
      </c>
      <c r="AF303" s="33" t="s">
        <v>61</v>
      </c>
      <c r="AG303" s="33" t="s">
        <v>55</v>
      </c>
      <c r="AH303" s="33" t="s">
        <v>56</v>
      </c>
      <c r="AI303" s="33" t="s">
        <v>57</v>
      </c>
      <c r="AJ303" s="33" t="s">
        <v>58</v>
      </c>
      <c r="AK303" s="33" t="s">
        <v>56</v>
      </c>
      <c r="AL303" s="27"/>
      <c r="AM303" s="34" t="s">
        <v>57</v>
      </c>
      <c r="AN303" s="35" t="str">
        <f t="shared" si="23"/>
        <v>✓ OK</v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1929</v>
      </c>
      <c r="C304" s="41" t="s">
        <v>1930</v>
      </c>
      <c r="D304" s="39" t="s">
        <v>1332</v>
      </c>
      <c r="E304" s="42">
        <v>46132</v>
      </c>
      <c r="F304" s="26" t="s">
        <v>55</v>
      </c>
      <c r="G304" s="26" t="s">
        <v>57</v>
      </c>
      <c r="H304" s="26" t="s">
        <v>57</v>
      </c>
      <c r="I304" s="26" t="s">
        <v>90</v>
      </c>
      <c r="J304" s="26" t="s">
        <v>57</v>
      </c>
      <c r="K304" s="27" t="s">
        <v>91</v>
      </c>
      <c r="L304" s="28" t="s">
        <v>56</v>
      </c>
      <c r="M304" s="29" t="str">
        <f t="shared" si="20"/>
        <v>⚠ Missing</v>
      </c>
      <c r="N304" s="42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70">
        <v>46248</v>
      </c>
      <c r="X304" s="30" t="s">
        <v>55</v>
      </c>
      <c r="Y304" s="30" t="s">
        <v>56</v>
      </c>
      <c r="Z304" s="30" t="s">
        <v>57</v>
      </c>
      <c r="AA304" s="30" t="s">
        <v>58</v>
      </c>
      <c r="AB304" s="30" t="s">
        <v>56</v>
      </c>
      <c r="AC304" s="27"/>
      <c r="AD304" s="31" t="s">
        <v>57</v>
      </c>
      <c r="AE304" s="32" t="str">
        <f t="shared" si="22"/>
        <v>✓ OK</v>
      </c>
      <c r="AF304" s="33" t="s">
        <v>61</v>
      </c>
      <c r="AG304" s="33" t="s">
        <v>55</v>
      </c>
      <c r="AH304" s="33" t="s">
        <v>56</v>
      </c>
      <c r="AI304" s="33" t="s">
        <v>57</v>
      </c>
      <c r="AJ304" s="33" t="s">
        <v>58</v>
      </c>
      <c r="AK304" s="33" t="s">
        <v>56</v>
      </c>
      <c r="AL304" s="27"/>
      <c r="AM304" s="34" t="s">
        <v>57</v>
      </c>
      <c r="AN304" s="35" t="str">
        <f t="shared" si="23"/>
        <v>✓ OK</v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1931</v>
      </c>
      <c r="C305" s="25" t="s">
        <v>1932</v>
      </c>
      <c r="D305" s="23" t="s">
        <v>1332</v>
      </c>
      <c r="E305" s="42">
        <v>46132</v>
      </c>
      <c r="F305" s="26" t="s">
        <v>55</v>
      </c>
      <c r="G305" s="26" t="s">
        <v>57</v>
      </c>
      <c r="H305" s="26" t="s">
        <v>57</v>
      </c>
      <c r="I305" s="26" t="s">
        <v>90</v>
      </c>
      <c r="J305" s="26" t="s">
        <v>57</v>
      </c>
      <c r="K305" s="27" t="s">
        <v>91</v>
      </c>
      <c r="L305" s="28" t="s">
        <v>56</v>
      </c>
      <c r="M305" s="29" t="str">
        <f t="shared" si="20"/>
        <v>⚠ Missing</v>
      </c>
      <c r="N305" s="42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70">
        <v>46248</v>
      </c>
      <c r="X305" s="30" t="s">
        <v>55</v>
      </c>
      <c r="Y305" s="30" t="s">
        <v>56</v>
      </c>
      <c r="Z305" s="30" t="s">
        <v>57</v>
      </c>
      <c r="AA305" s="30" t="s">
        <v>58</v>
      </c>
      <c r="AB305" s="30" t="s">
        <v>56</v>
      </c>
      <c r="AC305" s="27"/>
      <c r="AD305" s="31" t="s">
        <v>57</v>
      </c>
      <c r="AE305" s="32" t="str">
        <f t="shared" si="22"/>
        <v>✓ OK</v>
      </c>
      <c r="AF305" s="33" t="s">
        <v>61</v>
      </c>
      <c r="AG305" s="33" t="s">
        <v>55</v>
      </c>
      <c r="AH305" s="33" t="s">
        <v>56</v>
      </c>
      <c r="AI305" s="33" t="s">
        <v>57</v>
      </c>
      <c r="AJ305" s="33" t="s">
        <v>58</v>
      </c>
      <c r="AK305" s="33" t="s">
        <v>56</v>
      </c>
      <c r="AL305" s="27"/>
      <c r="AM305" s="34" t="s">
        <v>57</v>
      </c>
      <c r="AN305" s="35" t="str">
        <f t="shared" si="23"/>
        <v>✓ OK</v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1933</v>
      </c>
      <c r="C306" s="41" t="s">
        <v>1934</v>
      </c>
      <c r="D306" s="39" t="s">
        <v>1332</v>
      </c>
      <c r="E306" s="42">
        <v>46132</v>
      </c>
      <c r="F306" s="26" t="s">
        <v>55</v>
      </c>
      <c r="G306" s="26" t="s">
        <v>57</v>
      </c>
      <c r="H306" s="26" t="s">
        <v>57</v>
      </c>
      <c r="I306" s="26" t="s">
        <v>90</v>
      </c>
      <c r="J306" s="26" t="s">
        <v>57</v>
      </c>
      <c r="K306" s="27" t="s">
        <v>91</v>
      </c>
      <c r="L306" s="28" t="s">
        <v>56</v>
      </c>
      <c r="M306" s="29" t="str">
        <f t="shared" si="20"/>
        <v>⚠ Missing</v>
      </c>
      <c r="N306" s="42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70">
        <v>46248</v>
      </c>
      <c r="X306" s="30" t="s">
        <v>55</v>
      </c>
      <c r="Y306" s="30" t="s">
        <v>56</v>
      </c>
      <c r="Z306" s="30" t="s">
        <v>57</v>
      </c>
      <c r="AA306" s="30" t="s">
        <v>58</v>
      </c>
      <c r="AB306" s="30" t="s">
        <v>56</v>
      </c>
      <c r="AC306" s="27"/>
      <c r="AD306" s="31" t="s">
        <v>57</v>
      </c>
      <c r="AE306" s="32" t="str">
        <f t="shared" si="22"/>
        <v>✓ OK</v>
      </c>
      <c r="AF306" s="33" t="s">
        <v>61</v>
      </c>
      <c r="AG306" s="33" t="s">
        <v>55</v>
      </c>
      <c r="AH306" s="33" t="s">
        <v>56</v>
      </c>
      <c r="AI306" s="33" t="s">
        <v>57</v>
      </c>
      <c r="AJ306" s="33" t="s">
        <v>58</v>
      </c>
      <c r="AK306" s="33" t="s">
        <v>56</v>
      </c>
      <c r="AL306" s="27"/>
      <c r="AM306" s="34" t="s">
        <v>57</v>
      </c>
      <c r="AN306" s="35" t="str">
        <f t="shared" si="23"/>
        <v>✓ OK</v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1935</v>
      </c>
      <c r="C307" s="25" t="s">
        <v>1936</v>
      </c>
      <c r="D307" s="23" t="s">
        <v>1332</v>
      </c>
      <c r="E307" s="42">
        <v>46132</v>
      </c>
      <c r="F307" s="26" t="s">
        <v>55</v>
      </c>
      <c r="G307" s="26" t="s">
        <v>57</v>
      </c>
      <c r="H307" s="26" t="s">
        <v>57</v>
      </c>
      <c r="I307" s="26" t="s">
        <v>90</v>
      </c>
      <c r="J307" s="26" t="s">
        <v>57</v>
      </c>
      <c r="K307" s="27" t="s">
        <v>91</v>
      </c>
      <c r="L307" s="28" t="s">
        <v>56</v>
      </c>
      <c r="M307" s="29" t="str">
        <f t="shared" si="20"/>
        <v>⚠ Missing</v>
      </c>
      <c r="N307" s="42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70">
        <v>46248</v>
      </c>
      <c r="X307" s="30" t="s">
        <v>55</v>
      </c>
      <c r="Y307" s="30" t="s">
        <v>56</v>
      </c>
      <c r="Z307" s="30" t="s">
        <v>57</v>
      </c>
      <c r="AA307" s="30" t="s">
        <v>58</v>
      </c>
      <c r="AB307" s="30" t="s">
        <v>56</v>
      </c>
      <c r="AC307" s="27"/>
      <c r="AD307" s="31" t="s">
        <v>57</v>
      </c>
      <c r="AE307" s="32" t="str">
        <f t="shared" si="22"/>
        <v>✓ OK</v>
      </c>
      <c r="AF307" s="33" t="s">
        <v>61</v>
      </c>
      <c r="AG307" s="33" t="s">
        <v>55</v>
      </c>
      <c r="AH307" s="33" t="s">
        <v>56</v>
      </c>
      <c r="AI307" s="33" t="s">
        <v>57</v>
      </c>
      <c r="AJ307" s="33" t="s">
        <v>58</v>
      </c>
      <c r="AK307" s="33" t="s">
        <v>56</v>
      </c>
      <c r="AL307" s="27"/>
      <c r="AM307" s="34" t="s">
        <v>57</v>
      </c>
      <c r="AN307" s="35" t="str">
        <f t="shared" si="23"/>
        <v>✓ OK</v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1937</v>
      </c>
      <c r="C308" s="41" t="s">
        <v>1938</v>
      </c>
      <c r="D308" s="39" t="s">
        <v>1332</v>
      </c>
      <c r="E308" s="42">
        <v>46132</v>
      </c>
      <c r="F308" s="26" t="s">
        <v>55</v>
      </c>
      <c r="G308" s="26" t="s">
        <v>57</v>
      </c>
      <c r="H308" s="26" t="s">
        <v>57</v>
      </c>
      <c r="I308" s="26" t="s">
        <v>90</v>
      </c>
      <c r="J308" s="26" t="s">
        <v>57</v>
      </c>
      <c r="K308" s="27" t="s">
        <v>91</v>
      </c>
      <c r="L308" s="28" t="s">
        <v>56</v>
      </c>
      <c r="M308" s="29" t="str">
        <f t="shared" si="20"/>
        <v>⚠ Missing</v>
      </c>
      <c r="N308" s="42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70">
        <v>46248</v>
      </c>
      <c r="X308" s="30" t="s">
        <v>55</v>
      </c>
      <c r="Y308" s="30" t="s">
        <v>56</v>
      </c>
      <c r="Z308" s="30" t="s">
        <v>57</v>
      </c>
      <c r="AA308" s="30" t="s">
        <v>58</v>
      </c>
      <c r="AB308" s="30" t="s">
        <v>56</v>
      </c>
      <c r="AC308" s="27"/>
      <c r="AD308" s="31" t="s">
        <v>57</v>
      </c>
      <c r="AE308" s="32" t="str">
        <f t="shared" si="22"/>
        <v>✓ OK</v>
      </c>
      <c r="AF308" s="33" t="s">
        <v>61</v>
      </c>
      <c r="AG308" s="33" t="s">
        <v>55</v>
      </c>
      <c r="AH308" s="33" t="s">
        <v>56</v>
      </c>
      <c r="AI308" s="33" t="s">
        <v>57</v>
      </c>
      <c r="AJ308" s="33" t="s">
        <v>58</v>
      </c>
      <c r="AK308" s="33" t="s">
        <v>56</v>
      </c>
      <c r="AL308" s="27"/>
      <c r="AM308" s="34" t="s">
        <v>57</v>
      </c>
      <c r="AN308" s="35" t="str">
        <f t="shared" si="23"/>
        <v>✓ OK</v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1939</v>
      </c>
      <c r="C309" s="25" t="s">
        <v>1940</v>
      </c>
      <c r="D309" s="23" t="s">
        <v>1332</v>
      </c>
      <c r="E309" s="42">
        <v>46132</v>
      </c>
      <c r="F309" s="26" t="s">
        <v>55</v>
      </c>
      <c r="G309" s="26" t="s">
        <v>57</v>
      </c>
      <c r="H309" s="26" t="s">
        <v>57</v>
      </c>
      <c r="I309" s="26" t="s">
        <v>90</v>
      </c>
      <c r="J309" s="26" t="s">
        <v>57</v>
      </c>
      <c r="K309" s="27" t="s">
        <v>91</v>
      </c>
      <c r="L309" s="28" t="s">
        <v>56</v>
      </c>
      <c r="M309" s="29" t="str">
        <f t="shared" si="20"/>
        <v>⚠ Missing</v>
      </c>
      <c r="N309" s="42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70">
        <v>46248</v>
      </c>
      <c r="X309" s="30" t="s">
        <v>55</v>
      </c>
      <c r="Y309" s="30" t="s">
        <v>56</v>
      </c>
      <c r="Z309" s="30" t="s">
        <v>57</v>
      </c>
      <c r="AA309" s="30" t="s">
        <v>58</v>
      </c>
      <c r="AB309" s="30" t="s">
        <v>56</v>
      </c>
      <c r="AC309" s="27"/>
      <c r="AD309" s="31" t="s">
        <v>57</v>
      </c>
      <c r="AE309" s="32" t="str">
        <f t="shared" si="22"/>
        <v>✓ OK</v>
      </c>
      <c r="AF309" s="33" t="s">
        <v>61</v>
      </c>
      <c r="AG309" s="33" t="s">
        <v>55</v>
      </c>
      <c r="AH309" s="33" t="s">
        <v>56</v>
      </c>
      <c r="AI309" s="33" t="s">
        <v>57</v>
      </c>
      <c r="AJ309" s="33" t="s">
        <v>58</v>
      </c>
      <c r="AK309" s="33" t="s">
        <v>56</v>
      </c>
      <c r="AL309" s="27"/>
      <c r="AM309" s="34" t="s">
        <v>57</v>
      </c>
      <c r="AN309" s="35" t="str">
        <f t="shared" si="23"/>
        <v>✓ OK</v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1941</v>
      </c>
      <c r="C310" s="41" t="s">
        <v>1942</v>
      </c>
      <c r="D310" s="39" t="s">
        <v>1332</v>
      </c>
      <c r="E310" s="42">
        <v>46132</v>
      </c>
      <c r="F310" s="26" t="s">
        <v>55</v>
      </c>
      <c r="G310" s="26" t="s">
        <v>57</v>
      </c>
      <c r="H310" s="26" t="s">
        <v>57</v>
      </c>
      <c r="I310" s="26" t="s">
        <v>90</v>
      </c>
      <c r="J310" s="26" t="s">
        <v>57</v>
      </c>
      <c r="K310" s="27" t="s">
        <v>91</v>
      </c>
      <c r="L310" s="28" t="s">
        <v>56</v>
      </c>
      <c r="M310" s="29" t="str">
        <f t="shared" si="20"/>
        <v>⚠ Missing</v>
      </c>
      <c r="N310" s="42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70">
        <v>46248</v>
      </c>
      <c r="X310" s="30" t="s">
        <v>55</v>
      </c>
      <c r="Y310" s="30" t="s">
        <v>56</v>
      </c>
      <c r="Z310" s="30" t="s">
        <v>57</v>
      </c>
      <c r="AA310" s="30" t="s">
        <v>58</v>
      </c>
      <c r="AB310" s="30" t="s">
        <v>56</v>
      </c>
      <c r="AC310" s="27"/>
      <c r="AD310" s="31" t="s">
        <v>57</v>
      </c>
      <c r="AE310" s="32" t="str">
        <f t="shared" si="22"/>
        <v>✓ OK</v>
      </c>
      <c r="AF310" s="33" t="s">
        <v>61</v>
      </c>
      <c r="AG310" s="33" t="s">
        <v>55</v>
      </c>
      <c r="AH310" s="33" t="s">
        <v>56</v>
      </c>
      <c r="AI310" s="33" t="s">
        <v>57</v>
      </c>
      <c r="AJ310" s="33" t="s">
        <v>58</v>
      </c>
      <c r="AK310" s="33" t="s">
        <v>56</v>
      </c>
      <c r="AL310" s="27"/>
      <c r="AM310" s="34" t="s">
        <v>57</v>
      </c>
      <c r="AN310" s="35" t="str">
        <f t="shared" si="23"/>
        <v>✓ OK</v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1943</v>
      </c>
      <c r="C311" s="25" t="s">
        <v>1944</v>
      </c>
      <c r="D311" s="23" t="s">
        <v>1332</v>
      </c>
      <c r="E311" s="42">
        <v>46132</v>
      </c>
      <c r="F311" s="26" t="s">
        <v>55</v>
      </c>
      <c r="G311" s="26" t="s">
        <v>57</v>
      </c>
      <c r="H311" s="26" t="s">
        <v>57</v>
      </c>
      <c r="I311" s="26" t="s">
        <v>90</v>
      </c>
      <c r="J311" s="26" t="s">
        <v>57</v>
      </c>
      <c r="K311" s="27" t="s">
        <v>91</v>
      </c>
      <c r="L311" s="28" t="s">
        <v>56</v>
      </c>
      <c r="M311" s="29" t="str">
        <f t="shared" si="20"/>
        <v>⚠ Missing</v>
      </c>
      <c r="N311" s="42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70">
        <v>46248</v>
      </c>
      <c r="X311" s="30" t="s">
        <v>55</v>
      </c>
      <c r="Y311" s="30" t="s">
        <v>56</v>
      </c>
      <c r="Z311" s="30" t="s">
        <v>57</v>
      </c>
      <c r="AA311" s="30" t="s">
        <v>58</v>
      </c>
      <c r="AB311" s="30" t="s">
        <v>56</v>
      </c>
      <c r="AC311" s="27"/>
      <c r="AD311" s="31" t="s">
        <v>57</v>
      </c>
      <c r="AE311" s="32" t="str">
        <f t="shared" si="22"/>
        <v>✓ OK</v>
      </c>
      <c r="AF311" s="33" t="s">
        <v>61</v>
      </c>
      <c r="AG311" s="33" t="s">
        <v>55</v>
      </c>
      <c r="AH311" s="33" t="s">
        <v>56</v>
      </c>
      <c r="AI311" s="33" t="s">
        <v>57</v>
      </c>
      <c r="AJ311" s="33" t="s">
        <v>58</v>
      </c>
      <c r="AK311" s="33" t="s">
        <v>56</v>
      </c>
      <c r="AL311" s="27"/>
      <c r="AM311" s="34" t="s">
        <v>57</v>
      </c>
      <c r="AN311" s="35" t="str">
        <f t="shared" si="23"/>
        <v>✓ OK</v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1945</v>
      </c>
      <c r="C312" s="41" t="s">
        <v>1946</v>
      </c>
      <c r="D312" s="39" t="s">
        <v>1332</v>
      </c>
      <c r="E312" s="42">
        <v>46132</v>
      </c>
      <c r="F312" s="26" t="s">
        <v>55</v>
      </c>
      <c r="G312" s="26" t="s">
        <v>57</v>
      </c>
      <c r="H312" s="26" t="s">
        <v>57</v>
      </c>
      <c r="I312" s="26" t="s">
        <v>90</v>
      </c>
      <c r="J312" s="26" t="s">
        <v>57</v>
      </c>
      <c r="K312" s="27" t="s">
        <v>91</v>
      </c>
      <c r="L312" s="28" t="s">
        <v>56</v>
      </c>
      <c r="M312" s="29" t="str">
        <f t="shared" si="20"/>
        <v>⚠ Missing</v>
      </c>
      <c r="N312" s="42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70">
        <v>46248</v>
      </c>
      <c r="X312" s="30" t="s">
        <v>55</v>
      </c>
      <c r="Y312" s="30" t="s">
        <v>56</v>
      </c>
      <c r="Z312" s="30" t="s">
        <v>57</v>
      </c>
      <c r="AA312" s="30" t="s">
        <v>58</v>
      </c>
      <c r="AB312" s="30" t="s">
        <v>56</v>
      </c>
      <c r="AC312" s="27"/>
      <c r="AD312" s="31" t="s">
        <v>57</v>
      </c>
      <c r="AE312" s="32" t="str">
        <f t="shared" si="22"/>
        <v>✓ OK</v>
      </c>
      <c r="AF312" s="33" t="s">
        <v>61</v>
      </c>
      <c r="AG312" s="33" t="s">
        <v>55</v>
      </c>
      <c r="AH312" s="33" t="s">
        <v>56</v>
      </c>
      <c r="AI312" s="33" t="s">
        <v>57</v>
      </c>
      <c r="AJ312" s="33" t="s">
        <v>58</v>
      </c>
      <c r="AK312" s="33" t="s">
        <v>56</v>
      </c>
      <c r="AL312" s="27"/>
      <c r="AM312" s="34" t="s">
        <v>57</v>
      </c>
      <c r="AN312" s="35" t="str">
        <f t="shared" si="23"/>
        <v>✓ OK</v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1947</v>
      </c>
      <c r="C313" s="25" t="s">
        <v>1948</v>
      </c>
      <c r="D313" s="23" t="s">
        <v>1332</v>
      </c>
      <c r="E313" s="42">
        <v>46132</v>
      </c>
      <c r="F313" s="26" t="s">
        <v>55</v>
      </c>
      <c r="G313" s="26" t="s">
        <v>57</v>
      </c>
      <c r="H313" s="26" t="s">
        <v>57</v>
      </c>
      <c r="I313" s="26" t="s">
        <v>90</v>
      </c>
      <c r="J313" s="26" t="s">
        <v>57</v>
      </c>
      <c r="K313" s="27" t="s">
        <v>91</v>
      </c>
      <c r="L313" s="28" t="s">
        <v>56</v>
      </c>
      <c r="M313" s="29" t="str">
        <f t="shared" si="20"/>
        <v>⚠ Missing</v>
      </c>
      <c r="N313" s="42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70">
        <v>46248</v>
      </c>
      <c r="X313" s="30" t="s">
        <v>55</v>
      </c>
      <c r="Y313" s="30" t="s">
        <v>56</v>
      </c>
      <c r="Z313" s="30" t="s">
        <v>57</v>
      </c>
      <c r="AA313" s="30" t="s">
        <v>58</v>
      </c>
      <c r="AB313" s="30" t="s">
        <v>56</v>
      </c>
      <c r="AC313" s="27"/>
      <c r="AD313" s="31" t="s">
        <v>57</v>
      </c>
      <c r="AE313" s="32" t="str">
        <f t="shared" si="22"/>
        <v>✓ OK</v>
      </c>
      <c r="AF313" s="33" t="s">
        <v>61</v>
      </c>
      <c r="AG313" s="33" t="s">
        <v>55</v>
      </c>
      <c r="AH313" s="33" t="s">
        <v>56</v>
      </c>
      <c r="AI313" s="33" t="s">
        <v>57</v>
      </c>
      <c r="AJ313" s="33" t="s">
        <v>58</v>
      </c>
      <c r="AK313" s="33" t="s">
        <v>56</v>
      </c>
      <c r="AL313" s="27"/>
      <c r="AM313" s="34" t="s">
        <v>57</v>
      </c>
      <c r="AN313" s="35" t="str">
        <f t="shared" si="23"/>
        <v>✓ OK</v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1949</v>
      </c>
      <c r="C314" s="41" t="s">
        <v>1950</v>
      </c>
      <c r="D314" s="39" t="s">
        <v>1332</v>
      </c>
      <c r="E314" s="42">
        <v>46132</v>
      </c>
      <c r="F314" s="26" t="s">
        <v>55</v>
      </c>
      <c r="G314" s="26" t="s">
        <v>57</v>
      </c>
      <c r="H314" s="26" t="s">
        <v>57</v>
      </c>
      <c r="I314" s="26" t="s">
        <v>90</v>
      </c>
      <c r="J314" s="26" t="s">
        <v>57</v>
      </c>
      <c r="K314" s="27" t="s">
        <v>91</v>
      </c>
      <c r="L314" s="28" t="s">
        <v>56</v>
      </c>
      <c r="M314" s="29" t="str">
        <f t="shared" si="20"/>
        <v>⚠ Missing</v>
      </c>
      <c r="N314" s="42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70">
        <v>46248</v>
      </c>
      <c r="X314" s="30" t="s">
        <v>55</v>
      </c>
      <c r="Y314" s="30" t="s">
        <v>56</v>
      </c>
      <c r="Z314" s="30" t="s">
        <v>57</v>
      </c>
      <c r="AA314" s="30" t="s">
        <v>58</v>
      </c>
      <c r="AB314" s="30" t="s">
        <v>56</v>
      </c>
      <c r="AC314" s="27"/>
      <c r="AD314" s="31" t="s">
        <v>57</v>
      </c>
      <c r="AE314" s="32" t="str">
        <f t="shared" si="22"/>
        <v>✓ OK</v>
      </c>
      <c r="AF314" s="33" t="s">
        <v>61</v>
      </c>
      <c r="AG314" s="33" t="s">
        <v>55</v>
      </c>
      <c r="AH314" s="33" t="s">
        <v>56</v>
      </c>
      <c r="AI314" s="33" t="s">
        <v>57</v>
      </c>
      <c r="AJ314" s="33" t="s">
        <v>58</v>
      </c>
      <c r="AK314" s="33" t="s">
        <v>56</v>
      </c>
      <c r="AL314" s="27"/>
      <c r="AM314" s="34" t="s">
        <v>57</v>
      </c>
      <c r="AN314" s="35" t="str">
        <f t="shared" si="23"/>
        <v>✓ OK</v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1951</v>
      </c>
      <c r="C315" s="25" t="s">
        <v>1952</v>
      </c>
      <c r="D315" s="23" t="s">
        <v>1332</v>
      </c>
      <c r="E315" s="42">
        <v>46132</v>
      </c>
      <c r="F315" s="26" t="s">
        <v>55</v>
      </c>
      <c r="G315" s="26" t="s">
        <v>57</v>
      </c>
      <c r="H315" s="26" t="s">
        <v>57</v>
      </c>
      <c r="I315" s="26" t="s">
        <v>90</v>
      </c>
      <c r="J315" s="26" t="s">
        <v>57</v>
      </c>
      <c r="K315" s="27" t="s">
        <v>91</v>
      </c>
      <c r="L315" s="28" t="s">
        <v>56</v>
      </c>
      <c r="M315" s="29" t="str">
        <f t="shared" si="20"/>
        <v>⚠ Missing</v>
      </c>
      <c r="N315" s="42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70">
        <v>46248</v>
      </c>
      <c r="X315" s="30" t="s">
        <v>55</v>
      </c>
      <c r="Y315" s="30" t="s">
        <v>56</v>
      </c>
      <c r="Z315" s="30" t="s">
        <v>57</v>
      </c>
      <c r="AA315" s="30" t="s">
        <v>58</v>
      </c>
      <c r="AB315" s="30" t="s">
        <v>56</v>
      </c>
      <c r="AC315" s="27"/>
      <c r="AD315" s="31" t="s">
        <v>57</v>
      </c>
      <c r="AE315" s="32" t="str">
        <f t="shared" si="22"/>
        <v>✓ OK</v>
      </c>
      <c r="AF315" s="33" t="s">
        <v>61</v>
      </c>
      <c r="AG315" s="33" t="s">
        <v>55</v>
      </c>
      <c r="AH315" s="33" t="s">
        <v>56</v>
      </c>
      <c r="AI315" s="33" t="s">
        <v>57</v>
      </c>
      <c r="AJ315" s="33" t="s">
        <v>58</v>
      </c>
      <c r="AK315" s="33" t="s">
        <v>56</v>
      </c>
      <c r="AL315" s="27"/>
      <c r="AM315" s="34" t="s">
        <v>57</v>
      </c>
      <c r="AN315" s="35" t="str">
        <f t="shared" si="23"/>
        <v>✓ OK</v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1953</v>
      </c>
      <c r="C316" s="41" t="s">
        <v>1954</v>
      </c>
      <c r="D316" s="39" t="s">
        <v>1332</v>
      </c>
      <c r="E316" s="42">
        <v>46132</v>
      </c>
      <c r="F316" s="26" t="s">
        <v>55</v>
      </c>
      <c r="G316" s="26" t="s">
        <v>57</v>
      </c>
      <c r="H316" s="26" t="s">
        <v>57</v>
      </c>
      <c r="I316" s="26" t="s">
        <v>90</v>
      </c>
      <c r="J316" s="26" t="s">
        <v>57</v>
      </c>
      <c r="K316" s="27" t="s">
        <v>91</v>
      </c>
      <c r="L316" s="28" t="s">
        <v>56</v>
      </c>
      <c r="M316" s="29" t="str">
        <f t="shared" si="20"/>
        <v>⚠ Missing</v>
      </c>
      <c r="N316" s="42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70">
        <v>46248</v>
      </c>
      <c r="X316" s="30" t="s">
        <v>55</v>
      </c>
      <c r="Y316" s="30" t="s">
        <v>56</v>
      </c>
      <c r="Z316" s="30" t="s">
        <v>57</v>
      </c>
      <c r="AA316" s="30" t="s">
        <v>58</v>
      </c>
      <c r="AB316" s="30" t="s">
        <v>56</v>
      </c>
      <c r="AC316" s="27"/>
      <c r="AD316" s="31" t="s">
        <v>57</v>
      </c>
      <c r="AE316" s="32" t="str">
        <f t="shared" si="22"/>
        <v>✓ OK</v>
      </c>
      <c r="AF316" s="33" t="s">
        <v>61</v>
      </c>
      <c r="AG316" s="33" t="s">
        <v>55</v>
      </c>
      <c r="AH316" s="33" t="s">
        <v>56</v>
      </c>
      <c r="AI316" s="33" t="s">
        <v>57</v>
      </c>
      <c r="AJ316" s="33" t="s">
        <v>58</v>
      </c>
      <c r="AK316" s="33" t="s">
        <v>56</v>
      </c>
      <c r="AL316" s="27"/>
      <c r="AM316" s="34" t="s">
        <v>57</v>
      </c>
      <c r="AN316" s="35" t="str">
        <f t="shared" si="23"/>
        <v>✓ OK</v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1955</v>
      </c>
      <c r="C317" s="25" t="s">
        <v>1956</v>
      </c>
      <c r="D317" s="23" t="s">
        <v>1332</v>
      </c>
      <c r="E317" s="42">
        <v>46132</v>
      </c>
      <c r="F317" s="26" t="s">
        <v>55</v>
      </c>
      <c r="G317" s="26" t="s">
        <v>57</v>
      </c>
      <c r="H317" s="26" t="s">
        <v>57</v>
      </c>
      <c r="I317" s="26" t="s">
        <v>90</v>
      </c>
      <c r="J317" s="26" t="s">
        <v>57</v>
      </c>
      <c r="K317" s="27" t="s">
        <v>91</v>
      </c>
      <c r="L317" s="28" t="s">
        <v>56</v>
      </c>
      <c r="M317" s="29" t="str">
        <f t="shared" si="20"/>
        <v>⚠ Missing</v>
      </c>
      <c r="N317" s="42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70">
        <v>46248</v>
      </c>
      <c r="X317" s="30" t="s">
        <v>55</v>
      </c>
      <c r="Y317" s="30" t="s">
        <v>56</v>
      </c>
      <c r="Z317" s="30" t="s">
        <v>57</v>
      </c>
      <c r="AA317" s="30" t="s">
        <v>58</v>
      </c>
      <c r="AB317" s="30" t="s">
        <v>56</v>
      </c>
      <c r="AC317" s="27"/>
      <c r="AD317" s="31" t="s">
        <v>57</v>
      </c>
      <c r="AE317" s="32" t="str">
        <f t="shared" si="22"/>
        <v>✓ OK</v>
      </c>
      <c r="AF317" s="33" t="s">
        <v>61</v>
      </c>
      <c r="AG317" s="33" t="s">
        <v>55</v>
      </c>
      <c r="AH317" s="33" t="s">
        <v>56</v>
      </c>
      <c r="AI317" s="33" t="s">
        <v>57</v>
      </c>
      <c r="AJ317" s="33" t="s">
        <v>58</v>
      </c>
      <c r="AK317" s="33" t="s">
        <v>56</v>
      </c>
      <c r="AL317" s="27"/>
      <c r="AM317" s="34" t="s">
        <v>57</v>
      </c>
      <c r="AN317" s="35" t="str">
        <f t="shared" si="23"/>
        <v>✓ OK</v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1957</v>
      </c>
      <c r="C318" s="41" t="s">
        <v>1958</v>
      </c>
      <c r="D318" s="39" t="s">
        <v>1332</v>
      </c>
      <c r="E318" s="42">
        <v>46132</v>
      </c>
      <c r="F318" s="26" t="s">
        <v>55</v>
      </c>
      <c r="G318" s="26" t="s">
        <v>57</v>
      </c>
      <c r="H318" s="26" t="s">
        <v>57</v>
      </c>
      <c r="I318" s="26" t="s">
        <v>90</v>
      </c>
      <c r="J318" s="26" t="s">
        <v>57</v>
      </c>
      <c r="K318" s="27" t="s">
        <v>91</v>
      </c>
      <c r="L318" s="28" t="s">
        <v>56</v>
      </c>
      <c r="M318" s="29" t="str">
        <f t="shared" si="20"/>
        <v>⚠ Missing</v>
      </c>
      <c r="N318" s="42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70">
        <v>46248</v>
      </c>
      <c r="X318" s="30" t="s">
        <v>55</v>
      </c>
      <c r="Y318" s="30" t="s">
        <v>56</v>
      </c>
      <c r="Z318" s="30" t="s">
        <v>57</v>
      </c>
      <c r="AA318" s="30" t="s">
        <v>58</v>
      </c>
      <c r="AB318" s="30" t="s">
        <v>56</v>
      </c>
      <c r="AC318" s="27"/>
      <c r="AD318" s="31" t="s">
        <v>57</v>
      </c>
      <c r="AE318" s="32" t="str">
        <f t="shared" si="22"/>
        <v>✓ OK</v>
      </c>
      <c r="AF318" s="33" t="s">
        <v>61</v>
      </c>
      <c r="AG318" s="33" t="s">
        <v>55</v>
      </c>
      <c r="AH318" s="33" t="s">
        <v>56</v>
      </c>
      <c r="AI318" s="33" t="s">
        <v>57</v>
      </c>
      <c r="AJ318" s="33" t="s">
        <v>58</v>
      </c>
      <c r="AK318" s="33" t="s">
        <v>56</v>
      </c>
      <c r="AL318" s="27"/>
      <c r="AM318" s="34" t="s">
        <v>57</v>
      </c>
      <c r="AN318" s="35" t="str">
        <f t="shared" si="23"/>
        <v>✓ OK</v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1959</v>
      </c>
      <c r="C319" s="25" t="s">
        <v>1960</v>
      </c>
      <c r="D319" s="23" t="s">
        <v>1332</v>
      </c>
      <c r="E319" s="42">
        <v>46132</v>
      </c>
      <c r="F319" s="26" t="s">
        <v>55</v>
      </c>
      <c r="G319" s="26" t="s">
        <v>57</v>
      </c>
      <c r="H319" s="26" t="s">
        <v>57</v>
      </c>
      <c r="I319" s="26" t="s">
        <v>90</v>
      </c>
      <c r="J319" s="26" t="s">
        <v>57</v>
      </c>
      <c r="K319" s="27" t="s">
        <v>91</v>
      </c>
      <c r="L319" s="28" t="s">
        <v>56</v>
      </c>
      <c r="M319" s="29" t="str">
        <f t="shared" si="20"/>
        <v>⚠ Missing</v>
      </c>
      <c r="N319" s="42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70">
        <v>46248</v>
      </c>
      <c r="X319" s="30" t="s">
        <v>55</v>
      </c>
      <c r="Y319" s="30" t="s">
        <v>56</v>
      </c>
      <c r="Z319" s="30" t="s">
        <v>57</v>
      </c>
      <c r="AA319" s="30" t="s">
        <v>58</v>
      </c>
      <c r="AB319" s="30" t="s">
        <v>56</v>
      </c>
      <c r="AC319" s="27"/>
      <c r="AD319" s="31" t="s">
        <v>57</v>
      </c>
      <c r="AE319" s="32" t="str">
        <f t="shared" si="22"/>
        <v>✓ OK</v>
      </c>
      <c r="AF319" s="33" t="s">
        <v>61</v>
      </c>
      <c r="AG319" s="33" t="s">
        <v>55</v>
      </c>
      <c r="AH319" s="33" t="s">
        <v>56</v>
      </c>
      <c r="AI319" s="33" t="s">
        <v>57</v>
      </c>
      <c r="AJ319" s="33" t="s">
        <v>58</v>
      </c>
      <c r="AK319" s="33" t="s">
        <v>56</v>
      </c>
      <c r="AL319" s="27"/>
      <c r="AM319" s="34" t="s">
        <v>57</v>
      </c>
      <c r="AN319" s="35" t="str">
        <f t="shared" si="23"/>
        <v>✓ OK</v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1961</v>
      </c>
      <c r="C320" s="41" t="s">
        <v>1962</v>
      </c>
      <c r="D320" s="39" t="s">
        <v>1332</v>
      </c>
      <c r="E320" s="42">
        <v>46132</v>
      </c>
      <c r="F320" s="26" t="s">
        <v>55</v>
      </c>
      <c r="G320" s="26" t="s">
        <v>57</v>
      </c>
      <c r="H320" s="26" t="s">
        <v>57</v>
      </c>
      <c r="I320" s="26" t="s">
        <v>90</v>
      </c>
      <c r="J320" s="26" t="s">
        <v>57</v>
      </c>
      <c r="K320" s="27" t="s">
        <v>91</v>
      </c>
      <c r="L320" s="28" t="s">
        <v>56</v>
      </c>
      <c r="M320" s="29" t="str">
        <f t="shared" si="20"/>
        <v>⚠ Missing</v>
      </c>
      <c r="N320" s="42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70">
        <v>46248</v>
      </c>
      <c r="X320" s="30" t="s">
        <v>55</v>
      </c>
      <c r="Y320" s="30" t="s">
        <v>56</v>
      </c>
      <c r="Z320" s="30" t="s">
        <v>57</v>
      </c>
      <c r="AA320" s="30" t="s">
        <v>58</v>
      </c>
      <c r="AB320" s="30" t="s">
        <v>56</v>
      </c>
      <c r="AC320" s="27"/>
      <c r="AD320" s="31" t="s">
        <v>57</v>
      </c>
      <c r="AE320" s="32" t="str">
        <f t="shared" si="22"/>
        <v>✓ OK</v>
      </c>
      <c r="AF320" s="33" t="s">
        <v>61</v>
      </c>
      <c r="AG320" s="33" t="s">
        <v>55</v>
      </c>
      <c r="AH320" s="33" t="s">
        <v>56</v>
      </c>
      <c r="AI320" s="33" t="s">
        <v>57</v>
      </c>
      <c r="AJ320" s="33" t="s">
        <v>58</v>
      </c>
      <c r="AK320" s="33" t="s">
        <v>56</v>
      </c>
      <c r="AL320" s="27"/>
      <c r="AM320" s="34" t="s">
        <v>57</v>
      </c>
      <c r="AN320" s="35" t="str">
        <f t="shared" si="23"/>
        <v>✓ OK</v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1963</v>
      </c>
      <c r="C321" s="25" t="s">
        <v>1964</v>
      </c>
      <c r="D321" s="23" t="s">
        <v>1332</v>
      </c>
      <c r="E321" s="42">
        <v>46132</v>
      </c>
      <c r="F321" s="26" t="s">
        <v>55</v>
      </c>
      <c r="G321" s="26" t="s">
        <v>57</v>
      </c>
      <c r="H321" s="26" t="s">
        <v>57</v>
      </c>
      <c r="I321" s="26" t="s">
        <v>90</v>
      </c>
      <c r="J321" s="26" t="s">
        <v>57</v>
      </c>
      <c r="K321" s="27" t="s">
        <v>91</v>
      </c>
      <c r="L321" s="28" t="s">
        <v>56</v>
      </c>
      <c r="M321" s="29" t="str">
        <f t="shared" si="20"/>
        <v>⚠ Missing</v>
      </c>
      <c r="N321" s="42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70">
        <v>46248</v>
      </c>
      <c r="X321" s="30" t="s">
        <v>55</v>
      </c>
      <c r="Y321" s="30" t="s">
        <v>56</v>
      </c>
      <c r="Z321" s="30" t="s">
        <v>57</v>
      </c>
      <c r="AA321" s="30" t="s">
        <v>58</v>
      </c>
      <c r="AB321" s="30" t="s">
        <v>56</v>
      </c>
      <c r="AC321" s="27"/>
      <c r="AD321" s="31" t="s">
        <v>57</v>
      </c>
      <c r="AE321" s="32" t="str">
        <f t="shared" si="22"/>
        <v>✓ OK</v>
      </c>
      <c r="AF321" s="33" t="s">
        <v>61</v>
      </c>
      <c r="AG321" s="33" t="s">
        <v>55</v>
      </c>
      <c r="AH321" s="33" t="s">
        <v>56</v>
      </c>
      <c r="AI321" s="33" t="s">
        <v>57</v>
      </c>
      <c r="AJ321" s="33" t="s">
        <v>58</v>
      </c>
      <c r="AK321" s="33" t="s">
        <v>56</v>
      </c>
      <c r="AL321" s="27"/>
      <c r="AM321" s="34" t="s">
        <v>57</v>
      </c>
      <c r="AN321" s="35" t="str">
        <f t="shared" si="23"/>
        <v>✓ OK</v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1965</v>
      </c>
      <c r="C322" s="41" t="s">
        <v>1966</v>
      </c>
      <c r="D322" s="39" t="s">
        <v>1332</v>
      </c>
      <c r="E322" s="42">
        <v>46132</v>
      </c>
      <c r="F322" s="26" t="s">
        <v>55</v>
      </c>
      <c r="G322" s="26" t="s">
        <v>57</v>
      </c>
      <c r="H322" s="26" t="s">
        <v>57</v>
      </c>
      <c r="I322" s="26" t="s">
        <v>90</v>
      </c>
      <c r="J322" s="26" t="s">
        <v>57</v>
      </c>
      <c r="K322" s="27" t="s">
        <v>91</v>
      </c>
      <c r="L322" s="28" t="s">
        <v>56</v>
      </c>
      <c r="M322" s="29" t="str">
        <f t="shared" si="20"/>
        <v>⚠ Missing</v>
      </c>
      <c r="N322" s="42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70">
        <v>46248</v>
      </c>
      <c r="X322" s="30" t="s">
        <v>55</v>
      </c>
      <c r="Y322" s="30" t="s">
        <v>56</v>
      </c>
      <c r="Z322" s="30" t="s">
        <v>57</v>
      </c>
      <c r="AA322" s="30" t="s">
        <v>58</v>
      </c>
      <c r="AB322" s="30" t="s">
        <v>56</v>
      </c>
      <c r="AC322" s="27"/>
      <c r="AD322" s="31" t="s">
        <v>57</v>
      </c>
      <c r="AE322" s="32" t="str">
        <f t="shared" si="22"/>
        <v>✓ OK</v>
      </c>
      <c r="AF322" s="33" t="s">
        <v>61</v>
      </c>
      <c r="AG322" s="33" t="s">
        <v>55</v>
      </c>
      <c r="AH322" s="33" t="s">
        <v>56</v>
      </c>
      <c r="AI322" s="33" t="s">
        <v>57</v>
      </c>
      <c r="AJ322" s="33" t="s">
        <v>58</v>
      </c>
      <c r="AK322" s="33" t="s">
        <v>56</v>
      </c>
      <c r="AL322" s="27"/>
      <c r="AM322" s="34" t="s">
        <v>57</v>
      </c>
      <c r="AN322" s="35" t="str">
        <f t="shared" si="23"/>
        <v>✓ OK</v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1967</v>
      </c>
      <c r="C323" s="25" t="s">
        <v>1968</v>
      </c>
      <c r="D323" s="23" t="s">
        <v>1332</v>
      </c>
      <c r="E323" s="42">
        <v>46132</v>
      </c>
      <c r="F323" s="26" t="s">
        <v>55</v>
      </c>
      <c r="G323" s="26" t="s">
        <v>57</v>
      </c>
      <c r="H323" s="26" t="s">
        <v>57</v>
      </c>
      <c r="I323" s="26" t="s">
        <v>90</v>
      </c>
      <c r="J323" s="26" t="s">
        <v>57</v>
      </c>
      <c r="K323" s="27" t="s">
        <v>91</v>
      </c>
      <c r="L323" s="28" t="s">
        <v>56</v>
      </c>
      <c r="M323" s="29" t="str">
        <f t="shared" si="20"/>
        <v>⚠ Missing</v>
      </c>
      <c r="N323" s="42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70">
        <v>46248</v>
      </c>
      <c r="X323" s="30" t="s">
        <v>55</v>
      </c>
      <c r="Y323" s="30" t="s">
        <v>56</v>
      </c>
      <c r="Z323" s="30" t="s">
        <v>57</v>
      </c>
      <c r="AA323" s="30" t="s">
        <v>58</v>
      </c>
      <c r="AB323" s="30" t="s">
        <v>56</v>
      </c>
      <c r="AC323" s="27"/>
      <c r="AD323" s="31" t="s">
        <v>57</v>
      </c>
      <c r="AE323" s="32" t="str">
        <f t="shared" si="22"/>
        <v>✓ OK</v>
      </c>
      <c r="AF323" s="33" t="s">
        <v>61</v>
      </c>
      <c r="AG323" s="33" t="s">
        <v>55</v>
      </c>
      <c r="AH323" s="33" t="s">
        <v>56</v>
      </c>
      <c r="AI323" s="33" t="s">
        <v>57</v>
      </c>
      <c r="AJ323" s="33" t="s">
        <v>58</v>
      </c>
      <c r="AK323" s="33" t="s">
        <v>56</v>
      </c>
      <c r="AL323" s="27"/>
      <c r="AM323" s="34" t="s">
        <v>57</v>
      </c>
      <c r="AN323" s="35" t="str">
        <f t="shared" si="23"/>
        <v>✓ OK</v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1969</v>
      </c>
      <c r="C324" s="41" t="s">
        <v>1970</v>
      </c>
      <c r="D324" s="39" t="s">
        <v>1332</v>
      </c>
      <c r="E324" s="42">
        <v>46132</v>
      </c>
      <c r="F324" s="26" t="s">
        <v>55</v>
      </c>
      <c r="G324" s="26" t="s">
        <v>57</v>
      </c>
      <c r="H324" s="26" t="s">
        <v>57</v>
      </c>
      <c r="I324" s="26" t="s">
        <v>90</v>
      </c>
      <c r="J324" s="26" t="s">
        <v>57</v>
      </c>
      <c r="K324" s="27" t="s">
        <v>91</v>
      </c>
      <c r="L324" s="28" t="s">
        <v>56</v>
      </c>
      <c r="M324" s="29" t="str">
        <f t="shared" si="20"/>
        <v>⚠ Missing</v>
      </c>
      <c r="N324" s="42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70">
        <v>46248</v>
      </c>
      <c r="X324" s="30" t="s">
        <v>55</v>
      </c>
      <c r="Y324" s="30" t="s">
        <v>56</v>
      </c>
      <c r="Z324" s="30" t="s">
        <v>57</v>
      </c>
      <c r="AA324" s="30" t="s">
        <v>58</v>
      </c>
      <c r="AB324" s="30" t="s">
        <v>56</v>
      </c>
      <c r="AC324" s="27"/>
      <c r="AD324" s="31" t="s">
        <v>57</v>
      </c>
      <c r="AE324" s="32" t="str">
        <f t="shared" si="22"/>
        <v>✓ OK</v>
      </c>
      <c r="AF324" s="33" t="s">
        <v>61</v>
      </c>
      <c r="AG324" s="33" t="s">
        <v>55</v>
      </c>
      <c r="AH324" s="33" t="s">
        <v>56</v>
      </c>
      <c r="AI324" s="33" t="s">
        <v>57</v>
      </c>
      <c r="AJ324" s="33" t="s">
        <v>58</v>
      </c>
      <c r="AK324" s="33" t="s">
        <v>56</v>
      </c>
      <c r="AL324" s="27"/>
      <c r="AM324" s="34" t="s">
        <v>57</v>
      </c>
      <c r="AN324" s="35" t="str">
        <f t="shared" si="23"/>
        <v>✓ OK</v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1971</v>
      </c>
      <c r="C325" s="25" t="s">
        <v>1972</v>
      </c>
      <c r="D325" s="23" t="s">
        <v>1332</v>
      </c>
      <c r="E325" s="42">
        <v>46132</v>
      </c>
      <c r="F325" s="26" t="s">
        <v>55</v>
      </c>
      <c r="G325" s="26" t="s">
        <v>57</v>
      </c>
      <c r="H325" s="26" t="s">
        <v>57</v>
      </c>
      <c r="I325" s="26" t="s">
        <v>90</v>
      </c>
      <c r="J325" s="26" t="s">
        <v>57</v>
      </c>
      <c r="K325" s="27" t="s">
        <v>91</v>
      </c>
      <c r="L325" s="28" t="s">
        <v>56</v>
      </c>
      <c r="M325" s="29" t="str">
        <f t="shared" ref="M325:M388" si="25">IF(E325="","",IF(H325="Yes","❌ Disc",IF(G325="No","⚠ Missing",IF(J325="Yes","✓ OK","⚠ Check"))))</f>
        <v>⚠ Missing</v>
      </c>
      <c r="N325" s="42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56</v>
      </c>
      <c r="Z325" s="30" t="s">
        <v>57</v>
      </c>
      <c r="AA325" s="30" t="s">
        <v>58</v>
      </c>
      <c r="AB325" s="30" t="s">
        <v>56</v>
      </c>
      <c r="AC325" s="27"/>
      <c r="AD325" s="31" t="s">
        <v>57</v>
      </c>
      <c r="AE325" s="32" t="str">
        <f t="shared" ref="AE325:AE388" si="27">IF(W325="","",IF(Z325="Yes","❌ Disc",IF(Y325="No","⚠ Missing",IF(AB325="Yes","✓ OK","⚠ Check"))))</f>
        <v>✓ OK</v>
      </c>
      <c r="AF325" s="33" t="s">
        <v>61</v>
      </c>
      <c r="AG325" s="33" t="s">
        <v>55</v>
      </c>
      <c r="AH325" s="33" t="s">
        <v>56</v>
      </c>
      <c r="AI325" s="33" t="s">
        <v>57</v>
      </c>
      <c r="AJ325" s="33" t="s">
        <v>58</v>
      </c>
      <c r="AK325" s="33" t="s">
        <v>56</v>
      </c>
      <c r="AL325" s="27"/>
      <c r="AM325" s="34" t="s">
        <v>57</v>
      </c>
      <c r="AN325" s="35" t="str">
        <f t="shared" ref="AN325:AN388" si="28">IF(AF325="","",IF(AI325="Yes","❌ Disc",IF(AH325="No","⚠ Missing",IF(AK325="Yes","✓ OK","⚠ Check"))))</f>
        <v>✓ OK</v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1973</v>
      </c>
      <c r="C326" s="41" t="s">
        <v>1974</v>
      </c>
      <c r="D326" s="39" t="s">
        <v>1332</v>
      </c>
      <c r="E326" s="42">
        <v>46132</v>
      </c>
      <c r="F326" s="26" t="s">
        <v>55</v>
      </c>
      <c r="G326" s="26" t="s">
        <v>57</v>
      </c>
      <c r="H326" s="26" t="s">
        <v>57</v>
      </c>
      <c r="I326" s="26" t="s">
        <v>90</v>
      </c>
      <c r="J326" s="26" t="s">
        <v>57</v>
      </c>
      <c r="K326" s="27" t="s">
        <v>91</v>
      </c>
      <c r="L326" s="28" t="s">
        <v>56</v>
      </c>
      <c r="M326" s="29" t="str">
        <f t="shared" si="25"/>
        <v>⚠ Missing</v>
      </c>
      <c r="N326" s="42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70">
        <v>46248</v>
      </c>
      <c r="X326" s="30" t="s">
        <v>55</v>
      </c>
      <c r="Y326" s="30" t="s">
        <v>56</v>
      </c>
      <c r="Z326" s="30" t="s">
        <v>57</v>
      </c>
      <c r="AA326" s="30" t="s">
        <v>58</v>
      </c>
      <c r="AB326" s="30" t="s">
        <v>56</v>
      </c>
      <c r="AC326" s="27"/>
      <c r="AD326" s="31" t="s">
        <v>57</v>
      </c>
      <c r="AE326" s="32" t="str">
        <f t="shared" si="27"/>
        <v>✓ OK</v>
      </c>
      <c r="AF326" s="33" t="s">
        <v>61</v>
      </c>
      <c r="AG326" s="33" t="s">
        <v>55</v>
      </c>
      <c r="AH326" s="33" t="s">
        <v>56</v>
      </c>
      <c r="AI326" s="33" t="s">
        <v>57</v>
      </c>
      <c r="AJ326" s="33" t="s">
        <v>58</v>
      </c>
      <c r="AK326" s="33" t="s">
        <v>56</v>
      </c>
      <c r="AL326" s="27"/>
      <c r="AM326" s="34" t="s">
        <v>57</v>
      </c>
      <c r="AN326" s="35" t="str">
        <f t="shared" si="28"/>
        <v>✓ OK</v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1975</v>
      </c>
      <c r="C327" s="25" t="s">
        <v>1976</v>
      </c>
      <c r="D327" s="23" t="s">
        <v>1332</v>
      </c>
      <c r="E327" s="42">
        <v>46132</v>
      </c>
      <c r="F327" s="26" t="s">
        <v>55</v>
      </c>
      <c r="G327" s="26" t="s">
        <v>57</v>
      </c>
      <c r="H327" s="26" t="s">
        <v>57</v>
      </c>
      <c r="I327" s="26" t="s">
        <v>90</v>
      </c>
      <c r="J327" s="26" t="s">
        <v>57</v>
      </c>
      <c r="K327" s="27" t="s">
        <v>91</v>
      </c>
      <c r="L327" s="28" t="s">
        <v>56</v>
      </c>
      <c r="M327" s="29" t="str">
        <f t="shared" si="25"/>
        <v>⚠ Missing</v>
      </c>
      <c r="N327" s="42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70">
        <v>46248</v>
      </c>
      <c r="X327" s="30" t="s">
        <v>55</v>
      </c>
      <c r="Y327" s="30" t="s">
        <v>56</v>
      </c>
      <c r="Z327" s="30" t="s">
        <v>57</v>
      </c>
      <c r="AA327" s="30" t="s">
        <v>58</v>
      </c>
      <c r="AB327" s="30" t="s">
        <v>56</v>
      </c>
      <c r="AC327" s="27"/>
      <c r="AD327" s="31" t="s">
        <v>57</v>
      </c>
      <c r="AE327" s="32" t="str">
        <f t="shared" si="27"/>
        <v>✓ OK</v>
      </c>
      <c r="AF327" s="33" t="s">
        <v>61</v>
      </c>
      <c r="AG327" s="33" t="s">
        <v>55</v>
      </c>
      <c r="AH327" s="33" t="s">
        <v>56</v>
      </c>
      <c r="AI327" s="33" t="s">
        <v>57</v>
      </c>
      <c r="AJ327" s="33" t="s">
        <v>58</v>
      </c>
      <c r="AK327" s="33" t="s">
        <v>56</v>
      </c>
      <c r="AL327" s="27"/>
      <c r="AM327" s="34" t="s">
        <v>57</v>
      </c>
      <c r="AN327" s="35" t="str">
        <f t="shared" si="28"/>
        <v>✓ OK</v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1977</v>
      </c>
      <c r="C328" s="41" t="s">
        <v>1978</v>
      </c>
      <c r="D328" s="39" t="s">
        <v>1332</v>
      </c>
      <c r="E328" s="42">
        <v>46132</v>
      </c>
      <c r="F328" s="26" t="s">
        <v>55</v>
      </c>
      <c r="G328" s="26" t="s">
        <v>57</v>
      </c>
      <c r="H328" s="26" t="s">
        <v>57</v>
      </c>
      <c r="I328" s="26" t="s">
        <v>90</v>
      </c>
      <c r="J328" s="26" t="s">
        <v>57</v>
      </c>
      <c r="K328" s="27" t="s">
        <v>91</v>
      </c>
      <c r="L328" s="28" t="s">
        <v>56</v>
      </c>
      <c r="M328" s="29" t="str">
        <f t="shared" si="25"/>
        <v>⚠ Missing</v>
      </c>
      <c r="N328" s="42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70">
        <v>46248</v>
      </c>
      <c r="X328" s="30" t="s">
        <v>55</v>
      </c>
      <c r="Y328" s="30" t="s">
        <v>56</v>
      </c>
      <c r="Z328" s="30" t="s">
        <v>57</v>
      </c>
      <c r="AA328" s="30" t="s">
        <v>58</v>
      </c>
      <c r="AB328" s="30" t="s">
        <v>56</v>
      </c>
      <c r="AC328" s="27"/>
      <c r="AD328" s="31" t="s">
        <v>57</v>
      </c>
      <c r="AE328" s="32" t="str">
        <f t="shared" si="27"/>
        <v>✓ OK</v>
      </c>
      <c r="AF328" s="33" t="s">
        <v>61</v>
      </c>
      <c r="AG328" s="33" t="s">
        <v>55</v>
      </c>
      <c r="AH328" s="33" t="s">
        <v>56</v>
      </c>
      <c r="AI328" s="33" t="s">
        <v>57</v>
      </c>
      <c r="AJ328" s="33" t="s">
        <v>58</v>
      </c>
      <c r="AK328" s="33" t="s">
        <v>56</v>
      </c>
      <c r="AL328" s="27"/>
      <c r="AM328" s="34" t="s">
        <v>57</v>
      </c>
      <c r="AN328" s="35" t="str">
        <f t="shared" si="28"/>
        <v>✓ OK</v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1979</v>
      </c>
      <c r="C329" s="25" t="s">
        <v>1980</v>
      </c>
      <c r="D329" s="23" t="s">
        <v>1332</v>
      </c>
      <c r="E329" s="42">
        <v>46132</v>
      </c>
      <c r="F329" s="26" t="s">
        <v>55</v>
      </c>
      <c r="G329" s="26" t="s">
        <v>57</v>
      </c>
      <c r="H329" s="26" t="s">
        <v>57</v>
      </c>
      <c r="I329" s="26" t="s">
        <v>90</v>
      </c>
      <c r="J329" s="26" t="s">
        <v>57</v>
      </c>
      <c r="K329" s="27" t="s">
        <v>91</v>
      </c>
      <c r="L329" s="28" t="s">
        <v>56</v>
      </c>
      <c r="M329" s="29" t="str">
        <f t="shared" si="25"/>
        <v>⚠ Missing</v>
      </c>
      <c r="N329" s="42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70">
        <v>46248</v>
      </c>
      <c r="X329" s="30" t="s">
        <v>55</v>
      </c>
      <c r="Y329" s="30" t="s">
        <v>56</v>
      </c>
      <c r="Z329" s="30" t="s">
        <v>57</v>
      </c>
      <c r="AA329" s="30" t="s">
        <v>58</v>
      </c>
      <c r="AB329" s="30" t="s">
        <v>56</v>
      </c>
      <c r="AC329" s="27"/>
      <c r="AD329" s="31" t="s">
        <v>57</v>
      </c>
      <c r="AE329" s="32" t="str">
        <f t="shared" si="27"/>
        <v>✓ OK</v>
      </c>
      <c r="AF329" s="33" t="s">
        <v>61</v>
      </c>
      <c r="AG329" s="33" t="s">
        <v>55</v>
      </c>
      <c r="AH329" s="33" t="s">
        <v>56</v>
      </c>
      <c r="AI329" s="33" t="s">
        <v>57</v>
      </c>
      <c r="AJ329" s="33" t="s">
        <v>58</v>
      </c>
      <c r="AK329" s="33" t="s">
        <v>56</v>
      </c>
      <c r="AL329" s="27"/>
      <c r="AM329" s="34" t="s">
        <v>57</v>
      </c>
      <c r="AN329" s="35" t="str">
        <f t="shared" si="28"/>
        <v>✓ OK</v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1981</v>
      </c>
      <c r="C330" s="41" t="s">
        <v>1982</v>
      </c>
      <c r="D330" s="39" t="s">
        <v>1332</v>
      </c>
      <c r="E330" s="42">
        <v>46132</v>
      </c>
      <c r="F330" s="26" t="s">
        <v>55</v>
      </c>
      <c r="G330" s="26" t="s">
        <v>57</v>
      </c>
      <c r="H330" s="26" t="s">
        <v>57</v>
      </c>
      <c r="I330" s="26" t="s">
        <v>90</v>
      </c>
      <c r="J330" s="26" t="s">
        <v>57</v>
      </c>
      <c r="K330" s="27" t="s">
        <v>91</v>
      </c>
      <c r="L330" s="28" t="s">
        <v>56</v>
      </c>
      <c r="M330" s="29" t="str">
        <f t="shared" si="25"/>
        <v>⚠ Missing</v>
      </c>
      <c r="N330" s="42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70">
        <v>46248</v>
      </c>
      <c r="X330" s="30" t="s">
        <v>55</v>
      </c>
      <c r="Y330" s="30" t="s">
        <v>56</v>
      </c>
      <c r="Z330" s="30" t="s">
        <v>57</v>
      </c>
      <c r="AA330" s="30" t="s">
        <v>58</v>
      </c>
      <c r="AB330" s="30" t="s">
        <v>56</v>
      </c>
      <c r="AC330" s="27"/>
      <c r="AD330" s="31" t="s">
        <v>57</v>
      </c>
      <c r="AE330" s="32" t="str">
        <f t="shared" si="27"/>
        <v>✓ OK</v>
      </c>
      <c r="AF330" s="33" t="s">
        <v>61</v>
      </c>
      <c r="AG330" s="33" t="s">
        <v>55</v>
      </c>
      <c r="AH330" s="33" t="s">
        <v>56</v>
      </c>
      <c r="AI330" s="33" t="s">
        <v>57</v>
      </c>
      <c r="AJ330" s="33" t="s">
        <v>58</v>
      </c>
      <c r="AK330" s="33" t="s">
        <v>56</v>
      </c>
      <c r="AL330" s="27"/>
      <c r="AM330" s="34" t="s">
        <v>57</v>
      </c>
      <c r="AN330" s="35" t="str">
        <f t="shared" si="28"/>
        <v>✓ OK</v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1983</v>
      </c>
      <c r="C331" s="25" t="s">
        <v>1984</v>
      </c>
      <c r="D331" s="23" t="s">
        <v>1332</v>
      </c>
      <c r="E331" s="42">
        <v>46132</v>
      </c>
      <c r="F331" s="26" t="s">
        <v>55</v>
      </c>
      <c r="G331" s="26" t="s">
        <v>57</v>
      </c>
      <c r="H331" s="26" t="s">
        <v>57</v>
      </c>
      <c r="I331" s="26" t="s">
        <v>90</v>
      </c>
      <c r="J331" s="26" t="s">
        <v>57</v>
      </c>
      <c r="K331" s="27" t="s">
        <v>91</v>
      </c>
      <c r="L331" s="28" t="s">
        <v>56</v>
      </c>
      <c r="M331" s="29" t="str">
        <f t="shared" si="25"/>
        <v>⚠ Missing</v>
      </c>
      <c r="N331" s="42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70">
        <v>46248</v>
      </c>
      <c r="X331" s="30" t="s">
        <v>55</v>
      </c>
      <c r="Y331" s="30" t="s">
        <v>56</v>
      </c>
      <c r="Z331" s="30" t="s">
        <v>57</v>
      </c>
      <c r="AA331" s="30" t="s">
        <v>58</v>
      </c>
      <c r="AB331" s="30" t="s">
        <v>56</v>
      </c>
      <c r="AC331" s="27"/>
      <c r="AD331" s="31" t="s">
        <v>57</v>
      </c>
      <c r="AE331" s="32" t="str">
        <f t="shared" si="27"/>
        <v>✓ OK</v>
      </c>
      <c r="AF331" s="33" t="s">
        <v>61</v>
      </c>
      <c r="AG331" s="33" t="s">
        <v>55</v>
      </c>
      <c r="AH331" s="33" t="s">
        <v>56</v>
      </c>
      <c r="AI331" s="33" t="s">
        <v>57</v>
      </c>
      <c r="AJ331" s="33" t="s">
        <v>58</v>
      </c>
      <c r="AK331" s="33" t="s">
        <v>56</v>
      </c>
      <c r="AL331" s="27"/>
      <c r="AM331" s="34" t="s">
        <v>57</v>
      </c>
      <c r="AN331" s="35" t="str">
        <f t="shared" si="28"/>
        <v>✓ OK</v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1985</v>
      </c>
      <c r="C332" s="41" t="s">
        <v>1986</v>
      </c>
      <c r="D332" s="39" t="s">
        <v>1332</v>
      </c>
      <c r="E332" s="42">
        <v>46132</v>
      </c>
      <c r="F332" s="26" t="s">
        <v>55</v>
      </c>
      <c r="G332" s="26" t="s">
        <v>57</v>
      </c>
      <c r="H332" s="26" t="s">
        <v>57</v>
      </c>
      <c r="I332" s="26" t="s">
        <v>90</v>
      </c>
      <c r="J332" s="26" t="s">
        <v>57</v>
      </c>
      <c r="K332" s="27" t="s">
        <v>91</v>
      </c>
      <c r="L332" s="28" t="s">
        <v>56</v>
      </c>
      <c r="M332" s="29" t="str">
        <f t="shared" si="25"/>
        <v>⚠ Missing</v>
      </c>
      <c r="N332" s="42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70">
        <v>46248</v>
      </c>
      <c r="X332" s="30" t="s">
        <v>55</v>
      </c>
      <c r="Y332" s="30" t="s">
        <v>56</v>
      </c>
      <c r="Z332" s="30" t="s">
        <v>57</v>
      </c>
      <c r="AA332" s="30" t="s">
        <v>58</v>
      </c>
      <c r="AB332" s="30" t="s">
        <v>56</v>
      </c>
      <c r="AC332" s="27"/>
      <c r="AD332" s="31" t="s">
        <v>57</v>
      </c>
      <c r="AE332" s="32" t="str">
        <f t="shared" si="27"/>
        <v>✓ OK</v>
      </c>
      <c r="AF332" s="33" t="s">
        <v>61</v>
      </c>
      <c r="AG332" s="33" t="s">
        <v>55</v>
      </c>
      <c r="AH332" s="33" t="s">
        <v>56</v>
      </c>
      <c r="AI332" s="33" t="s">
        <v>57</v>
      </c>
      <c r="AJ332" s="33" t="s">
        <v>58</v>
      </c>
      <c r="AK332" s="33" t="s">
        <v>56</v>
      </c>
      <c r="AL332" s="27"/>
      <c r="AM332" s="34" t="s">
        <v>57</v>
      </c>
      <c r="AN332" s="35" t="str">
        <f t="shared" si="28"/>
        <v>✓ OK</v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1987</v>
      </c>
      <c r="C333" s="25" t="s">
        <v>1988</v>
      </c>
      <c r="D333" s="23" t="s">
        <v>1332</v>
      </c>
      <c r="E333" s="42">
        <v>46132</v>
      </c>
      <c r="F333" s="26" t="s">
        <v>55</v>
      </c>
      <c r="G333" s="26" t="s">
        <v>57</v>
      </c>
      <c r="H333" s="26" t="s">
        <v>57</v>
      </c>
      <c r="I333" s="26" t="s">
        <v>90</v>
      </c>
      <c r="J333" s="26" t="s">
        <v>57</v>
      </c>
      <c r="K333" s="27" t="s">
        <v>91</v>
      </c>
      <c r="L333" s="28" t="s">
        <v>56</v>
      </c>
      <c r="M333" s="29" t="str">
        <f t="shared" si="25"/>
        <v>⚠ Missing</v>
      </c>
      <c r="N333" s="42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70">
        <v>46248</v>
      </c>
      <c r="X333" s="30" t="s">
        <v>55</v>
      </c>
      <c r="Y333" s="30" t="s">
        <v>56</v>
      </c>
      <c r="Z333" s="30" t="s">
        <v>57</v>
      </c>
      <c r="AA333" s="30" t="s">
        <v>58</v>
      </c>
      <c r="AB333" s="30" t="s">
        <v>56</v>
      </c>
      <c r="AC333" s="27"/>
      <c r="AD333" s="31" t="s">
        <v>57</v>
      </c>
      <c r="AE333" s="32" t="str">
        <f t="shared" si="27"/>
        <v>✓ OK</v>
      </c>
      <c r="AF333" s="33" t="s">
        <v>61</v>
      </c>
      <c r="AG333" s="33" t="s">
        <v>55</v>
      </c>
      <c r="AH333" s="33" t="s">
        <v>56</v>
      </c>
      <c r="AI333" s="33" t="s">
        <v>57</v>
      </c>
      <c r="AJ333" s="33" t="s">
        <v>58</v>
      </c>
      <c r="AK333" s="33" t="s">
        <v>56</v>
      </c>
      <c r="AL333" s="27"/>
      <c r="AM333" s="34" t="s">
        <v>57</v>
      </c>
      <c r="AN333" s="35" t="str">
        <f t="shared" si="28"/>
        <v>✓ OK</v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1989</v>
      </c>
      <c r="C334" s="41" t="s">
        <v>1990</v>
      </c>
      <c r="D334" s="39" t="s">
        <v>1332</v>
      </c>
      <c r="E334" s="42">
        <v>46132</v>
      </c>
      <c r="F334" s="26" t="s">
        <v>55</v>
      </c>
      <c r="G334" s="26" t="s">
        <v>57</v>
      </c>
      <c r="H334" s="26" t="s">
        <v>57</v>
      </c>
      <c r="I334" s="26" t="s">
        <v>90</v>
      </c>
      <c r="J334" s="26" t="s">
        <v>57</v>
      </c>
      <c r="K334" s="27" t="s">
        <v>91</v>
      </c>
      <c r="L334" s="28" t="s">
        <v>56</v>
      </c>
      <c r="M334" s="29" t="str">
        <f t="shared" si="25"/>
        <v>⚠ Missing</v>
      </c>
      <c r="N334" s="42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70">
        <v>46248</v>
      </c>
      <c r="X334" s="30" t="s">
        <v>55</v>
      </c>
      <c r="Y334" s="30" t="s">
        <v>56</v>
      </c>
      <c r="Z334" s="30" t="s">
        <v>57</v>
      </c>
      <c r="AA334" s="30" t="s">
        <v>58</v>
      </c>
      <c r="AB334" s="30" t="s">
        <v>56</v>
      </c>
      <c r="AC334" s="27"/>
      <c r="AD334" s="31" t="s">
        <v>57</v>
      </c>
      <c r="AE334" s="32" t="str">
        <f t="shared" si="27"/>
        <v>✓ OK</v>
      </c>
      <c r="AF334" s="33" t="s">
        <v>61</v>
      </c>
      <c r="AG334" s="33" t="s">
        <v>55</v>
      </c>
      <c r="AH334" s="33" t="s">
        <v>56</v>
      </c>
      <c r="AI334" s="33" t="s">
        <v>57</v>
      </c>
      <c r="AJ334" s="33" t="s">
        <v>58</v>
      </c>
      <c r="AK334" s="33" t="s">
        <v>56</v>
      </c>
      <c r="AL334" s="27"/>
      <c r="AM334" s="34" t="s">
        <v>57</v>
      </c>
      <c r="AN334" s="35" t="str">
        <f t="shared" si="28"/>
        <v>✓ OK</v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1991</v>
      </c>
      <c r="C335" s="25" t="s">
        <v>1992</v>
      </c>
      <c r="D335" s="23" t="s">
        <v>1332</v>
      </c>
      <c r="E335" s="42">
        <v>46132</v>
      </c>
      <c r="F335" s="26" t="s">
        <v>55</v>
      </c>
      <c r="G335" s="26" t="s">
        <v>57</v>
      </c>
      <c r="H335" s="26" t="s">
        <v>57</v>
      </c>
      <c r="I335" s="26" t="s">
        <v>90</v>
      </c>
      <c r="J335" s="26" t="s">
        <v>57</v>
      </c>
      <c r="K335" s="27" t="s">
        <v>91</v>
      </c>
      <c r="L335" s="28" t="s">
        <v>56</v>
      </c>
      <c r="M335" s="29" t="str">
        <f t="shared" si="25"/>
        <v>⚠ Missing</v>
      </c>
      <c r="N335" s="42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70">
        <v>46248</v>
      </c>
      <c r="X335" s="30" t="s">
        <v>55</v>
      </c>
      <c r="Y335" s="30" t="s">
        <v>56</v>
      </c>
      <c r="Z335" s="30" t="s">
        <v>57</v>
      </c>
      <c r="AA335" s="30" t="s">
        <v>58</v>
      </c>
      <c r="AB335" s="30" t="s">
        <v>56</v>
      </c>
      <c r="AC335" s="27"/>
      <c r="AD335" s="31" t="s">
        <v>57</v>
      </c>
      <c r="AE335" s="32" t="str">
        <f t="shared" si="27"/>
        <v>✓ OK</v>
      </c>
      <c r="AF335" s="33" t="s">
        <v>61</v>
      </c>
      <c r="AG335" s="33" t="s">
        <v>55</v>
      </c>
      <c r="AH335" s="33" t="s">
        <v>56</v>
      </c>
      <c r="AI335" s="33" t="s">
        <v>57</v>
      </c>
      <c r="AJ335" s="33" t="s">
        <v>58</v>
      </c>
      <c r="AK335" s="33" t="s">
        <v>56</v>
      </c>
      <c r="AL335" s="27"/>
      <c r="AM335" s="34" t="s">
        <v>57</v>
      </c>
      <c r="AN335" s="35" t="str">
        <f t="shared" si="28"/>
        <v>✓ OK</v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1993</v>
      </c>
      <c r="C336" s="41" t="s">
        <v>1994</v>
      </c>
      <c r="D336" s="39" t="s">
        <v>1332</v>
      </c>
      <c r="E336" s="42">
        <v>46132</v>
      </c>
      <c r="F336" s="26" t="s">
        <v>55</v>
      </c>
      <c r="G336" s="26" t="s">
        <v>57</v>
      </c>
      <c r="H336" s="26" t="s">
        <v>57</v>
      </c>
      <c r="I336" s="26" t="s">
        <v>90</v>
      </c>
      <c r="J336" s="26" t="s">
        <v>57</v>
      </c>
      <c r="K336" s="27" t="s">
        <v>91</v>
      </c>
      <c r="L336" s="28" t="s">
        <v>56</v>
      </c>
      <c r="M336" s="29" t="str">
        <f t="shared" si="25"/>
        <v>⚠ Missing</v>
      </c>
      <c r="N336" s="42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70">
        <v>46248</v>
      </c>
      <c r="X336" s="30" t="s">
        <v>55</v>
      </c>
      <c r="Y336" s="30" t="s">
        <v>56</v>
      </c>
      <c r="Z336" s="30" t="s">
        <v>57</v>
      </c>
      <c r="AA336" s="30" t="s">
        <v>58</v>
      </c>
      <c r="AB336" s="30" t="s">
        <v>56</v>
      </c>
      <c r="AC336" s="27"/>
      <c r="AD336" s="31" t="s">
        <v>57</v>
      </c>
      <c r="AE336" s="32" t="str">
        <f t="shared" si="27"/>
        <v>✓ OK</v>
      </c>
      <c r="AF336" s="33" t="s">
        <v>61</v>
      </c>
      <c r="AG336" s="33" t="s">
        <v>55</v>
      </c>
      <c r="AH336" s="33" t="s">
        <v>56</v>
      </c>
      <c r="AI336" s="33" t="s">
        <v>57</v>
      </c>
      <c r="AJ336" s="33" t="s">
        <v>58</v>
      </c>
      <c r="AK336" s="33" t="s">
        <v>56</v>
      </c>
      <c r="AL336" s="27"/>
      <c r="AM336" s="34" t="s">
        <v>57</v>
      </c>
      <c r="AN336" s="35" t="str">
        <f t="shared" si="28"/>
        <v>✓ OK</v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1995</v>
      </c>
      <c r="C337" s="25" t="s">
        <v>1996</v>
      </c>
      <c r="D337" s="23" t="s">
        <v>1332</v>
      </c>
      <c r="E337" s="42">
        <v>46132</v>
      </c>
      <c r="F337" s="26" t="s">
        <v>55</v>
      </c>
      <c r="G337" s="26" t="s">
        <v>57</v>
      </c>
      <c r="H337" s="26" t="s">
        <v>57</v>
      </c>
      <c r="I337" s="26" t="s">
        <v>90</v>
      </c>
      <c r="J337" s="26" t="s">
        <v>57</v>
      </c>
      <c r="K337" s="27" t="s">
        <v>91</v>
      </c>
      <c r="L337" s="28" t="s">
        <v>56</v>
      </c>
      <c r="M337" s="29" t="str">
        <f t="shared" si="25"/>
        <v>⚠ Missing</v>
      </c>
      <c r="N337" s="42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70">
        <v>46248</v>
      </c>
      <c r="X337" s="30" t="s">
        <v>55</v>
      </c>
      <c r="Y337" s="30" t="s">
        <v>56</v>
      </c>
      <c r="Z337" s="30" t="s">
        <v>57</v>
      </c>
      <c r="AA337" s="30" t="s">
        <v>58</v>
      </c>
      <c r="AB337" s="30" t="s">
        <v>56</v>
      </c>
      <c r="AC337" s="27"/>
      <c r="AD337" s="31" t="s">
        <v>57</v>
      </c>
      <c r="AE337" s="32" t="str">
        <f t="shared" si="27"/>
        <v>✓ OK</v>
      </c>
      <c r="AF337" s="33" t="s">
        <v>61</v>
      </c>
      <c r="AG337" s="33" t="s">
        <v>55</v>
      </c>
      <c r="AH337" s="33" t="s">
        <v>56</v>
      </c>
      <c r="AI337" s="33" t="s">
        <v>57</v>
      </c>
      <c r="AJ337" s="33" t="s">
        <v>58</v>
      </c>
      <c r="AK337" s="33" t="s">
        <v>56</v>
      </c>
      <c r="AL337" s="27"/>
      <c r="AM337" s="34" t="s">
        <v>57</v>
      </c>
      <c r="AN337" s="35" t="str">
        <f t="shared" si="28"/>
        <v>✓ OK</v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1997</v>
      </c>
      <c r="C338" s="41" t="s">
        <v>1998</v>
      </c>
      <c r="D338" s="39" t="s">
        <v>1332</v>
      </c>
      <c r="E338" s="42">
        <v>46132</v>
      </c>
      <c r="F338" s="26" t="s">
        <v>55</v>
      </c>
      <c r="G338" s="26" t="s">
        <v>57</v>
      </c>
      <c r="H338" s="26" t="s">
        <v>57</v>
      </c>
      <c r="I338" s="26" t="s">
        <v>90</v>
      </c>
      <c r="J338" s="26" t="s">
        <v>57</v>
      </c>
      <c r="K338" s="27" t="s">
        <v>91</v>
      </c>
      <c r="L338" s="28" t="s">
        <v>56</v>
      </c>
      <c r="M338" s="29" t="str">
        <f t="shared" si="25"/>
        <v>⚠ Missing</v>
      </c>
      <c r="N338" s="42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70">
        <v>46248</v>
      </c>
      <c r="X338" s="30" t="s">
        <v>55</v>
      </c>
      <c r="Y338" s="30" t="s">
        <v>56</v>
      </c>
      <c r="Z338" s="30" t="s">
        <v>57</v>
      </c>
      <c r="AA338" s="30" t="s">
        <v>58</v>
      </c>
      <c r="AB338" s="30" t="s">
        <v>56</v>
      </c>
      <c r="AC338" s="27"/>
      <c r="AD338" s="31" t="s">
        <v>57</v>
      </c>
      <c r="AE338" s="32" t="str">
        <f t="shared" si="27"/>
        <v>✓ OK</v>
      </c>
      <c r="AF338" s="33" t="s">
        <v>61</v>
      </c>
      <c r="AG338" s="33" t="s">
        <v>55</v>
      </c>
      <c r="AH338" s="33" t="s">
        <v>56</v>
      </c>
      <c r="AI338" s="33" t="s">
        <v>57</v>
      </c>
      <c r="AJ338" s="33" t="s">
        <v>58</v>
      </c>
      <c r="AK338" s="33" t="s">
        <v>56</v>
      </c>
      <c r="AL338" s="27"/>
      <c r="AM338" s="34" t="s">
        <v>57</v>
      </c>
      <c r="AN338" s="35" t="str">
        <f t="shared" si="28"/>
        <v>✓ OK</v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1999</v>
      </c>
      <c r="C339" s="25" t="s">
        <v>2000</v>
      </c>
      <c r="D339" s="23" t="s">
        <v>1332</v>
      </c>
      <c r="E339" s="42">
        <v>46132</v>
      </c>
      <c r="F339" s="26" t="s">
        <v>55</v>
      </c>
      <c r="G339" s="26" t="s">
        <v>57</v>
      </c>
      <c r="H339" s="26" t="s">
        <v>57</v>
      </c>
      <c r="I339" s="26" t="s">
        <v>90</v>
      </c>
      <c r="J339" s="26" t="s">
        <v>57</v>
      </c>
      <c r="K339" s="27" t="s">
        <v>91</v>
      </c>
      <c r="L339" s="28" t="s">
        <v>56</v>
      </c>
      <c r="M339" s="29" t="str">
        <f t="shared" si="25"/>
        <v>⚠ Missing</v>
      </c>
      <c r="N339" s="42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70">
        <v>46248</v>
      </c>
      <c r="X339" s="30" t="s">
        <v>55</v>
      </c>
      <c r="Y339" s="30" t="s">
        <v>56</v>
      </c>
      <c r="Z339" s="30" t="s">
        <v>57</v>
      </c>
      <c r="AA339" s="30" t="s">
        <v>58</v>
      </c>
      <c r="AB339" s="30" t="s">
        <v>56</v>
      </c>
      <c r="AC339" s="27"/>
      <c r="AD339" s="31" t="s">
        <v>57</v>
      </c>
      <c r="AE339" s="32" t="str">
        <f t="shared" si="27"/>
        <v>✓ OK</v>
      </c>
      <c r="AF339" s="33" t="s">
        <v>61</v>
      </c>
      <c r="AG339" s="33" t="s">
        <v>55</v>
      </c>
      <c r="AH339" s="33" t="s">
        <v>56</v>
      </c>
      <c r="AI339" s="33" t="s">
        <v>57</v>
      </c>
      <c r="AJ339" s="33" t="s">
        <v>58</v>
      </c>
      <c r="AK339" s="33" t="s">
        <v>56</v>
      </c>
      <c r="AL339" s="27"/>
      <c r="AM339" s="34" t="s">
        <v>57</v>
      </c>
      <c r="AN339" s="35" t="str">
        <f t="shared" si="28"/>
        <v>✓ OK</v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2001</v>
      </c>
      <c r="C340" s="41" t="s">
        <v>2002</v>
      </c>
      <c r="D340" s="39" t="s">
        <v>1332</v>
      </c>
      <c r="E340" s="42">
        <v>46132</v>
      </c>
      <c r="F340" s="26" t="s">
        <v>55</v>
      </c>
      <c r="G340" s="26" t="s">
        <v>57</v>
      </c>
      <c r="H340" s="26" t="s">
        <v>57</v>
      </c>
      <c r="I340" s="26" t="s">
        <v>90</v>
      </c>
      <c r="J340" s="26" t="s">
        <v>57</v>
      </c>
      <c r="K340" s="27" t="s">
        <v>91</v>
      </c>
      <c r="L340" s="28" t="s">
        <v>56</v>
      </c>
      <c r="M340" s="29" t="str">
        <f t="shared" si="25"/>
        <v>⚠ Missing</v>
      </c>
      <c r="N340" s="42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70">
        <v>46248</v>
      </c>
      <c r="X340" s="30" t="s">
        <v>55</v>
      </c>
      <c r="Y340" s="30" t="s">
        <v>56</v>
      </c>
      <c r="Z340" s="30" t="s">
        <v>57</v>
      </c>
      <c r="AA340" s="30" t="s">
        <v>58</v>
      </c>
      <c r="AB340" s="30" t="s">
        <v>56</v>
      </c>
      <c r="AC340" s="27"/>
      <c r="AD340" s="31" t="s">
        <v>57</v>
      </c>
      <c r="AE340" s="32" t="str">
        <f t="shared" si="27"/>
        <v>✓ OK</v>
      </c>
      <c r="AF340" s="33" t="s">
        <v>61</v>
      </c>
      <c r="AG340" s="33" t="s">
        <v>55</v>
      </c>
      <c r="AH340" s="33" t="s">
        <v>56</v>
      </c>
      <c r="AI340" s="33" t="s">
        <v>57</v>
      </c>
      <c r="AJ340" s="33" t="s">
        <v>58</v>
      </c>
      <c r="AK340" s="33" t="s">
        <v>56</v>
      </c>
      <c r="AL340" s="27"/>
      <c r="AM340" s="34" t="s">
        <v>57</v>
      </c>
      <c r="AN340" s="35" t="str">
        <f t="shared" si="28"/>
        <v>✓ OK</v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2003</v>
      </c>
      <c r="C341" s="25" t="s">
        <v>2004</v>
      </c>
      <c r="D341" s="23" t="s">
        <v>1332</v>
      </c>
      <c r="E341" s="42">
        <v>46132</v>
      </c>
      <c r="F341" s="26" t="s">
        <v>55</v>
      </c>
      <c r="G341" s="26" t="s">
        <v>57</v>
      </c>
      <c r="H341" s="26" t="s">
        <v>57</v>
      </c>
      <c r="I341" s="26" t="s">
        <v>90</v>
      </c>
      <c r="J341" s="26" t="s">
        <v>57</v>
      </c>
      <c r="K341" s="27" t="s">
        <v>91</v>
      </c>
      <c r="L341" s="28" t="s">
        <v>56</v>
      </c>
      <c r="M341" s="29" t="str">
        <f t="shared" si="25"/>
        <v>⚠ Missing</v>
      </c>
      <c r="N341" s="42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70">
        <v>46248</v>
      </c>
      <c r="X341" s="30" t="s">
        <v>55</v>
      </c>
      <c r="Y341" s="30" t="s">
        <v>56</v>
      </c>
      <c r="Z341" s="30" t="s">
        <v>57</v>
      </c>
      <c r="AA341" s="30" t="s">
        <v>58</v>
      </c>
      <c r="AB341" s="30" t="s">
        <v>56</v>
      </c>
      <c r="AC341" s="27"/>
      <c r="AD341" s="31" t="s">
        <v>57</v>
      </c>
      <c r="AE341" s="32" t="str">
        <f t="shared" si="27"/>
        <v>✓ OK</v>
      </c>
      <c r="AF341" s="33" t="s">
        <v>61</v>
      </c>
      <c r="AG341" s="33" t="s">
        <v>55</v>
      </c>
      <c r="AH341" s="33" t="s">
        <v>56</v>
      </c>
      <c r="AI341" s="33" t="s">
        <v>57</v>
      </c>
      <c r="AJ341" s="33" t="s">
        <v>58</v>
      </c>
      <c r="AK341" s="33" t="s">
        <v>56</v>
      </c>
      <c r="AL341" s="27"/>
      <c r="AM341" s="34" t="s">
        <v>57</v>
      </c>
      <c r="AN341" s="35" t="str">
        <f t="shared" si="28"/>
        <v>✓ OK</v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2005</v>
      </c>
      <c r="C342" s="41" t="s">
        <v>2006</v>
      </c>
      <c r="D342" s="39" t="s">
        <v>1332</v>
      </c>
      <c r="E342" s="42">
        <v>46132</v>
      </c>
      <c r="F342" s="26" t="s">
        <v>55</v>
      </c>
      <c r="G342" s="26" t="s">
        <v>57</v>
      </c>
      <c r="H342" s="26" t="s">
        <v>57</v>
      </c>
      <c r="I342" s="26" t="s">
        <v>90</v>
      </c>
      <c r="J342" s="26" t="s">
        <v>57</v>
      </c>
      <c r="K342" s="27" t="s">
        <v>91</v>
      </c>
      <c r="L342" s="28" t="s">
        <v>56</v>
      </c>
      <c r="M342" s="29" t="str">
        <f t="shared" si="25"/>
        <v>⚠ Missing</v>
      </c>
      <c r="N342" s="42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70">
        <v>46248</v>
      </c>
      <c r="X342" s="30" t="s">
        <v>55</v>
      </c>
      <c r="Y342" s="30" t="s">
        <v>56</v>
      </c>
      <c r="Z342" s="30" t="s">
        <v>57</v>
      </c>
      <c r="AA342" s="30" t="s">
        <v>58</v>
      </c>
      <c r="AB342" s="30" t="s">
        <v>56</v>
      </c>
      <c r="AC342" s="27"/>
      <c r="AD342" s="31" t="s">
        <v>57</v>
      </c>
      <c r="AE342" s="32" t="str">
        <f t="shared" si="27"/>
        <v>✓ OK</v>
      </c>
      <c r="AF342" s="33" t="s">
        <v>61</v>
      </c>
      <c r="AG342" s="33" t="s">
        <v>55</v>
      </c>
      <c r="AH342" s="33" t="s">
        <v>56</v>
      </c>
      <c r="AI342" s="33" t="s">
        <v>57</v>
      </c>
      <c r="AJ342" s="33" t="s">
        <v>58</v>
      </c>
      <c r="AK342" s="33" t="s">
        <v>56</v>
      </c>
      <c r="AL342" s="27"/>
      <c r="AM342" s="34" t="s">
        <v>57</v>
      </c>
      <c r="AN342" s="35" t="str">
        <f t="shared" si="28"/>
        <v>✓ OK</v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2007</v>
      </c>
      <c r="C343" s="25" t="s">
        <v>2008</v>
      </c>
      <c r="D343" s="23" t="s">
        <v>1332</v>
      </c>
      <c r="E343" s="42">
        <v>46132</v>
      </c>
      <c r="F343" s="26" t="s">
        <v>55</v>
      </c>
      <c r="G343" s="26" t="s">
        <v>57</v>
      </c>
      <c r="H343" s="26" t="s">
        <v>57</v>
      </c>
      <c r="I343" s="26" t="s">
        <v>90</v>
      </c>
      <c r="J343" s="26" t="s">
        <v>57</v>
      </c>
      <c r="K343" s="27" t="s">
        <v>91</v>
      </c>
      <c r="L343" s="28" t="s">
        <v>56</v>
      </c>
      <c r="M343" s="29" t="str">
        <f t="shared" si="25"/>
        <v>⚠ Missing</v>
      </c>
      <c r="N343" s="42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70">
        <v>46248</v>
      </c>
      <c r="X343" s="30" t="s">
        <v>55</v>
      </c>
      <c r="Y343" s="30" t="s">
        <v>56</v>
      </c>
      <c r="Z343" s="30" t="s">
        <v>57</v>
      </c>
      <c r="AA343" s="30" t="s">
        <v>58</v>
      </c>
      <c r="AB343" s="30" t="s">
        <v>56</v>
      </c>
      <c r="AC343" s="27"/>
      <c r="AD343" s="31" t="s">
        <v>57</v>
      </c>
      <c r="AE343" s="32" t="str">
        <f t="shared" si="27"/>
        <v>✓ OK</v>
      </c>
      <c r="AF343" s="33" t="s">
        <v>61</v>
      </c>
      <c r="AG343" s="33" t="s">
        <v>55</v>
      </c>
      <c r="AH343" s="33" t="s">
        <v>56</v>
      </c>
      <c r="AI343" s="33" t="s">
        <v>57</v>
      </c>
      <c r="AJ343" s="33" t="s">
        <v>58</v>
      </c>
      <c r="AK343" s="33" t="s">
        <v>56</v>
      </c>
      <c r="AL343" s="27"/>
      <c r="AM343" s="34" t="s">
        <v>57</v>
      </c>
      <c r="AN343" s="35" t="str">
        <f t="shared" si="28"/>
        <v>✓ OK</v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2009</v>
      </c>
      <c r="C344" s="41" t="s">
        <v>2010</v>
      </c>
      <c r="D344" s="39" t="s">
        <v>1332</v>
      </c>
      <c r="E344" s="42">
        <v>46132</v>
      </c>
      <c r="F344" s="26" t="s">
        <v>55</v>
      </c>
      <c r="G344" s="26" t="s">
        <v>57</v>
      </c>
      <c r="H344" s="26" t="s">
        <v>57</v>
      </c>
      <c r="I344" s="26" t="s">
        <v>90</v>
      </c>
      <c r="J344" s="26" t="s">
        <v>57</v>
      </c>
      <c r="K344" s="27" t="s">
        <v>91</v>
      </c>
      <c r="L344" s="28" t="s">
        <v>56</v>
      </c>
      <c r="M344" s="29" t="str">
        <f t="shared" si="25"/>
        <v>⚠ Missing</v>
      </c>
      <c r="N344" s="42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70">
        <v>46248</v>
      </c>
      <c r="X344" s="30" t="s">
        <v>55</v>
      </c>
      <c r="Y344" s="30" t="s">
        <v>56</v>
      </c>
      <c r="Z344" s="30" t="s">
        <v>57</v>
      </c>
      <c r="AA344" s="30" t="s">
        <v>58</v>
      </c>
      <c r="AB344" s="30" t="s">
        <v>56</v>
      </c>
      <c r="AC344" s="27"/>
      <c r="AD344" s="31" t="s">
        <v>57</v>
      </c>
      <c r="AE344" s="32" t="str">
        <f t="shared" si="27"/>
        <v>✓ OK</v>
      </c>
      <c r="AF344" s="33" t="s">
        <v>61</v>
      </c>
      <c r="AG344" s="33" t="s">
        <v>55</v>
      </c>
      <c r="AH344" s="33" t="s">
        <v>56</v>
      </c>
      <c r="AI344" s="33" t="s">
        <v>57</v>
      </c>
      <c r="AJ344" s="33" t="s">
        <v>58</v>
      </c>
      <c r="AK344" s="33" t="s">
        <v>56</v>
      </c>
      <c r="AL344" s="27"/>
      <c r="AM344" s="34" t="s">
        <v>57</v>
      </c>
      <c r="AN344" s="35" t="str">
        <f t="shared" si="28"/>
        <v>✓ OK</v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2011</v>
      </c>
      <c r="C345" s="25" t="s">
        <v>2012</v>
      </c>
      <c r="D345" s="23" t="s">
        <v>1332</v>
      </c>
      <c r="E345" s="42">
        <v>46132</v>
      </c>
      <c r="F345" s="26" t="s">
        <v>55</v>
      </c>
      <c r="G345" s="26" t="s">
        <v>57</v>
      </c>
      <c r="H345" s="26" t="s">
        <v>57</v>
      </c>
      <c r="I345" s="26" t="s">
        <v>90</v>
      </c>
      <c r="J345" s="26" t="s">
        <v>57</v>
      </c>
      <c r="K345" s="27" t="s">
        <v>91</v>
      </c>
      <c r="L345" s="28" t="s">
        <v>56</v>
      </c>
      <c r="M345" s="29" t="str">
        <f t="shared" si="25"/>
        <v>⚠ Missing</v>
      </c>
      <c r="N345" s="42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70">
        <v>46248</v>
      </c>
      <c r="X345" s="30" t="s">
        <v>55</v>
      </c>
      <c r="Y345" s="30" t="s">
        <v>56</v>
      </c>
      <c r="Z345" s="30" t="s">
        <v>57</v>
      </c>
      <c r="AA345" s="30" t="s">
        <v>58</v>
      </c>
      <c r="AB345" s="30" t="s">
        <v>56</v>
      </c>
      <c r="AC345" s="27"/>
      <c r="AD345" s="31" t="s">
        <v>57</v>
      </c>
      <c r="AE345" s="32" t="str">
        <f t="shared" si="27"/>
        <v>✓ OK</v>
      </c>
      <c r="AF345" s="33" t="s">
        <v>61</v>
      </c>
      <c r="AG345" s="33" t="s">
        <v>55</v>
      </c>
      <c r="AH345" s="33" t="s">
        <v>56</v>
      </c>
      <c r="AI345" s="33" t="s">
        <v>57</v>
      </c>
      <c r="AJ345" s="33" t="s">
        <v>58</v>
      </c>
      <c r="AK345" s="33" t="s">
        <v>56</v>
      </c>
      <c r="AL345" s="27"/>
      <c r="AM345" s="34" t="s">
        <v>57</v>
      </c>
      <c r="AN345" s="35" t="str">
        <f t="shared" si="28"/>
        <v>✓ OK</v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2013</v>
      </c>
      <c r="C346" s="41" t="s">
        <v>2014</v>
      </c>
      <c r="D346" s="39" t="s">
        <v>1332</v>
      </c>
      <c r="E346" s="42">
        <v>46132</v>
      </c>
      <c r="F346" s="26" t="s">
        <v>55</v>
      </c>
      <c r="G346" s="26" t="s">
        <v>57</v>
      </c>
      <c r="H346" s="26" t="s">
        <v>57</v>
      </c>
      <c r="I346" s="26" t="s">
        <v>90</v>
      </c>
      <c r="J346" s="26" t="s">
        <v>57</v>
      </c>
      <c r="K346" s="27" t="s">
        <v>91</v>
      </c>
      <c r="L346" s="28" t="s">
        <v>56</v>
      </c>
      <c r="M346" s="29" t="str">
        <f t="shared" si="25"/>
        <v>⚠ Missing</v>
      </c>
      <c r="N346" s="42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70">
        <v>46248</v>
      </c>
      <c r="X346" s="30" t="s">
        <v>55</v>
      </c>
      <c r="Y346" s="30" t="s">
        <v>56</v>
      </c>
      <c r="Z346" s="30" t="s">
        <v>57</v>
      </c>
      <c r="AA346" s="30" t="s">
        <v>58</v>
      </c>
      <c r="AB346" s="30" t="s">
        <v>56</v>
      </c>
      <c r="AC346" s="27"/>
      <c r="AD346" s="31" t="s">
        <v>57</v>
      </c>
      <c r="AE346" s="32" t="str">
        <f t="shared" si="27"/>
        <v>✓ OK</v>
      </c>
      <c r="AF346" s="33" t="s">
        <v>61</v>
      </c>
      <c r="AG346" s="33" t="s">
        <v>55</v>
      </c>
      <c r="AH346" s="33" t="s">
        <v>56</v>
      </c>
      <c r="AI346" s="33" t="s">
        <v>57</v>
      </c>
      <c r="AJ346" s="33" t="s">
        <v>58</v>
      </c>
      <c r="AK346" s="33" t="s">
        <v>56</v>
      </c>
      <c r="AL346" s="27"/>
      <c r="AM346" s="34" t="s">
        <v>57</v>
      </c>
      <c r="AN346" s="35" t="str">
        <f t="shared" si="28"/>
        <v>✓ OK</v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2015</v>
      </c>
      <c r="C347" s="25" t="s">
        <v>2016</v>
      </c>
      <c r="D347" s="23" t="s">
        <v>1332</v>
      </c>
      <c r="E347" s="42">
        <v>46132</v>
      </c>
      <c r="F347" s="26" t="s">
        <v>55</v>
      </c>
      <c r="G347" s="26" t="s">
        <v>57</v>
      </c>
      <c r="H347" s="26" t="s">
        <v>57</v>
      </c>
      <c r="I347" s="26" t="s">
        <v>90</v>
      </c>
      <c r="J347" s="26" t="s">
        <v>57</v>
      </c>
      <c r="K347" s="27" t="s">
        <v>91</v>
      </c>
      <c r="L347" s="28" t="s">
        <v>56</v>
      </c>
      <c r="M347" s="29" t="str">
        <f t="shared" si="25"/>
        <v>⚠ Missing</v>
      </c>
      <c r="N347" s="42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70">
        <v>46248</v>
      </c>
      <c r="X347" s="30" t="s">
        <v>55</v>
      </c>
      <c r="Y347" s="30" t="s">
        <v>56</v>
      </c>
      <c r="Z347" s="30" t="s">
        <v>57</v>
      </c>
      <c r="AA347" s="30" t="s">
        <v>58</v>
      </c>
      <c r="AB347" s="30" t="s">
        <v>56</v>
      </c>
      <c r="AC347" s="27"/>
      <c r="AD347" s="31" t="s">
        <v>57</v>
      </c>
      <c r="AE347" s="32" t="str">
        <f t="shared" si="27"/>
        <v>✓ OK</v>
      </c>
      <c r="AF347" s="33" t="s">
        <v>61</v>
      </c>
      <c r="AG347" s="33" t="s">
        <v>55</v>
      </c>
      <c r="AH347" s="33" t="s">
        <v>56</v>
      </c>
      <c r="AI347" s="33" t="s">
        <v>57</v>
      </c>
      <c r="AJ347" s="33" t="s">
        <v>58</v>
      </c>
      <c r="AK347" s="33" t="s">
        <v>56</v>
      </c>
      <c r="AL347" s="27"/>
      <c r="AM347" s="34" t="s">
        <v>57</v>
      </c>
      <c r="AN347" s="35" t="str">
        <f t="shared" si="28"/>
        <v>✓ OK</v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2017</v>
      </c>
      <c r="C348" s="41" t="s">
        <v>2018</v>
      </c>
      <c r="D348" s="39" t="s">
        <v>1332</v>
      </c>
      <c r="E348" s="42">
        <v>46132</v>
      </c>
      <c r="F348" s="26" t="s">
        <v>55</v>
      </c>
      <c r="G348" s="26" t="s">
        <v>57</v>
      </c>
      <c r="H348" s="26" t="s">
        <v>57</v>
      </c>
      <c r="I348" s="26" t="s">
        <v>90</v>
      </c>
      <c r="J348" s="26" t="s">
        <v>57</v>
      </c>
      <c r="K348" s="27" t="s">
        <v>91</v>
      </c>
      <c r="L348" s="28" t="s">
        <v>56</v>
      </c>
      <c r="M348" s="29" t="str">
        <f t="shared" si="25"/>
        <v>⚠ Missing</v>
      </c>
      <c r="N348" s="42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70">
        <v>46248</v>
      </c>
      <c r="X348" s="30" t="s">
        <v>55</v>
      </c>
      <c r="Y348" s="30" t="s">
        <v>56</v>
      </c>
      <c r="Z348" s="30" t="s">
        <v>57</v>
      </c>
      <c r="AA348" s="30" t="s">
        <v>58</v>
      </c>
      <c r="AB348" s="30" t="s">
        <v>56</v>
      </c>
      <c r="AC348" s="27"/>
      <c r="AD348" s="31" t="s">
        <v>57</v>
      </c>
      <c r="AE348" s="32" t="str">
        <f t="shared" si="27"/>
        <v>✓ OK</v>
      </c>
      <c r="AF348" s="33" t="s">
        <v>61</v>
      </c>
      <c r="AG348" s="33" t="s">
        <v>55</v>
      </c>
      <c r="AH348" s="33" t="s">
        <v>56</v>
      </c>
      <c r="AI348" s="33" t="s">
        <v>57</v>
      </c>
      <c r="AJ348" s="33" t="s">
        <v>58</v>
      </c>
      <c r="AK348" s="33" t="s">
        <v>56</v>
      </c>
      <c r="AL348" s="27"/>
      <c r="AM348" s="34" t="s">
        <v>57</v>
      </c>
      <c r="AN348" s="35" t="str">
        <f t="shared" si="28"/>
        <v>✓ OK</v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2019</v>
      </c>
      <c r="C349" s="25" t="s">
        <v>2020</v>
      </c>
      <c r="D349" s="23" t="s">
        <v>1332</v>
      </c>
      <c r="E349" s="42">
        <v>46132</v>
      </c>
      <c r="F349" s="26" t="s">
        <v>55</v>
      </c>
      <c r="G349" s="26" t="s">
        <v>57</v>
      </c>
      <c r="H349" s="26" t="s">
        <v>57</v>
      </c>
      <c r="I349" s="26" t="s">
        <v>90</v>
      </c>
      <c r="J349" s="26" t="s">
        <v>57</v>
      </c>
      <c r="K349" s="27" t="s">
        <v>91</v>
      </c>
      <c r="L349" s="28" t="s">
        <v>56</v>
      </c>
      <c r="M349" s="29" t="str">
        <f t="shared" si="25"/>
        <v>⚠ Missing</v>
      </c>
      <c r="N349" s="42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70">
        <v>46248</v>
      </c>
      <c r="X349" s="30" t="s">
        <v>55</v>
      </c>
      <c r="Y349" s="30" t="s">
        <v>56</v>
      </c>
      <c r="Z349" s="30" t="s">
        <v>57</v>
      </c>
      <c r="AA349" s="30" t="s">
        <v>58</v>
      </c>
      <c r="AB349" s="30" t="s">
        <v>56</v>
      </c>
      <c r="AC349" s="27"/>
      <c r="AD349" s="31" t="s">
        <v>57</v>
      </c>
      <c r="AE349" s="32" t="str">
        <f t="shared" si="27"/>
        <v>✓ OK</v>
      </c>
      <c r="AF349" s="33" t="s">
        <v>61</v>
      </c>
      <c r="AG349" s="33" t="s">
        <v>55</v>
      </c>
      <c r="AH349" s="33" t="s">
        <v>56</v>
      </c>
      <c r="AI349" s="33" t="s">
        <v>57</v>
      </c>
      <c r="AJ349" s="33" t="s">
        <v>58</v>
      </c>
      <c r="AK349" s="33" t="s">
        <v>56</v>
      </c>
      <c r="AL349" s="27"/>
      <c r="AM349" s="34" t="s">
        <v>57</v>
      </c>
      <c r="AN349" s="35" t="str">
        <f t="shared" si="28"/>
        <v>✓ OK</v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2021</v>
      </c>
      <c r="C350" s="41" t="s">
        <v>2022</v>
      </c>
      <c r="D350" s="39" t="s">
        <v>1332</v>
      </c>
      <c r="E350" s="42">
        <v>46132</v>
      </c>
      <c r="F350" s="26" t="s">
        <v>55</v>
      </c>
      <c r="G350" s="26" t="s">
        <v>57</v>
      </c>
      <c r="H350" s="26" t="s">
        <v>57</v>
      </c>
      <c r="I350" s="26" t="s">
        <v>90</v>
      </c>
      <c r="J350" s="26" t="s">
        <v>57</v>
      </c>
      <c r="K350" s="27" t="s">
        <v>91</v>
      </c>
      <c r="L350" s="28" t="s">
        <v>56</v>
      </c>
      <c r="M350" s="29" t="str">
        <f t="shared" si="25"/>
        <v>⚠ Missing</v>
      </c>
      <c r="N350" s="42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70">
        <v>46248</v>
      </c>
      <c r="X350" s="30" t="s">
        <v>55</v>
      </c>
      <c r="Y350" s="30" t="s">
        <v>56</v>
      </c>
      <c r="Z350" s="30" t="s">
        <v>57</v>
      </c>
      <c r="AA350" s="30" t="s">
        <v>58</v>
      </c>
      <c r="AB350" s="30" t="s">
        <v>56</v>
      </c>
      <c r="AC350" s="27"/>
      <c r="AD350" s="31" t="s">
        <v>57</v>
      </c>
      <c r="AE350" s="32" t="str">
        <f t="shared" si="27"/>
        <v>✓ OK</v>
      </c>
      <c r="AF350" s="33" t="s">
        <v>61</v>
      </c>
      <c r="AG350" s="33" t="s">
        <v>55</v>
      </c>
      <c r="AH350" s="33" t="s">
        <v>56</v>
      </c>
      <c r="AI350" s="33" t="s">
        <v>57</v>
      </c>
      <c r="AJ350" s="33" t="s">
        <v>58</v>
      </c>
      <c r="AK350" s="33" t="s">
        <v>56</v>
      </c>
      <c r="AL350" s="27"/>
      <c r="AM350" s="34" t="s">
        <v>57</v>
      </c>
      <c r="AN350" s="35" t="str">
        <f t="shared" si="28"/>
        <v>✓ OK</v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2023</v>
      </c>
      <c r="C351" s="25" t="s">
        <v>2024</v>
      </c>
      <c r="D351" s="23" t="s">
        <v>1332</v>
      </c>
      <c r="E351" s="42">
        <v>46132</v>
      </c>
      <c r="F351" s="26" t="s">
        <v>55</v>
      </c>
      <c r="G351" s="26" t="s">
        <v>57</v>
      </c>
      <c r="H351" s="26" t="s">
        <v>57</v>
      </c>
      <c r="I351" s="26" t="s">
        <v>90</v>
      </c>
      <c r="J351" s="26" t="s">
        <v>57</v>
      </c>
      <c r="K351" s="27" t="s">
        <v>91</v>
      </c>
      <c r="L351" s="28" t="s">
        <v>56</v>
      </c>
      <c r="M351" s="29" t="str">
        <f t="shared" si="25"/>
        <v>⚠ Missing</v>
      </c>
      <c r="N351" s="42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70">
        <v>46248</v>
      </c>
      <c r="X351" s="30" t="s">
        <v>55</v>
      </c>
      <c r="Y351" s="30" t="s">
        <v>56</v>
      </c>
      <c r="Z351" s="30" t="s">
        <v>57</v>
      </c>
      <c r="AA351" s="30" t="s">
        <v>58</v>
      </c>
      <c r="AB351" s="30" t="s">
        <v>56</v>
      </c>
      <c r="AC351" s="27"/>
      <c r="AD351" s="31" t="s">
        <v>57</v>
      </c>
      <c r="AE351" s="32" t="str">
        <f t="shared" si="27"/>
        <v>✓ OK</v>
      </c>
      <c r="AF351" s="33" t="s">
        <v>61</v>
      </c>
      <c r="AG351" s="33" t="s">
        <v>55</v>
      </c>
      <c r="AH351" s="33" t="s">
        <v>56</v>
      </c>
      <c r="AI351" s="33" t="s">
        <v>57</v>
      </c>
      <c r="AJ351" s="33" t="s">
        <v>58</v>
      </c>
      <c r="AK351" s="33" t="s">
        <v>56</v>
      </c>
      <c r="AL351" s="27"/>
      <c r="AM351" s="34" t="s">
        <v>57</v>
      </c>
      <c r="AN351" s="35" t="str">
        <f t="shared" si="28"/>
        <v>✓ OK</v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2025</v>
      </c>
      <c r="C352" s="41" t="s">
        <v>2026</v>
      </c>
      <c r="D352" s="39" t="s">
        <v>1332</v>
      </c>
      <c r="E352" s="42">
        <v>46132</v>
      </c>
      <c r="F352" s="26" t="s">
        <v>55</v>
      </c>
      <c r="G352" s="26" t="s">
        <v>57</v>
      </c>
      <c r="H352" s="26" t="s">
        <v>57</v>
      </c>
      <c r="I352" s="26" t="s">
        <v>90</v>
      </c>
      <c r="J352" s="26" t="s">
        <v>57</v>
      </c>
      <c r="K352" s="27" t="s">
        <v>91</v>
      </c>
      <c r="L352" s="28" t="s">
        <v>56</v>
      </c>
      <c r="M352" s="29" t="str">
        <f t="shared" si="25"/>
        <v>⚠ Missing</v>
      </c>
      <c r="N352" s="42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70">
        <v>46248</v>
      </c>
      <c r="X352" s="30" t="s">
        <v>55</v>
      </c>
      <c r="Y352" s="30" t="s">
        <v>56</v>
      </c>
      <c r="Z352" s="30" t="s">
        <v>57</v>
      </c>
      <c r="AA352" s="30" t="s">
        <v>58</v>
      </c>
      <c r="AB352" s="30" t="s">
        <v>56</v>
      </c>
      <c r="AC352" s="27"/>
      <c r="AD352" s="31" t="s">
        <v>57</v>
      </c>
      <c r="AE352" s="32" t="str">
        <f t="shared" si="27"/>
        <v>✓ OK</v>
      </c>
      <c r="AF352" s="33" t="s">
        <v>61</v>
      </c>
      <c r="AG352" s="33" t="s">
        <v>55</v>
      </c>
      <c r="AH352" s="33" t="s">
        <v>56</v>
      </c>
      <c r="AI352" s="33" t="s">
        <v>57</v>
      </c>
      <c r="AJ352" s="33" t="s">
        <v>58</v>
      </c>
      <c r="AK352" s="33" t="s">
        <v>56</v>
      </c>
      <c r="AL352" s="27"/>
      <c r="AM352" s="34" t="s">
        <v>57</v>
      </c>
      <c r="AN352" s="35" t="str">
        <f t="shared" si="28"/>
        <v>✓ OK</v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2027</v>
      </c>
      <c r="C353" s="25" t="s">
        <v>2028</v>
      </c>
      <c r="D353" s="23" t="s">
        <v>1332</v>
      </c>
      <c r="E353" s="42">
        <v>46132</v>
      </c>
      <c r="F353" s="26" t="s">
        <v>55</v>
      </c>
      <c r="G353" s="26" t="s">
        <v>57</v>
      </c>
      <c r="H353" s="26" t="s">
        <v>57</v>
      </c>
      <c r="I353" s="26" t="s">
        <v>90</v>
      </c>
      <c r="J353" s="26" t="s">
        <v>57</v>
      </c>
      <c r="K353" s="27" t="s">
        <v>91</v>
      </c>
      <c r="L353" s="28" t="s">
        <v>56</v>
      </c>
      <c r="M353" s="29" t="str">
        <f t="shared" si="25"/>
        <v>⚠ Missing</v>
      </c>
      <c r="N353" s="42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70">
        <v>46248</v>
      </c>
      <c r="X353" s="30" t="s">
        <v>55</v>
      </c>
      <c r="Y353" s="30" t="s">
        <v>56</v>
      </c>
      <c r="Z353" s="30" t="s">
        <v>57</v>
      </c>
      <c r="AA353" s="30" t="s">
        <v>58</v>
      </c>
      <c r="AB353" s="30" t="s">
        <v>56</v>
      </c>
      <c r="AC353" s="27"/>
      <c r="AD353" s="31" t="s">
        <v>57</v>
      </c>
      <c r="AE353" s="32" t="str">
        <f t="shared" si="27"/>
        <v>✓ OK</v>
      </c>
      <c r="AF353" s="33" t="s">
        <v>61</v>
      </c>
      <c r="AG353" s="33" t="s">
        <v>55</v>
      </c>
      <c r="AH353" s="33" t="s">
        <v>56</v>
      </c>
      <c r="AI353" s="33" t="s">
        <v>57</v>
      </c>
      <c r="AJ353" s="33" t="s">
        <v>58</v>
      </c>
      <c r="AK353" s="33" t="s">
        <v>56</v>
      </c>
      <c r="AL353" s="27"/>
      <c r="AM353" s="34" t="s">
        <v>57</v>
      </c>
      <c r="AN353" s="35" t="str">
        <f t="shared" si="28"/>
        <v>✓ OK</v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2029</v>
      </c>
      <c r="C354" s="41" t="s">
        <v>2030</v>
      </c>
      <c r="D354" s="39" t="s">
        <v>1332</v>
      </c>
      <c r="E354" s="42">
        <v>46132</v>
      </c>
      <c r="F354" s="26" t="s">
        <v>55</v>
      </c>
      <c r="G354" s="26" t="s">
        <v>57</v>
      </c>
      <c r="H354" s="26" t="s">
        <v>57</v>
      </c>
      <c r="I354" s="26" t="s">
        <v>90</v>
      </c>
      <c r="J354" s="26" t="s">
        <v>57</v>
      </c>
      <c r="K354" s="27" t="s">
        <v>91</v>
      </c>
      <c r="L354" s="28" t="s">
        <v>56</v>
      </c>
      <c r="M354" s="29" t="str">
        <f t="shared" si="25"/>
        <v>⚠ Missing</v>
      </c>
      <c r="N354" s="42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70">
        <v>46248</v>
      </c>
      <c r="X354" s="30" t="s">
        <v>55</v>
      </c>
      <c r="Y354" s="30" t="s">
        <v>56</v>
      </c>
      <c r="Z354" s="30" t="s">
        <v>57</v>
      </c>
      <c r="AA354" s="30" t="s">
        <v>58</v>
      </c>
      <c r="AB354" s="30" t="s">
        <v>56</v>
      </c>
      <c r="AC354" s="27"/>
      <c r="AD354" s="31" t="s">
        <v>57</v>
      </c>
      <c r="AE354" s="32" t="str">
        <f t="shared" si="27"/>
        <v>✓ OK</v>
      </c>
      <c r="AF354" s="33" t="s">
        <v>61</v>
      </c>
      <c r="AG354" s="33" t="s">
        <v>55</v>
      </c>
      <c r="AH354" s="33" t="s">
        <v>56</v>
      </c>
      <c r="AI354" s="33" t="s">
        <v>57</v>
      </c>
      <c r="AJ354" s="33" t="s">
        <v>58</v>
      </c>
      <c r="AK354" s="33" t="s">
        <v>56</v>
      </c>
      <c r="AL354" s="27"/>
      <c r="AM354" s="34" t="s">
        <v>57</v>
      </c>
      <c r="AN354" s="35" t="str">
        <f t="shared" si="28"/>
        <v>✓ OK</v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2031</v>
      </c>
      <c r="C355" s="25" t="s">
        <v>2032</v>
      </c>
      <c r="D355" s="23" t="s">
        <v>1332</v>
      </c>
      <c r="E355" s="42">
        <v>46132</v>
      </c>
      <c r="F355" s="26" t="s">
        <v>55</v>
      </c>
      <c r="G355" s="26" t="s">
        <v>57</v>
      </c>
      <c r="H355" s="26" t="s">
        <v>57</v>
      </c>
      <c r="I355" s="26" t="s">
        <v>90</v>
      </c>
      <c r="J355" s="26" t="s">
        <v>57</v>
      </c>
      <c r="K355" s="27" t="s">
        <v>91</v>
      </c>
      <c r="L355" s="28" t="s">
        <v>56</v>
      </c>
      <c r="M355" s="29" t="str">
        <f t="shared" si="25"/>
        <v>⚠ Missing</v>
      </c>
      <c r="N355" s="42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70">
        <v>46248</v>
      </c>
      <c r="X355" s="30" t="s">
        <v>55</v>
      </c>
      <c r="Y355" s="30" t="s">
        <v>56</v>
      </c>
      <c r="Z355" s="30" t="s">
        <v>57</v>
      </c>
      <c r="AA355" s="30" t="s">
        <v>58</v>
      </c>
      <c r="AB355" s="30" t="s">
        <v>56</v>
      </c>
      <c r="AC355" s="27"/>
      <c r="AD355" s="31" t="s">
        <v>57</v>
      </c>
      <c r="AE355" s="32" t="str">
        <f t="shared" si="27"/>
        <v>✓ OK</v>
      </c>
      <c r="AF355" s="33" t="s">
        <v>61</v>
      </c>
      <c r="AG355" s="33" t="s">
        <v>55</v>
      </c>
      <c r="AH355" s="33" t="s">
        <v>56</v>
      </c>
      <c r="AI355" s="33" t="s">
        <v>57</v>
      </c>
      <c r="AJ355" s="33" t="s">
        <v>58</v>
      </c>
      <c r="AK355" s="33" t="s">
        <v>56</v>
      </c>
      <c r="AL355" s="27"/>
      <c r="AM355" s="34" t="s">
        <v>57</v>
      </c>
      <c r="AN355" s="35" t="str">
        <f t="shared" si="28"/>
        <v>✓ OK</v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2033</v>
      </c>
      <c r="C356" s="41" t="s">
        <v>2034</v>
      </c>
      <c r="D356" s="39" t="s">
        <v>1332</v>
      </c>
      <c r="E356" s="42">
        <v>46132</v>
      </c>
      <c r="F356" s="26" t="s">
        <v>55</v>
      </c>
      <c r="G356" s="26" t="s">
        <v>57</v>
      </c>
      <c r="H356" s="26" t="s">
        <v>57</v>
      </c>
      <c r="I356" s="26" t="s">
        <v>90</v>
      </c>
      <c r="J356" s="26" t="s">
        <v>57</v>
      </c>
      <c r="K356" s="27" t="s">
        <v>91</v>
      </c>
      <c r="L356" s="28" t="s">
        <v>56</v>
      </c>
      <c r="M356" s="29" t="str">
        <f t="shared" si="25"/>
        <v>⚠ Missing</v>
      </c>
      <c r="N356" s="42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70">
        <v>46248</v>
      </c>
      <c r="X356" s="30" t="s">
        <v>55</v>
      </c>
      <c r="Y356" s="30" t="s">
        <v>56</v>
      </c>
      <c r="Z356" s="30" t="s">
        <v>57</v>
      </c>
      <c r="AA356" s="30" t="s">
        <v>58</v>
      </c>
      <c r="AB356" s="30" t="s">
        <v>56</v>
      </c>
      <c r="AC356" s="27"/>
      <c r="AD356" s="31" t="s">
        <v>57</v>
      </c>
      <c r="AE356" s="32" t="str">
        <f t="shared" si="27"/>
        <v>✓ OK</v>
      </c>
      <c r="AF356" s="33" t="s">
        <v>61</v>
      </c>
      <c r="AG356" s="33" t="s">
        <v>55</v>
      </c>
      <c r="AH356" s="33" t="s">
        <v>56</v>
      </c>
      <c r="AI356" s="33" t="s">
        <v>57</v>
      </c>
      <c r="AJ356" s="33" t="s">
        <v>58</v>
      </c>
      <c r="AK356" s="33" t="s">
        <v>56</v>
      </c>
      <c r="AL356" s="27"/>
      <c r="AM356" s="34" t="s">
        <v>57</v>
      </c>
      <c r="AN356" s="35" t="str">
        <f t="shared" si="28"/>
        <v>✓ OK</v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2035</v>
      </c>
      <c r="C357" s="25" t="s">
        <v>2036</v>
      </c>
      <c r="D357" s="23" t="s">
        <v>1332</v>
      </c>
      <c r="E357" s="42">
        <v>46132</v>
      </c>
      <c r="F357" s="26" t="s">
        <v>55</v>
      </c>
      <c r="G357" s="26" t="s">
        <v>57</v>
      </c>
      <c r="H357" s="26" t="s">
        <v>57</v>
      </c>
      <c r="I357" s="26" t="s">
        <v>90</v>
      </c>
      <c r="J357" s="26" t="s">
        <v>57</v>
      </c>
      <c r="K357" s="27" t="s">
        <v>91</v>
      </c>
      <c r="L357" s="28" t="s">
        <v>56</v>
      </c>
      <c r="M357" s="29" t="str">
        <f t="shared" si="25"/>
        <v>⚠ Missing</v>
      </c>
      <c r="N357" s="42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70">
        <v>46248</v>
      </c>
      <c r="X357" s="30" t="s">
        <v>55</v>
      </c>
      <c r="Y357" s="30" t="s">
        <v>56</v>
      </c>
      <c r="Z357" s="30" t="s">
        <v>57</v>
      </c>
      <c r="AA357" s="30" t="s">
        <v>58</v>
      </c>
      <c r="AB357" s="30" t="s">
        <v>56</v>
      </c>
      <c r="AC357" s="27"/>
      <c r="AD357" s="31" t="s">
        <v>57</v>
      </c>
      <c r="AE357" s="32" t="str">
        <f t="shared" si="27"/>
        <v>✓ OK</v>
      </c>
      <c r="AF357" s="33" t="s">
        <v>61</v>
      </c>
      <c r="AG357" s="33" t="s">
        <v>55</v>
      </c>
      <c r="AH357" s="33" t="s">
        <v>56</v>
      </c>
      <c r="AI357" s="33" t="s">
        <v>57</v>
      </c>
      <c r="AJ357" s="33" t="s">
        <v>58</v>
      </c>
      <c r="AK357" s="33" t="s">
        <v>56</v>
      </c>
      <c r="AL357" s="27"/>
      <c r="AM357" s="34" t="s">
        <v>57</v>
      </c>
      <c r="AN357" s="35" t="str">
        <f t="shared" si="28"/>
        <v>✓ OK</v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2037</v>
      </c>
      <c r="C358" s="41" t="s">
        <v>2038</v>
      </c>
      <c r="D358" s="39" t="s">
        <v>1332</v>
      </c>
      <c r="E358" s="42">
        <v>46132</v>
      </c>
      <c r="F358" s="26" t="s">
        <v>55</v>
      </c>
      <c r="G358" s="26" t="s">
        <v>57</v>
      </c>
      <c r="H358" s="26" t="s">
        <v>57</v>
      </c>
      <c r="I358" s="26" t="s">
        <v>90</v>
      </c>
      <c r="J358" s="26" t="s">
        <v>57</v>
      </c>
      <c r="K358" s="27" t="s">
        <v>91</v>
      </c>
      <c r="L358" s="28" t="s">
        <v>56</v>
      </c>
      <c r="M358" s="29" t="str">
        <f t="shared" si="25"/>
        <v>⚠ Missing</v>
      </c>
      <c r="N358" s="42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70">
        <v>46248</v>
      </c>
      <c r="X358" s="30" t="s">
        <v>55</v>
      </c>
      <c r="Y358" s="30" t="s">
        <v>56</v>
      </c>
      <c r="Z358" s="30" t="s">
        <v>57</v>
      </c>
      <c r="AA358" s="30" t="s">
        <v>58</v>
      </c>
      <c r="AB358" s="30" t="s">
        <v>56</v>
      </c>
      <c r="AC358" s="27"/>
      <c r="AD358" s="31" t="s">
        <v>57</v>
      </c>
      <c r="AE358" s="32" t="str">
        <f t="shared" si="27"/>
        <v>✓ OK</v>
      </c>
      <c r="AF358" s="33" t="s">
        <v>61</v>
      </c>
      <c r="AG358" s="33" t="s">
        <v>55</v>
      </c>
      <c r="AH358" s="33" t="s">
        <v>56</v>
      </c>
      <c r="AI358" s="33" t="s">
        <v>57</v>
      </c>
      <c r="AJ358" s="33" t="s">
        <v>58</v>
      </c>
      <c r="AK358" s="33" t="s">
        <v>56</v>
      </c>
      <c r="AL358" s="27"/>
      <c r="AM358" s="34" t="s">
        <v>57</v>
      </c>
      <c r="AN358" s="35" t="str">
        <f t="shared" si="28"/>
        <v>✓ OK</v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2039</v>
      </c>
      <c r="C359" s="25" t="s">
        <v>2040</v>
      </c>
      <c r="D359" s="23" t="s">
        <v>1332</v>
      </c>
      <c r="E359" s="42">
        <v>46132</v>
      </c>
      <c r="F359" s="26" t="s">
        <v>55</v>
      </c>
      <c r="G359" s="26" t="s">
        <v>57</v>
      </c>
      <c r="H359" s="26" t="s">
        <v>57</v>
      </c>
      <c r="I359" s="26" t="s">
        <v>90</v>
      </c>
      <c r="J359" s="26" t="s">
        <v>57</v>
      </c>
      <c r="K359" s="27" t="s">
        <v>91</v>
      </c>
      <c r="L359" s="28" t="s">
        <v>56</v>
      </c>
      <c r="M359" s="29" t="str">
        <f t="shared" si="25"/>
        <v>⚠ Missing</v>
      </c>
      <c r="N359" s="42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70">
        <v>46248</v>
      </c>
      <c r="X359" s="30" t="s">
        <v>55</v>
      </c>
      <c r="Y359" s="30" t="s">
        <v>56</v>
      </c>
      <c r="Z359" s="30" t="s">
        <v>57</v>
      </c>
      <c r="AA359" s="30" t="s">
        <v>58</v>
      </c>
      <c r="AB359" s="30" t="s">
        <v>56</v>
      </c>
      <c r="AC359" s="27"/>
      <c r="AD359" s="31" t="s">
        <v>57</v>
      </c>
      <c r="AE359" s="32" t="str">
        <f t="shared" si="27"/>
        <v>✓ OK</v>
      </c>
      <c r="AF359" s="33" t="s">
        <v>61</v>
      </c>
      <c r="AG359" s="33" t="s">
        <v>55</v>
      </c>
      <c r="AH359" s="33" t="s">
        <v>56</v>
      </c>
      <c r="AI359" s="33" t="s">
        <v>57</v>
      </c>
      <c r="AJ359" s="33" t="s">
        <v>58</v>
      </c>
      <c r="AK359" s="33" t="s">
        <v>56</v>
      </c>
      <c r="AL359" s="27"/>
      <c r="AM359" s="34" t="s">
        <v>57</v>
      </c>
      <c r="AN359" s="35" t="str">
        <f t="shared" si="28"/>
        <v>✓ OK</v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2041</v>
      </c>
      <c r="C360" s="41" t="s">
        <v>2042</v>
      </c>
      <c r="D360" s="39" t="s">
        <v>1332</v>
      </c>
      <c r="E360" s="42">
        <v>46132</v>
      </c>
      <c r="F360" s="26" t="s">
        <v>55</v>
      </c>
      <c r="G360" s="26" t="s">
        <v>57</v>
      </c>
      <c r="H360" s="26" t="s">
        <v>57</v>
      </c>
      <c r="I360" s="26" t="s">
        <v>90</v>
      </c>
      <c r="J360" s="26" t="s">
        <v>57</v>
      </c>
      <c r="K360" s="27" t="s">
        <v>91</v>
      </c>
      <c r="L360" s="28" t="s">
        <v>56</v>
      </c>
      <c r="M360" s="29" t="str">
        <f t="shared" si="25"/>
        <v>⚠ Missing</v>
      </c>
      <c r="N360" s="42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70">
        <v>46248</v>
      </c>
      <c r="X360" s="30" t="s">
        <v>55</v>
      </c>
      <c r="Y360" s="30" t="s">
        <v>56</v>
      </c>
      <c r="Z360" s="30" t="s">
        <v>57</v>
      </c>
      <c r="AA360" s="30" t="s">
        <v>58</v>
      </c>
      <c r="AB360" s="30" t="s">
        <v>56</v>
      </c>
      <c r="AC360" s="27"/>
      <c r="AD360" s="31" t="s">
        <v>57</v>
      </c>
      <c r="AE360" s="32" t="str">
        <f t="shared" si="27"/>
        <v>✓ OK</v>
      </c>
      <c r="AF360" s="33" t="s">
        <v>61</v>
      </c>
      <c r="AG360" s="33" t="s">
        <v>55</v>
      </c>
      <c r="AH360" s="33" t="s">
        <v>56</v>
      </c>
      <c r="AI360" s="33" t="s">
        <v>57</v>
      </c>
      <c r="AJ360" s="33" t="s">
        <v>58</v>
      </c>
      <c r="AK360" s="33" t="s">
        <v>56</v>
      </c>
      <c r="AL360" s="27"/>
      <c r="AM360" s="34" t="s">
        <v>57</v>
      </c>
      <c r="AN360" s="35" t="str">
        <f t="shared" si="28"/>
        <v>✓ OK</v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2043</v>
      </c>
      <c r="C361" s="25" t="s">
        <v>2044</v>
      </c>
      <c r="D361" s="23" t="s">
        <v>1332</v>
      </c>
      <c r="E361" s="42">
        <v>46132</v>
      </c>
      <c r="F361" s="26" t="s">
        <v>55</v>
      </c>
      <c r="G361" s="26" t="s">
        <v>57</v>
      </c>
      <c r="H361" s="26" t="s">
        <v>57</v>
      </c>
      <c r="I361" s="26" t="s">
        <v>90</v>
      </c>
      <c r="J361" s="26" t="s">
        <v>57</v>
      </c>
      <c r="K361" s="27" t="s">
        <v>91</v>
      </c>
      <c r="L361" s="28" t="s">
        <v>56</v>
      </c>
      <c r="M361" s="29" t="str">
        <f t="shared" si="25"/>
        <v>⚠ Missing</v>
      </c>
      <c r="N361" s="42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70">
        <v>46248</v>
      </c>
      <c r="X361" s="30" t="s">
        <v>55</v>
      </c>
      <c r="Y361" s="30" t="s">
        <v>56</v>
      </c>
      <c r="Z361" s="30" t="s">
        <v>57</v>
      </c>
      <c r="AA361" s="30" t="s">
        <v>58</v>
      </c>
      <c r="AB361" s="30" t="s">
        <v>56</v>
      </c>
      <c r="AC361" s="27"/>
      <c r="AD361" s="31" t="s">
        <v>57</v>
      </c>
      <c r="AE361" s="32" t="str">
        <f t="shared" si="27"/>
        <v>✓ OK</v>
      </c>
      <c r="AF361" s="33" t="s">
        <v>61</v>
      </c>
      <c r="AG361" s="33" t="s">
        <v>55</v>
      </c>
      <c r="AH361" s="33" t="s">
        <v>56</v>
      </c>
      <c r="AI361" s="33" t="s">
        <v>57</v>
      </c>
      <c r="AJ361" s="33" t="s">
        <v>58</v>
      </c>
      <c r="AK361" s="33" t="s">
        <v>56</v>
      </c>
      <c r="AL361" s="27"/>
      <c r="AM361" s="34" t="s">
        <v>57</v>
      </c>
      <c r="AN361" s="35" t="str">
        <f t="shared" si="28"/>
        <v>✓ OK</v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2045</v>
      </c>
      <c r="C362" s="41" t="s">
        <v>2046</v>
      </c>
      <c r="D362" s="39" t="s">
        <v>1332</v>
      </c>
      <c r="E362" s="42">
        <v>46132</v>
      </c>
      <c r="F362" s="26" t="s">
        <v>55</v>
      </c>
      <c r="G362" s="26" t="s">
        <v>57</v>
      </c>
      <c r="H362" s="26" t="s">
        <v>57</v>
      </c>
      <c r="I362" s="26" t="s">
        <v>90</v>
      </c>
      <c r="J362" s="26" t="s">
        <v>57</v>
      </c>
      <c r="K362" s="27" t="s">
        <v>91</v>
      </c>
      <c r="L362" s="28" t="s">
        <v>56</v>
      </c>
      <c r="M362" s="29" t="str">
        <f t="shared" si="25"/>
        <v>⚠ Missing</v>
      </c>
      <c r="N362" s="42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70">
        <v>46248</v>
      </c>
      <c r="X362" s="30" t="s">
        <v>55</v>
      </c>
      <c r="Y362" s="30" t="s">
        <v>56</v>
      </c>
      <c r="Z362" s="30" t="s">
        <v>57</v>
      </c>
      <c r="AA362" s="30" t="s">
        <v>58</v>
      </c>
      <c r="AB362" s="30" t="s">
        <v>56</v>
      </c>
      <c r="AC362" s="27"/>
      <c r="AD362" s="31" t="s">
        <v>57</v>
      </c>
      <c r="AE362" s="32" t="str">
        <f t="shared" si="27"/>
        <v>✓ OK</v>
      </c>
      <c r="AF362" s="33" t="s">
        <v>61</v>
      </c>
      <c r="AG362" s="33" t="s">
        <v>55</v>
      </c>
      <c r="AH362" s="33" t="s">
        <v>56</v>
      </c>
      <c r="AI362" s="33" t="s">
        <v>57</v>
      </c>
      <c r="AJ362" s="33" t="s">
        <v>58</v>
      </c>
      <c r="AK362" s="33" t="s">
        <v>56</v>
      </c>
      <c r="AL362" s="27"/>
      <c r="AM362" s="34" t="s">
        <v>57</v>
      </c>
      <c r="AN362" s="35" t="str">
        <f t="shared" si="28"/>
        <v>✓ OK</v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2047</v>
      </c>
      <c r="C363" s="25" t="s">
        <v>2048</v>
      </c>
      <c r="D363" s="23" t="s">
        <v>1332</v>
      </c>
      <c r="E363" s="42">
        <v>46132</v>
      </c>
      <c r="F363" s="26" t="s">
        <v>55</v>
      </c>
      <c r="G363" s="26" t="s">
        <v>57</v>
      </c>
      <c r="H363" s="26" t="s">
        <v>57</v>
      </c>
      <c r="I363" s="26" t="s">
        <v>90</v>
      </c>
      <c r="J363" s="26" t="s">
        <v>57</v>
      </c>
      <c r="K363" s="27" t="s">
        <v>91</v>
      </c>
      <c r="L363" s="28" t="s">
        <v>56</v>
      </c>
      <c r="M363" s="29" t="str">
        <f t="shared" si="25"/>
        <v>⚠ Missing</v>
      </c>
      <c r="N363" s="42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70">
        <v>46248</v>
      </c>
      <c r="X363" s="30" t="s">
        <v>55</v>
      </c>
      <c r="Y363" s="30" t="s">
        <v>56</v>
      </c>
      <c r="Z363" s="30" t="s">
        <v>57</v>
      </c>
      <c r="AA363" s="30" t="s">
        <v>58</v>
      </c>
      <c r="AB363" s="30" t="s">
        <v>56</v>
      </c>
      <c r="AC363" s="27"/>
      <c r="AD363" s="31" t="s">
        <v>57</v>
      </c>
      <c r="AE363" s="32" t="str">
        <f t="shared" si="27"/>
        <v>✓ OK</v>
      </c>
      <c r="AF363" s="33" t="s">
        <v>61</v>
      </c>
      <c r="AG363" s="33" t="s">
        <v>55</v>
      </c>
      <c r="AH363" s="33" t="s">
        <v>56</v>
      </c>
      <c r="AI363" s="33" t="s">
        <v>57</v>
      </c>
      <c r="AJ363" s="33" t="s">
        <v>58</v>
      </c>
      <c r="AK363" s="33" t="s">
        <v>56</v>
      </c>
      <c r="AL363" s="27"/>
      <c r="AM363" s="34" t="s">
        <v>57</v>
      </c>
      <c r="AN363" s="35" t="str">
        <f t="shared" si="28"/>
        <v>✓ OK</v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2049</v>
      </c>
      <c r="C364" s="41" t="s">
        <v>2050</v>
      </c>
      <c r="D364" s="39" t="s">
        <v>1332</v>
      </c>
      <c r="E364" s="42">
        <v>46132</v>
      </c>
      <c r="F364" s="26" t="s">
        <v>55</v>
      </c>
      <c r="G364" s="26" t="s">
        <v>57</v>
      </c>
      <c r="H364" s="26" t="s">
        <v>57</v>
      </c>
      <c r="I364" s="26" t="s">
        <v>90</v>
      </c>
      <c r="J364" s="26" t="s">
        <v>57</v>
      </c>
      <c r="K364" s="27" t="s">
        <v>91</v>
      </c>
      <c r="L364" s="28" t="s">
        <v>56</v>
      </c>
      <c r="M364" s="29" t="str">
        <f t="shared" si="25"/>
        <v>⚠ Missing</v>
      </c>
      <c r="N364" s="42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70">
        <v>46248</v>
      </c>
      <c r="X364" s="30" t="s">
        <v>55</v>
      </c>
      <c r="Y364" s="30" t="s">
        <v>56</v>
      </c>
      <c r="Z364" s="30" t="s">
        <v>57</v>
      </c>
      <c r="AA364" s="30" t="s">
        <v>58</v>
      </c>
      <c r="AB364" s="30" t="s">
        <v>56</v>
      </c>
      <c r="AC364" s="27"/>
      <c r="AD364" s="31" t="s">
        <v>57</v>
      </c>
      <c r="AE364" s="32" t="str">
        <f t="shared" si="27"/>
        <v>✓ OK</v>
      </c>
      <c r="AF364" s="33" t="s">
        <v>61</v>
      </c>
      <c r="AG364" s="33" t="s">
        <v>55</v>
      </c>
      <c r="AH364" s="33" t="s">
        <v>56</v>
      </c>
      <c r="AI364" s="33" t="s">
        <v>57</v>
      </c>
      <c r="AJ364" s="33" t="s">
        <v>58</v>
      </c>
      <c r="AK364" s="33" t="s">
        <v>56</v>
      </c>
      <c r="AL364" s="27"/>
      <c r="AM364" s="34" t="s">
        <v>57</v>
      </c>
      <c r="AN364" s="35" t="str">
        <f t="shared" si="28"/>
        <v>✓ OK</v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2051</v>
      </c>
      <c r="C365" s="25" t="s">
        <v>2052</v>
      </c>
      <c r="D365" s="23" t="s">
        <v>1332</v>
      </c>
      <c r="E365" s="42">
        <v>46132</v>
      </c>
      <c r="F365" s="26" t="s">
        <v>55</v>
      </c>
      <c r="G365" s="26" t="s">
        <v>57</v>
      </c>
      <c r="H365" s="26" t="s">
        <v>57</v>
      </c>
      <c r="I365" s="26" t="s">
        <v>90</v>
      </c>
      <c r="J365" s="26" t="s">
        <v>57</v>
      </c>
      <c r="K365" s="27" t="s">
        <v>91</v>
      </c>
      <c r="L365" s="28" t="s">
        <v>56</v>
      </c>
      <c r="M365" s="29" t="str">
        <f t="shared" si="25"/>
        <v>⚠ Missing</v>
      </c>
      <c r="N365" s="42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70">
        <v>46248</v>
      </c>
      <c r="X365" s="30" t="s">
        <v>55</v>
      </c>
      <c r="Y365" s="30" t="s">
        <v>56</v>
      </c>
      <c r="Z365" s="30" t="s">
        <v>57</v>
      </c>
      <c r="AA365" s="30" t="s">
        <v>58</v>
      </c>
      <c r="AB365" s="30" t="s">
        <v>56</v>
      </c>
      <c r="AC365" s="27"/>
      <c r="AD365" s="31" t="s">
        <v>57</v>
      </c>
      <c r="AE365" s="32" t="str">
        <f t="shared" si="27"/>
        <v>✓ OK</v>
      </c>
      <c r="AF365" s="33" t="s">
        <v>61</v>
      </c>
      <c r="AG365" s="33" t="s">
        <v>55</v>
      </c>
      <c r="AH365" s="33" t="s">
        <v>56</v>
      </c>
      <c r="AI365" s="33" t="s">
        <v>57</v>
      </c>
      <c r="AJ365" s="33" t="s">
        <v>58</v>
      </c>
      <c r="AK365" s="33" t="s">
        <v>56</v>
      </c>
      <c r="AL365" s="27"/>
      <c r="AM365" s="34" t="s">
        <v>57</v>
      </c>
      <c r="AN365" s="35" t="str">
        <f t="shared" si="28"/>
        <v>✓ OK</v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2053</v>
      </c>
      <c r="C366" s="41" t="s">
        <v>2054</v>
      </c>
      <c r="D366" s="39" t="s">
        <v>1332</v>
      </c>
      <c r="E366" s="42">
        <v>46132</v>
      </c>
      <c r="F366" s="26" t="s">
        <v>55</v>
      </c>
      <c r="G366" s="26" t="s">
        <v>57</v>
      </c>
      <c r="H366" s="26" t="s">
        <v>57</v>
      </c>
      <c r="I366" s="26" t="s">
        <v>90</v>
      </c>
      <c r="J366" s="26" t="s">
        <v>57</v>
      </c>
      <c r="K366" s="27" t="s">
        <v>91</v>
      </c>
      <c r="L366" s="28" t="s">
        <v>56</v>
      </c>
      <c r="M366" s="29" t="str">
        <f t="shared" si="25"/>
        <v>⚠ Missing</v>
      </c>
      <c r="N366" s="42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70">
        <v>46248</v>
      </c>
      <c r="X366" s="30" t="s">
        <v>55</v>
      </c>
      <c r="Y366" s="30" t="s">
        <v>56</v>
      </c>
      <c r="Z366" s="30" t="s">
        <v>57</v>
      </c>
      <c r="AA366" s="30" t="s">
        <v>58</v>
      </c>
      <c r="AB366" s="30" t="s">
        <v>56</v>
      </c>
      <c r="AC366" s="27"/>
      <c r="AD366" s="31" t="s">
        <v>57</v>
      </c>
      <c r="AE366" s="32" t="str">
        <f t="shared" si="27"/>
        <v>✓ OK</v>
      </c>
      <c r="AF366" s="33" t="s">
        <v>61</v>
      </c>
      <c r="AG366" s="33" t="s">
        <v>55</v>
      </c>
      <c r="AH366" s="33" t="s">
        <v>56</v>
      </c>
      <c r="AI366" s="33" t="s">
        <v>57</v>
      </c>
      <c r="AJ366" s="33" t="s">
        <v>58</v>
      </c>
      <c r="AK366" s="33" t="s">
        <v>56</v>
      </c>
      <c r="AL366" s="27"/>
      <c r="AM366" s="34" t="s">
        <v>57</v>
      </c>
      <c r="AN366" s="35" t="str">
        <f t="shared" si="28"/>
        <v>✓ OK</v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2055</v>
      </c>
      <c r="C367" s="25" t="s">
        <v>2056</v>
      </c>
      <c r="D367" s="23" t="s">
        <v>1332</v>
      </c>
      <c r="E367" s="42">
        <v>46132</v>
      </c>
      <c r="F367" s="26" t="s">
        <v>55</v>
      </c>
      <c r="G367" s="26" t="s">
        <v>57</v>
      </c>
      <c r="H367" s="26" t="s">
        <v>57</v>
      </c>
      <c r="I367" s="26" t="s">
        <v>90</v>
      </c>
      <c r="J367" s="26" t="s">
        <v>57</v>
      </c>
      <c r="K367" s="27" t="s">
        <v>91</v>
      </c>
      <c r="L367" s="28" t="s">
        <v>56</v>
      </c>
      <c r="M367" s="29" t="str">
        <f t="shared" si="25"/>
        <v>⚠ Missing</v>
      </c>
      <c r="N367" s="42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70">
        <v>46248</v>
      </c>
      <c r="X367" s="30" t="s">
        <v>55</v>
      </c>
      <c r="Y367" s="30" t="s">
        <v>56</v>
      </c>
      <c r="Z367" s="30" t="s">
        <v>57</v>
      </c>
      <c r="AA367" s="30" t="s">
        <v>58</v>
      </c>
      <c r="AB367" s="30" t="s">
        <v>56</v>
      </c>
      <c r="AC367" s="27"/>
      <c r="AD367" s="31" t="s">
        <v>57</v>
      </c>
      <c r="AE367" s="32" t="str">
        <f t="shared" si="27"/>
        <v>✓ OK</v>
      </c>
      <c r="AF367" s="33" t="s">
        <v>61</v>
      </c>
      <c r="AG367" s="33" t="s">
        <v>55</v>
      </c>
      <c r="AH367" s="33" t="s">
        <v>56</v>
      </c>
      <c r="AI367" s="33" t="s">
        <v>57</v>
      </c>
      <c r="AJ367" s="33" t="s">
        <v>58</v>
      </c>
      <c r="AK367" s="33" t="s">
        <v>56</v>
      </c>
      <c r="AL367" s="27"/>
      <c r="AM367" s="34" t="s">
        <v>57</v>
      </c>
      <c r="AN367" s="35" t="str">
        <f t="shared" si="28"/>
        <v>✓ OK</v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2057</v>
      </c>
      <c r="C368" s="41" t="s">
        <v>2058</v>
      </c>
      <c r="D368" s="39" t="s">
        <v>1332</v>
      </c>
      <c r="E368" s="42">
        <v>46132</v>
      </c>
      <c r="F368" s="26" t="s">
        <v>55</v>
      </c>
      <c r="G368" s="26" t="s">
        <v>57</v>
      </c>
      <c r="H368" s="26" t="s">
        <v>57</v>
      </c>
      <c r="I368" s="26" t="s">
        <v>90</v>
      </c>
      <c r="J368" s="26" t="s">
        <v>57</v>
      </c>
      <c r="K368" s="27" t="s">
        <v>91</v>
      </c>
      <c r="L368" s="28" t="s">
        <v>56</v>
      </c>
      <c r="M368" s="29" t="str">
        <f t="shared" si="25"/>
        <v>⚠ Missing</v>
      </c>
      <c r="N368" s="42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70">
        <v>46248</v>
      </c>
      <c r="X368" s="30" t="s">
        <v>55</v>
      </c>
      <c r="Y368" s="30" t="s">
        <v>56</v>
      </c>
      <c r="Z368" s="30" t="s">
        <v>57</v>
      </c>
      <c r="AA368" s="30" t="s">
        <v>58</v>
      </c>
      <c r="AB368" s="30" t="s">
        <v>56</v>
      </c>
      <c r="AC368" s="27"/>
      <c r="AD368" s="31" t="s">
        <v>57</v>
      </c>
      <c r="AE368" s="32" t="str">
        <f t="shared" si="27"/>
        <v>✓ OK</v>
      </c>
      <c r="AF368" s="33" t="s">
        <v>61</v>
      </c>
      <c r="AG368" s="33" t="s">
        <v>55</v>
      </c>
      <c r="AH368" s="33" t="s">
        <v>56</v>
      </c>
      <c r="AI368" s="33" t="s">
        <v>57</v>
      </c>
      <c r="AJ368" s="33" t="s">
        <v>58</v>
      </c>
      <c r="AK368" s="33" t="s">
        <v>56</v>
      </c>
      <c r="AL368" s="27"/>
      <c r="AM368" s="34" t="s">
        <v>57</v>
      </c>
      <c r="AN368" s="35" t="str">
        <f t="shared" si="28"/>
        <v>✓ OK</v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2059</v>
      </c>
      <c r="C369" s="25" t="s">
        <v>2060</v>
      </c>
      <c r="D369" s="23" t="s">
        <v>1332</v>
      </c>
      <c r="E369" s="42">
        <v>46132</v>
      </c>
      <c r="F369" s="26" t="s">
        <v>55</v>
      </c>
      <c r="G369" s="26" t="s">
        <v>57</v>
      </c>
      <c r="H369" s="26" t="s">
        <v>57</v>
      </c>
      <c r="I369" s="26" t="s">
        <v>90</v>
      </c>
      <c r="J369" s="26" t="s">
        <v>57</v>
      </c>
      <c r="K369" s="27" t="s">
        <v>91</v>
      </c>
      <c r="L369" s="28" t="s">
        <v>56</v>
      </c>
      <c r="M369" s="29" t="str">
        <f t="shared" si="25"/>
        <v>⚠ Missing</v>
      </c>
      <c r="N369" s="42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70">
        <v>46248</v>
      </c>
      <c r="X369" s="30" t="s">
        <v>55</v>
      </c>
      <c r="Y369" s="30" t="s">
        <v>56</v>
      </c>
      <c r="Z369" s="30" t="s">
        <v>57</v>
      </c>
      <c r="AA369" s="30" t="s">
        <v>58</v>
      </c>
      <c r="AB369" s="30" t="s">
        <v>56</v>
      </c>
      <c r="AC369" s="27"/>
      <c r="AD369" s="31" t="s">
        <v>57</v>
      </c>
      <c r="AE369" s="32" t="str">
        <f t="shared" si="27"/>
        <v>✓ OK</v>
      </c>
      <c r="AF369" s="33" t="s">
        <v>61</v>
      </c>
      <c r="AG369" s="33" t="s">
        <v>55</v>
      </c>
      <c r="AH369" s="33" t="s">
        <v>56</v>
      </c>
      <c r="AI369" s="33" t="s">
        <v>57</v>
      </c>
      <c r="AJ369" s="33" t="s">
        <v>58</v>
      </c>
      <c r="AK369" s="33" t="s">
        <v>56</v>
      </c>
      <c r="AL369" s="27"/>
      <c r="AM369" s="34" t="s">
        <v>57</v>
      </c>
      <c r="AN369" s="35" t="str">
        <f t="shared" si="28"/>
        <v>✓ OK</v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2061</v>
      </c>
      <c r="C370" s="41" t="s">
        <v>2062</v>
      </c>
      <c r="D370" s="39" t="s">
        <v>1332</v>
      </c>
      <c r="E370" s="42">
        <v>46132</v>
      </c>
      <c r="F370" s="26" t="s">
        <v>55</v>
      </c>
      <c r="G370" s="26" t="s">
        <v>57</v>
      </c>
      <c r="H370" s="26" t="s">
        <v>57</v>
      </c>
      <c r="I370" s="26" t="s">
        <v>90</v>
      </c>
      <c r="J370" s="26" t="s">
        <v>57</v>
      </c>
      <c r="K370" s="27" t="s">
        <v>91</v>
      </c>
      <c r="L370" s="28" t="s">
        <v>56</v>
      </c>
      <c r="M370" s="29" t="str">
        <f t="shared" si="25"/>
        <v>⚠ Missing</v>
      </c>
      <c r="N370" s="42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70">
        <v>46248</v>
      </c>
      <c r="X370" s="30" t="s">
        <v>55</v>
      </c>
      <c r="Y370" s="30" t="s">
        <v>56</v>
      </c>
      <c r="Z370" s="30" t="s">
        <v>57</v>
      </c>
      <c r="AA370" s="30" t="s">
        <v>58</v>
      </c>
      <c r="AB370" s="30" t="s">
        <v>56</v>
      </c>
      <c r="AC370" s="27"/>
      <c r="AD370" s="31" t="s">
        <v>57</v>
      </c>
      <c r="AE370" s="32" t="str">
        <f t="shared" si="27"/>
        <v>✓ OK</v>
      </c>
      <c r="AF370" s="33" t="s">
        <v>61</v>
      </c>
      <c r="AG370" s="33" t="s">
        <v>55</v>
      </c>
      <c r="AH370" s="33" t="s">
        <v>56</v>
      </c>
      <c r="AI370" s="33" t="s">
        <v>57</v>
      </c>
      <c r="AJ370" s="33" t="s">
        <v>58</v>
      </c>
      <c r="AK370" s="33" t="s">
        <v>56</v>
      </c>
      <c r="AL370" s="27"/>
      <c r="AM370" s="34" t="s">
        <v>57</v>
      </c>
      <c r="AN370" s="35" t="str">
        <f t="shared" si="28"/>
        <v>✓ OK</v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2063</v>
      </c>
      <c r="C371" s="25" t="s">
        <v>2064</v>
      </c>
      <c r="D371" s="23" t="s">
        <v>1332</v>
      </c>
      <c r="E371" s="42">
        <v>46132</v>
      </c>
      <c r="F371" s="26" t="s">
        <v>55</v>
      </c>
      <c r="G371" s="26" t="s">
        <v>57</v>
      </c>
      <c r="H371" s="26" t="s">
        <v>57</v>
      </c>
      <c r="I371" s="26" t="s">
        <v>90</v>
      </c>
      <c r="J371" s="26" t="s">
        <v>57</v>
      </c>
      <c r="K371" s="27" t="s">
        <v>91</v>
      </c>
      <c r="L371" s="28" t="s">
        <v>56</v>
      </c>
      <c r="M371" s="29" t="str">
        <f t="shared" si="25"/>
        <v>⚠ Missing</v>
      </c>
      <c r="N371" s="42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70">
        <v>46248</v>
      </c>
      <c r="X371" s="30" t="s">
        <v>55</v>
      </c>
      <c r="Y371" s="30" t="s">
        <v>56</v>
      </c>
      <c r="Z371" s="30" t="s">
        <v>57</v>
      </c>
      <c r="AA371" s="30" t="s">
        <v>58</v>
      </c>
      <c r="AB371" s="30" t="s">
        <v>56</v>
      </c>
      <c r="AC371" s="27"/>
      <c r="AD371" s="31" t="s">
        <v>57</v>
      </c>
      <c r="AE371" s="32" t="str">
        <f t="shared" si="27"/>
        <v>✓ OK</v>
      </c>
      <c r="AF371" s="33" t="s">
        <v>61</v>
      </c>
      <c r="AG371" s="33" t="s">
        <v>55</v>
      </c>
      <c r="AH371" s="33" t="s">
        <v>56</v>
      </c>
      <c r="AI371" s="33" t="s">
        <v>57</v>
      </c>
      <c r="AJ371" s="33" t="s">
        <v>58</v>
      </c>
      <c r="AK371" s="33" t="s">
        <v>56</v>
      </c>
      <c r="AL371" s="27"/>
      <c r="AM371" s="34" t="s">
        <v>57</v>
      </c>
      <c r="AN371" s="35" t="str">
        <f t="shared" si="28"/>
        <v>✓ OK</v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2065</v>
      </c>
      <c r="C372" s="41" t="s">
        <v>2066</v>
      </c>
      <c r="D372" s="39" t="s">
        <v>1332</v>
      </c>
      <c r="E372" s="42">
        <v>46132</v>
      </c>
      <c r="F372" s="26" t="s">
        <v>55</v>
      </c>
      <c r="G372" s="26" t="s">
        <v>57</v>
      </c>
      <c r="H372" s="26" t="s">
        <v>57</v>
      </c>
      <c r="I372" s="26" t="s">
        <v>90</v>
      </c>
      <c r="J372" s="26" t="s">
        <v>57</v>
      </c>
      <c r="K372" s="27" t="s">
        <v>91</v>
      </c>
      <c r="L372" s="28" t="s">
        <v>56</v>
      </c>
      <c r="M372" s="29" t="str">
        <f t="shared" si="25"/>
        <v>⚠ Missing</v>
      </c>
      <c r="N372" s="42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70">
        <v>46248</v>
      </c>
      <c r="X372" s="30" t="s">
        <v>55</v>
      </c>
      <c r="Y372" s="30" t="s">
        <v>56</v>
      </c>
      <c r="Z372" s="30" t="s">
        <v>57</v>
      </c>
      <c r="AA372" s="30" t="s">
        <v>58</v>
      </c>
      <c r="AB372" s="30" t="s">
        <v>56</v>
      </c>
      <c r="AC372" s="27"/>
      <c r="AD372" s="31" t="s">
        <v>57</v>
      </c>
      <c r="AE372" s="32" t="str">
        <f t="shared" si="27"/>
        <v>✓ OK</v>
      </c>
      <c r="AF372" s="33" t="s">
        <v>61</v>
      </c>
      <c r="AG372" s="33" t="s">
        <v>55</v>
      </c>
      <c r="AH372" s="33" t="s">
        <v>56</v>
      </c>
      <c r="AI372" s="33" t="s">
        <v>57</v>
      </c>
      <c r="AJ372" s="33" t="s">
        <v>58</v>
      </c>
      <c r="AK372" s="33" t="s">
        <v>56</v>
      </c>
      <c r="AL372" s="27"/>
      <c r="AM372" s="34" t="s">
        <v>57</v>
      </c>
      <c r="AN372" s="35" t="str">
        <f t="shared" si="28"/>
        <v>✓ OK</v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2067</v>
      </c>
      <c r="C373" s="25" t="s">
        <v>2068</v>
      </c>
      <c r="D373" s="23" t="s">
        <v>1332</v>
      </c>
      <c r="E373" s="42">
        <v>46132</v>
      </c>
      <c r="F373" s="26" t="s">
        <v>55</v>
      </c>
      <c r="G373" s="26" t="s">
        <v>57</v>
      </c>
      <c r="H373" s="26" t="s">
        <v>57</v>
      </c>
      <c r="I373" s="26" t="s">
        <v>90</v>
      </c>
      <c r="J373" s="26" t="s">
        <v>57</v>
      </c>
      <c r="K373" s="27" t="s">
        <v>91</v>
      </c>
      <c r="L373" s="28" t="s">
        <v>56</v>
      </c>
      <c r="M373" s="29" t="str">
        <f t="shared" si="25"/>
        <v>⚠ Missing</v>
      </c>
      <c r="N373" s="42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70">
        <v>46248</v>
      </c>
      <c r="X373" s="30" t="s">
        <v>55</v>
      </c>
      <c r="Y373" s="30" t="s">
        <v>56</v>
      </c>
      <c r="Z373" s="30" t="s">
        <v>57</v>
      </c>
      <c r="AA373" s="30" t="s">
        <v>58</v>
      </c>
      <c r="AB373" s="30" t="s">
        <v>56</v>
      </c>
      <c r="AC373" s="27"/>
      <c r="AD373" s="31" t="s">
        <v>57</v>
      </c>
      <c r="AE373" s="32" t="str">
        <f t="shared" si="27"/>
        <v>✓ OK</v>
      </c>
      <c r="AF373" s="33" t="s">
        <v>61</v>
      </c>
      <c r="AG373" s="33" t="s">
        <v>55</v>
      </c>
      <c r="AH373" s="33" t="s">
        <v>56</v>
      </c>
      <c r="AI373" s="33" t="s">
        <v>57</v>
      </c>
      <c r="AJ373" s="33" t="s">
        <v>58</v>
      </c>
      <c r="AK373" s="33" t="s">
        <v>56</v>
      </c>
      <c r="AL373" s="27"/>
      <c r="AM373" s="34" t="s">
        <v>57</v>
      </c>
      <c r="AN373" s="35" t="str">
        <f t="shared" si="28"/>
        <v>✓ OK</v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2069</v>
      </c>
      <c r="C374" s="41" t="s">
        <v>2070</v>
      </c>
      <c r="D374" s="39" t="s">
        <v>1332</v>
      </c>
      <c r="E374" s="42">
        <v>46132</v>
      </c>
      <c r="F374" s="26" t="s">
        <v>55</v>
      </c>
      <c r="G374" s="26" t="s">
        <v>57</v>
      </c>
      <c r="H374" s="26" t="s">
        <v>57</v>
      </c>
      <c r="I374" s="26" t="s">
        <v>90</v>
      </c>
      <c r="J374" s="26" t="s">
        <v>57</v>
      </c>
      <c r="K374" s="27" t="s">
        <v>91</v>
      </c>
      <c r="L374" s="28" t="s">
        <v>56</v>
      </c>
      <c r="M374" s="29" t="str">
        <f t="shared" si="25"/>
        <v>⚠ Missing</v>
      </c>
      <c r="N374" s="42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70">
        <v>46248</v>
      </c>
      <c r="X374" s="30" t="s">
        <v>55</v>
      </c>
      <c r="Y374" s="30" t="s">
        <v>56</v>
      </c>
      <c r="Z374" s="30" t="s">
        <v>57</v>
      </c>
      <c r="AA374" s="30" t="s">
        <v>58</v>
      </c>
      <c r="AB374" s="30" t="s">
        <v>56</v>
      </c>
      <c r="AC374" s="27"/>
      <c r="AD374" s="31" t="s">
        <v>57</v>
      </c>
      <c r="AE374" s="32" t="str">
        <f t="shared" si="27"/>
        <v>✓ OK</v>
      </c>
      <c r="AF374" s="33" t="s">
        <v>61</v>
      </c>
      <c r="AG374" s="33" t="s">
        <v>55</v>
      </c>
      <c r="AH374" s="33" t="s">
        <v>56</v>
      </c>
      <c r="AI374" s="33" t="s">
        <v>57</v>
      </c>
      <c r="AJ374" s="33" t="s">
        <v>58</v>
      </c>
      <c r="AK374" s="33" t="s">
        <v>56</v>
      </c>
      <c r="AL374" s="27"/>
      <c r="AM374" s="34" t="s">
        <v>57</v>
      </c>
      <c r="AN374" s="35" t="str">
        <f t="shared" si="28"/>
        <v>✓ OK</v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2071</v>
      </c>
      <c r="C375" s="25" t="s">
        <v>2072</v>
      </c>
      <c r="D375" s="23" t="s">
        <v>1332</v>
      </c>
      <c r="E375" s="42">
        <v>46132</v>
      </c>
      <c r="F375" s="26" t="s">
        <v>55</v>
      </c>
      <c r="G375" s="26" t="s">
        <v>57</v>
      </c>
      <c r="H375" s="26" t="s">
        <v>57</v>
      </c>
      <c r="I375" s="26" t="s">
        <v>90</v>
      </c>
      <c r="J375" s="26" t="s">
        <v>57</v>
      </c>
      <c r="K375" s="27" t="s">
        <v>91</v>
      </c>
      <c r="L375" s="28" t="s">
        <v>56</v>
      </c>
      <c r="M375" s="29" t="str">
        <f t="shared" si="25"/>
        <v>⚠ Missing</v>
      </c>
      <c r="N375" s="42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70">
        <v>46248</v>
      </c>
      <c r="X375" s="30" t="s">
        <v>55</v>
      </c>
      <c r="Y375" s="30" t="s">
        <v>56</v>
      </c>
      <c r="Z375" s="30" t="s">
        <v>57</v>
      </c>
      <c r="AA375" s="30" t="s">
        <v>58</v>
      </c>
      <c r="AB375" s="30" t="s">
        <v>56</v>
      </c>
      <c r="AC375" s="27"/>
      <c r="AD375" s="31" t="s">
        <v>57</v>
      </c>
      <c r="AE375" s="32" t="str">
        <f t="shared" si="27"/>
        <v>✓ OK</v>
      </c>
      <c r="AF375" s="33" t="s">
        <v>61</v>
      </c>
      <c r="AG375" s="33" t="s">
        <v>55</v>
      </c>
      <c r="AH375" s="33" t="s">
        <v>56</v>
      </c>
      <c r="AI375" s="33" t="s">
        <v>57</v>
      </c>
      <c r="AJ375" s="33" t="s">
        <v>58</v>
      </c>
      <c r="AK375" s="33" t="s">
        <v>56</v>
      </c>
      <c r="AL375" s="27"/>
      <c r="AM375" s="34" t="s">
        <v>57</v>
      </c>
      <c r="AN375" s="35" t="str">
        <f t="shared" si="28"/>
        <v>✓ OK</v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2073</v>
      </c>
      <c r="C376" s="41" t="s">
        <v>2074</v>
      </c>
      <c r="D376" s="39" t="s">
        <v>1332</v>
      </c>
      <c r="E376" s="42">
        <v>46132</v>
      </c>
      <c r="F376" s="26" t="s">
        <v>55</v>
      </c>
      <c r="G376" s="26" t="s">
        <v>57</v>
      </c>
      <c r="H376" s="26" t="s">
        <v>57</v>
      </c>
      <c r="I376" s="26" t="s">
        <v>90</v>
      </c>
      <c r="J376" s="26" t="s">
        <v>57</v>
      </c>
      <c r="K376" s="27" t="s">
        <v>91</v>
      </c>
      <c r="L376" s="28" t="s">
        <v>56</v>
      </c>
      <c r="M376" s="29" t="str">
        <f t="shared" si="25"/>
        <v>⚠ Missing</v>
      </c>
      <c r="N376" s="42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70">
        <v>46248</v>
      </c>
      <c r="X376" s="30" t="s">
        <v>55</v>
      </c>
      <c r="Y376" s="30" t="s">
        <v>56</v>
      </c>
      <c r="Z376" s="30" t="s">
        <v>57</v>
      </c>
      <c r="AA376" s="30" t="s">
        <v>58</v>
      </c>
      <c r="AB376" s="30" t="s">
        <v>56</v>
      </c>
      <c r="AC376" s="27"/>
      <c r="AD376" s="31" t="s">
        <v>57</v>
      </c>
      <c r="AE376" s="32" t="str">
        <f t="shared" si="27"/>
        <v>✓ OK</v>
      </c>
      <c r="AF376" s="33" t="s">
        <v>61</v>
      </c>
      <c r="AG376" s="33" t="s">
        <v>55</v>
      </c>
      <c r="AH376" s="33" t="s">
        <v>56</v>
      </c>
      <c r="AI376" s="33" t="s">
        <v>57</v>
      </c>
      <c r="AJ376" s="33" t="s">
        <v>58</v>
      </c>
      <c r="AK376" s="33" t="s">
        <v>56</v>
      </c>
      <c r="AL376" s="27"/>
      <c r="AM376" s="34" t="s">
        <v>57</v>
      </c>
      <c r="AN376" s="35" t="str">
        <f t="shared" si="28"/>
        <v>✓ OK</v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2075</v>
      </c>
      <c r="C377" s="25" t="s">
        <v>2076</v>
      </c>
      <c r="D377" s="23" t="s">
        <v>1332</v>
      </c>
      <c r="E377" s="42">
        <v>46132</v>
      </c>
      <c r="F377" s="26" t="s">
        <v>55</v>
      </c>
      <c r="G377" s="26" t="s">
        <v>57</v>
      </c>
      <c r="H377" s="26" t="s">
        <v>57</v>
      </c>
      <c r="I377" s="26" t="s">
        <v>90</v>
      </c>
      <c r="J377" s="26" t="s">
        <v>57</v>
      </c>
      <c r="K377" s="27" t="s">
        <v>91</v>
      </c>
      <c r="L377" s="28" t="s">
        <v>56</v>
      </c>
      <c r="M377" s="29" t="str">
        <f t="shared" si="25"/>
        <v>⚠ Missing</v>
      </c>
      <c r="N377" s="42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70">
        <v>46248</v>
      </c>
      <c r="X377" s="30" t="s">
        <v>55</v>
      </c>
      <c r="Y377" s="30" t="s">
        <v>56</v>
      </c>
      <c r="Z377" s="30" t="s">
        <v>57</v>
      </c>
      <c r="AA377" s="30" t="s">
        <v>58</v>
      </c>
      <c r="AB377" s="30" t="s">
        <v>56</v>
      </c>
      <c r="AC377" s="27"/>
      <c r="AD377" s="31" t="s">
        <v>57</v>
      </c>
      <c r="AE377" s="32" t="str">
        <f t="shared" si="27"/>
        <v>✓ OK</v>
      </c>
      <c r="AF377" s="33" t="s">
        <v>61</v>
      </c>
      <c r="AG377" s="33" t="s">
        <v>55</v>
      </c>
      <c r="AH377" s="33" t="s">
        <v>56</v>
      </c>
      <c r="AI377" s="33" t="s">
        <v>57</v>
      </c>
      <c r="AJ377" s="33" t="s">
        <v>58</v>
      </c>
      <c r="AK377" s="33" t="s">
        <v>56</v>
      </c>
      <c r="AL377" s="27"/>
      <c r="AM377" s="34" t="s">
        <v>57</v>
      </c>
      <c r="AN377" s="35" t="str">
        <f t="shared" si="28"/>
        <v>✓ OK</v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2077</v>
      </c>
      <c r="C378" s="41" t="s">
        <v>2078</v>
      </c>
      <c r="D378" s="39" t="s">
        <v>1332</v>
      </c>
      <c r="E378" s="42">
        <v>46132</v>
      </c>
      <c r="F378" s="26" t="s">
        <v>55</v>
      </c>
      <c r="G378" s="26" t="s">
        <v>57</v>
      </c>
      <c r="H378" s="26" t="s">
        <v>57</v>
      </c>
      <c r="I378" s="26" t="s">
        <v>90</v>
      </c>
      <c r="J378" s="26" t="s">
        <v>57</v>
      </c>
      <c r="K378" s="27" t="s">
        <v>91</v>
      </c>
      <c r="L378" s="28" t="s">
        <v>56</v>
      </c>
      <c r="M378" s="29" t="str">
        <f t="shared" si="25"/>
        <v>⚠ Missing</v>
      </c>
      <c r="N378" s="42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70">
        <v>46248</v>
      </c>
      <c r="X378" s="30" t="s">
        <v>55</v>
      </c>
      <c r="Y378" s="30" t="s">
        <v>56</v>
      </c>
      <c r="Z378" s="30" t="s">
        <v>57</v>
      </c>
      <c r="AA378" s="30" t="s">
        <v>58</v>
      </c>
      <c r="AB378" s="30" t="s">
        <v>56</v>
      </c>
      <c r="AC378" s="27"/>
      <c r="AD378" s="31" t="s">
        <v>57</v>
      </c>
      <c r="AE378" s="32" t="str">
        <f t="shared" si="27"/>
        <v>✓ OK</v>
      </c>
      <c r="AF378" s="33" t="s">
        <v>61</v>
      </c>
      <c r="AG378" s="33" t="s">
        <v>55</v>
      </c>
      <c r="AH378" s="33" t="s">
        <v>56</v>
      </c>
      <c r="AI378" s="33" t="s">
        <v>57</v>
      </c>
      <c r="AJ378" s="33" t="s">
        <v>58</v>
      </c>
      <c r="AK378" s="33" t="s">
        <v>56</v>
      </c>
      <c r="AL378" s="27"/>
      <c r="AM378" s="34" t="s">
        <v>57</v>
      </c>
      <c r="AN378" s="35" t="str">
        <f t="shared" si="28"/>
        <v>✓ OK</v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2079</v>
      </c>
      <c r="C379" s="25" t="s">
        <v>2080</v>
      </c>
      <c r="D379" s="23" t="s">
        <v>1332</v>
      </c>
      <c r="E379" s="42">
        <v>46132</v>
      </c>
      <c r="F379" s="26" t="s">
        <v>55</v>
      </c>
      <c r="G379" s="26" t="s">
        <v>57</v>
      </c>
      <c r="H379" s="26" t="s">
        <v>57</v>
      </c>
      <c r="I379" s="26" t="s">
        <v>90</v>
      </c>
      <c r="J379" s="26" t="s">
        <v>57</v>
      </c>
      <c r="K379" s="27" t="s">
        <v>91</v>
      </c>
      <c r="L379" s="28" t="s">
        <v>56</v>
      </c>
      <c r="M379" s="29" t="str">
        <f t="shared" si="25"/>
        <v>⚠ Missing</v>
      </c>
      <c r="N379" s="42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70">
        <v>46248</v>
      </c>
      <c r="X379" s="30" t="s">
        <v>55</v>
      </c>
      <c r="Y379" s="30" t="s">
        <v>56</v>
      </c>
      <c r="Z379" s="30" t="s">
        <v>57</v>
      </c>
      <c r="AA379" s="30" t="s">
        <v>58</v>
      </c>
      <c r="AB379" s="30" t="s">
        <v>56</v>
      </c>
      <c r="AC379" s="27"/>
      <c r="AD379" s="31" t="s">
        <v>57</v>
      </c>
      <c r="AE379" s="32" t="str">
        <f t="shared" si="27"/>
        <v>✓ OK</v>
      </c>
      <c r="AF379" s="33" t="s">
        <v>61</v>
      </c>
      <c r="AG379" s="33" t="s">
        <v>55</v>
      </c>
      <c r="AH379" s="33" t="s">
        <v>56</v>
      </c>
      <c r="AI379" s="33" t="s">
        <v>57</v>
      </c>
      <c r="AJ379" s="33" t="s">
        <v>58</v>
      </c>
      <c r="AK379" s="33" t="s">
        <v>56</v>
      </c>
      <c r="AL379" s="27"/>
      <c r="AM379" s="34" t="s">
        <v>57</v>
      </c>
      <c r="AN379" s="35" t="str">
        <f t="shared" si="28"/>
        <v>✓ OK</v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2081</v>
      </c>
      <c r="C380" s="41" t="s">
        <v>2082</v>
      </c>
      <c r="D380" s="39" t="s">
        <v>1332</v>
      </c>
      <c r="E380" s="42">
        <v>46132</v>
      </c>
      <c r="F380" s="26" t="s">
        <v>55</v>
      </c>
      <c r="G380" s="26" t="s">
        <v>57</v>
      </c>
      <c r="H380" s="26" t="s">
        <v>57</v>
      </c>
      <c r="I380" s="26" t="s">
        <v>90</v>
      </c>
      <c r="J380" s="26" t="s">
        <v>57</v>
      </c>
      <c r="K380" s="27" t="s">
        <v>91</v>
      </c>
      <c r="L380" s="28" t="s">
        <v>56</v>
      </c>
      <c r="M380" s="29" t="str">
        <f t="shared" si="25"/>
        <v>⚠ Missing</v>
      </c>
      <c r="N380" s="42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70">
        <v>46248</v>
      </c>
      <c r="X380" s="30" t="s">
        <v>55</v>
      </c>
      <c r="Y380" s="30" t="s">
        <v>56</v>
      </c>
      <c r="Z380" s="30" t="s">
        <v>57</v>
      </c>
      <c r="AA380" s="30" t="s">
        <v>58</v>
      </c>
      <c r="AB380" s="30" t="s">
        <v>56</v>
      </c>
      <c r="AC380" s="27"/>
      <c r="AD380" s="31" t="s">
        <v>57</v>
      </c>
      <c r="AE380" s="32" t="str">
        <f t="shared" si="27"/>
        <v>✓ OK</v>
      </c>
      <c r="AF380" s="33" t="s">
        <v>61</v>
      </c>
      <c r="AG380" s="33" t="s">
        <v>55</v>
      </c>
      <c r="AH380" s="33" t="s">
        <v>56</v>
      </c>
      <c r="AI380" s="33" t="s">
        <v>57</v>
      </c>
      <c r="AJ380" s="33" t="s">
        <v>58</v>
      </c>
      <c r="AK380" s="33" t="s">
        <v>56</v>
      </c>
      <c r="AL380" s="27"/>
      <c r="AM380" s="34" t="s">
        <v>57</v>
      </c>
      <c r="AN380" s="35" t="str">
        <f t="shared" si="28"/>
        <v>✓ OK</v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2083</v>
      </c>
      <c r="C381" s="25" t="s">
        <v>2084</v>
      </c>
      <c r="D381" s="23" t="s">
        <v>1332</v>
      </c>
      <c r="E381" s="42">
        <v>46132</v>
      </c>
      <c r="F381" s="26" t="s">
        <v>55</v>
      </c>
      <c r="G381" s="26" t="s">
        <v>57</v>
      </c>
      <c r="H381" s="26" t="s">
        <v>57</v>
      </c>
      <c r="I381" s="26" t="s">
        <v>90</v>
      </c>
      <c r="J381" s="26" t="s">
        <v>57</v>
      </c>
      <c r="K381" s="27" t="s">
        <v>91</v>
      </c>
      <c r="L381" s="28" t="s">
        <v>56</v>
      </c>
      <c r="M381" s="29" t="str">
        <f t="shared" si="25"/>
        <v>⚠ Missing</v>
      </c>
      <c r="N381" s="42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70">
        <v>46248</v>
      </c>
      <c r="X381" s="30" t="s">
        <v>55</v>
      </c>
      <c r="Y381" s="30" t="s">
        <v>56</v>
      </c>
      <c r="Z381" s="30" t="s">
        <v>57</v>
      </c>
      <c r="AA381" s="30" t="s">
        <v>58</v>
      </c>
      <c r="AB381" s="30" t="s">
        <v>56</v>
      </c>
      <c r="AC381" s="27"/>
      <c r="AD381" s="31" t="s">
        <v>57</v>
      </c>
      <c r="AE381" s="32" t="str">
        <f t="shared" si="27"/>
        <v>✓ OK</v>
      </c>
      <c r="AF381" s="33" t="s">
        <v>61</v>
      </c>
      <c r="AG381" s="33" t="s">
        <v>55</v>
      </c>
      <c r="AH381" s="33" t="s">
        <v>56</v>
      </c>
      <c r="AI381" s="33" t="s">
        <v>57</v>
      </c>
      <c r="AJ381" s="33" t="s">
        <v>58</v>
      </c>
      <c r="AK381" s="33" t="s">
        <v>56</v>
      </c>
      <c r="AL381" s="27"/>
      <c r="AM381" s="34" t="s">
        <v>57</v>
      </c>
      <c r="AN381" s="35" t="str">
        <f t="shared" si="28"/>
        <v>✓ OK</v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2085</v>
      </c>
      <c r="C382" s="41" t="s">
        <v>2086</v>
      </c>
      <c r="D382" s="39" t="s">
        <v>1332</v>
      </c>
      <c r="E382" s="42">
        <v>46132</v>
      </c>
      <c r="F382" s="26" t="s">
        <v>55</v>
      </c>
      <c r="G382" s="26" t="s">
        <v>57</v>
      </c>
      <c r="H382" s="26" t="s">
        <v>57</v>
      </c>
      <c r="I382" s="26" t="s">
        <v>90</v>
      </c>
      <c r="J382" s="26" t="s">
        <v>57</v>
      </c>
      <c r="K382" s="27" t="s">
        <v>91</v>
      </c>
      <c r="L382" s="28" t="s">
        <v>56</v>
      </c>
      <c r="M382" s="29" t="str">
        <f t="shared" si="25"/>
        <v>⚠ Missing</v>
      </c>
      <c r="N382" s="42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70">
        <v>46248</v>
      </c>
      <c r="X382" s="30" t="s">
        <v>55</v>
      </c>
      <c r="Y382" s="30" t="s">
        <v>56</v>
      </c>
      <c r="Z382" s="30" t="s">
        <v>57</v>
      </c>
      <c r="AA382" s="30" t="s">
        <v>58</v>
      </c>
      <c r="AB382" s="30" t="s">
        <v>56</v>
      </c>
      <c r="AC382" s="27"/>
      <c r="AD382" s="31" t="s">
        <v>57</v>
      </c>
      <c r="AE382" s="32" t="str">
        <f t="shared" si="27"/>
        <v>✓ OK</v>
      </c>
      <c r="AF382" s="33" t="s">
        <v>61</v>
      </c>
      <c r="AG382" s="33" t="s">
        <v>55</v>
      </c>
      <c r="AH382" s="33" t="s">
        <v>56</v>
      </c>
      <c r="AI382" s="33" t="s">
        <v>57</v>
      </c>
      <c r="AJ382" s="33" t="s">
        <v>58</v>
      </c>
      <c r="AK382" s="33" t="s">
        <v>56</v>
      </c>
      <c r="AL382" s="27"/>
      <c r="AM382" s="34" t="s">
        <v>57</v>
      </c>
      <c r="AN382" s="35" t="str">
        <f t="shared" si="28"/>
        <v>✓ OK</v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2087</v>
      </c>
      <c r="C383" s="25" t="s">
        <v>2088</v>
      </c>
      <c r="D383" s="23" t="s">
        <v>1332</v>
      </c>
      <c r="E383" s="42">
        <v>46132</v>
      </c>
      <c r="F383" s="26" t="s">
        <v>55</v>
      </c>
      <c r="G383" s="26" t="s">
        <v>57</v>
      </c>
      <c r="H383" s="26" t="s">
        <v>57</v>
      </c>
      <c r="I383" s="26" t="s">
        <v>90</v>
      </c>
      <c r="J383" s="26" t="s">
        <v>57</v>
      </c>
      <c r="K383" s="27" t="s">
        <v>91</v>
      </c>
      <c r="L383" s="28" t="s">
        <v>56</v>
      </c>
      <c r="M383" s="29" t="str">
        <f t="shared" si="25"/>
        <v>⚠ Missing</v>
      </c>
      <c r="N383" s="42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70">
        <v>46248</v>
      </c>
      <c r="X383" s="30" t="s">
        <v>55</v>
      </c>
      <c r="Y383" s="30" t="s">
        <v>56</v>
      </c>
      <c r="Z383" s="30" t="s">
        <v>57</v>
      </c>
      <c r="AA383" s="30" t="s">
        <v>58</v>
      </c>
      <c r="AB383" s="30" t="s">
        <v>56</v>
      </c>
      <c r="AC383" s="27"/>
      <c r="AD383" s="31" t="s">
        <v>57</v>
      </c>
      <c r="AE383" s="32" t="str">
        <f t="shared" si="27"/>
        <v>✓ OK</v>
      </c>
      <c r="AF383" s="33" t="s">
        <v>61</v>
      </c>
      <c r="AG383" s="33" t="s">
        <v>55</v>
      </c>
      <c r="AH383" s="33" t="s">
        <v>56</v>
      </c>
      <c r="AI383" s="33" t="s">
        <v>57</v>
      </c>
      <c r="AJ383" s="33" t="s">
        <v>58</v>
      </c>
      <c r="AK383" s="33" t="s">
        <v>56</v>
      </c>
      <c r="AL383" s="27"/>
      <c r="AM383" s="34" t="s">
        <v>57</v>
      </c>
      <c r="AN383" s="35" t="str">
        <f t="shared" si="28"/>
        <v>✓ OK</v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2089</v>
      </c>
      <c r="C384" s="41" t="s">
        <v>2090</v>
      </c>
      <c r="D384" s="39" t="s">
        <v>1332</v>
      </c>
      <c r="E384" s="42">
        <v>46132</v>
      </c>
      <c r="F384" s="26" t="s">
        <v>55</v>
      </c>
      <c r="G384" s="26" t="s">
        <v>57</v>
      </c>
      <c r="H384" s="26" t="s">
        <v>57</v>
      </c>
      <c r="I384" s="26" t="s">
        <v>90</v>
      </c>
      <c r="J384" s="26" t="s">
        <v>57</v>
      </c>
      <c r="K384" s="27" t="s">
        <v>91</v>
      </c>
      <c r="L384" s="28" t="s">
        <v>56</v>
      </c>
      <c r="M384" s="29" t="str">
        <f t="shared" si="25"/>
        <v>⚠ Missing</v>
      </c>
      <c r="N384" s="42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70">
        <v>46248</v>
      </c>
      <c r="X384" s="30" t="s">
        <v>55</v>
      </c>
      <c r="Y384" s="30" t="s">
        <v>56</v>
      </c>
      <c r="Z384" s="30" t="s">
        <v>57</v>
      </c>
      <c r="AA384" s="30" t="s">
        <v>58</v>
      </c>
      <c r="AB384" s="30" t="s">
        <v>56</v>
      </c>
      <c r="AC384" s="27"/>
      <c r="AD384" s="31" t="s">
        <v>57</v>
      </c>
      <c r="AE384" s="32" t="str">
        <f t="shared" si="27"/>
        <v>✓ OK</v>
      </c>
      <c r="AF384" s="33" t="s">
        <v>61</v>
      </c>
      <c r="AG384" s="33" t="s">
        <v>55</v>
      </c>
      <c r="AH384" s="33" t="s">
        <v>56</v>
      </c>
      <c r="AI384" s="33" t="s">
        <v>57</v>
      </c>
      <c r="AJ384" s="33" t="s">
        <v>58</v>
      </c>
      <c r="AK384" s="33" t="s">
        <v>56</v>
      </c>
      <c r="AL384" s="27"/>
      <c r="AM384" s="34" t="s">
        <v>57</v>
      </c>
      <c r="AN384" s="35" t="str">
        <f t="shared" si="28"/>
        <v>✓ OK</v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2091</v>
      </c>
      <c r="C385" s="25" t="s">
        <v>2092</v>
      </c>
      <c r="D385" s="23" t="s">
        <v>1332</v>
      </c>
      <c r="E385" s="42">
        <v>46132</v>
      </c>
      <c r="F385" s="26" t="s">
        <v>55</v>
      </c>
      <c r="G385" s="26" t="s">
        <v>57</v>
      </c>
      <c r="H385" s="26" t="s">
        <v>57</v>
      </c>
      <c r="I385" s="26" t="s">
        <v>90</v>
      </c>
      <c r="J385" s="26" t="s">
        <v>57</v>
      </c>
      <c r="K385" s="27" t="s">
        <v>91</v>
      </c>
      <c r="L385" s="28" t="s">
        <v>56</v>
      </c>
      <c r="M385" s="29" t="str">
        <f t="shared" si="25"/>
        <v>⚠ Missing</v>
      </c>
      <c r="N385" s="42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70">
        <v>46248</v>
      </c>
      <c r="X385" s="30" t="s">
        <v>55</v>
      </c>
      <c r="Y385" s="30" t="s">
        <v>56</v>
      </c>
      <c r="Z385" s="30" t="s">
        <v>57</v>
      </c>
      <c r="AA385" s="30" t="s">
        <v>58</v>
      </c>
      <c r="AB385" s="30" t="s">
        <v>56</v>
      </c>
      <c r="AC385" s="27"/>
      <c r="AD385" s="31" t="s">
        <v>57</v>
      </c>
      <c r="AE385" s="32" t="str">
        <f t="shared" si="27"/>
        <v>✓ OK</v>
      </c>
      <c r="AF385" s="33" t="s">
        <v>61</v>
      </c>
      <c r="AG385" s="33" t="s">
        <v>55</v>
      </c>
      <c r="AH385" s="33" t="s">
        <v>56</v>
      </c>
      <c r="AI385" s="33" t="s">
        <v>57</v>
      </c>
      <c r="AJ385" s="33" t="s">
        <v>58</v>
      </c>
      <c r="AK385" s="33" t="s">
        <v>56</v>
      </c>
      <c r="AL385" s="27"/>
      <c r="AM385" s="34" t="s">
        <v>57</v>
      </c>
      <c r="AN385" s="35" t="str">
        <f t="shared" si="28"/>
        <v>✓ OK</v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2093</v>
      </c>
      <c r="C386" s="41" t="s">
        <v>2094</v>
      </c>
      <c r="D386" s="39" t="s">
        <v>1332</v>
      </c>
      <c r="E386" s="42">
        <v>46132</v>
      </c>
      <c r="F386" s="26" t="s">
        <v>55</v>
      </c>
      <c r="G386" s="26" t="s">
        <v>57</v>
      </c>
      <c r="H386" s="26" t="s">
        <v>57</v>
      </c>
      <c r="I386" s="26" t="s">
        <v>90</v>
      </c>
      <c r="J386" s="26" t="s">
        <v>57</v>
      </c>
      <c r="K386" s="27" t="s">
        <v>91</v>
      </c>
      <c r="L386" s="28" t="s">
        <v>56</v>
      </c>
      <c r="M386" s="29" t="str">
        <f t="shared" si="25"/>
        <v>⚠ Missing</v>
      </c>
      <c r="N386" s="42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70">
        <v>46248</v>
      </c>
      <c r="X386" s="30" t="s">
        <v>55</v>
      </c>
      <c r="Y386" s="30" t="s">
        <v>56</v>
      </c>
      <c r="Z386" s="30" t="s">
        <v>57</v>
      </c>
      <c r="AA386" s="30" t="s">
        <v>58</v>
      </c>
      <c r="AB386" s="30" t="s">
        <v>56</v>
      </c>
      <c r="AC386" s="27"/>
      <c r="AD386" s="31" t="s">
        <v>57</v>
      </c>
      <c r="AE386" s="32" t="str">
        <f t="shared" si="27"/>
        <v>✓ OK</v>
      </c>
      <c r="AF386" s="33" t="s">
        <v>61</v>
      </c>
      <c r="AG386" s="33" t="s">
        <v>55</v>
      </c>
      <c r="AH386" s="33" t="s">
        <v>56</v>
      </c>
      <c r="AI386" s="33" t="s">
        <v>57</v>
      </c>
      <c r="AJ386" s="33" t="s">
        <v>58</v>
      </c>
      <c r="AK386" s="33" t="s">
        <v>56</v>
      </c>
      <c r="AL386" s="27"/>
      <c r="AM386" s="34" t="s">
        <v>57</v>
      </c>
      <c r="AN386" s="35" t="str">
        <f t="shared" si="28"/>
        <v>✓ OK</v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2095</v>
      </c>
      <c r="C387" s="25" t="s">
        <v>2096</v>
      </c>
      <c r="D387" s="23" t="s">
        <v>1332</v>
      </c>
      <c r="E387" s="42">
        <v>46132</v>
      </c>
      <c r="F387" s="26" t="s">
        <v>55</v>
      </c>
      <c r="G387" s="26" t="s">
        <v>57</v>
      </c>
      <c r="H387" s="26" t="s">
        <v>57</v>
      </c>
      <c r="I387" s="26" t="s">
        <v>90</v>
      </c>
      <c r="J387" s="26" t="s">
        <v>57</v>
      </c>
      <c r="K387" s="27" t="s">
        <v>91</v>
      </c>
      <c r="L387" s="28" t="s">
        <v>56</v>
      </c>
      <c r="M387" s="29" t="str">
        <f t="shared" si="25"/>
        <v>⚠ Missing</v>
      </c>
      <c r="N387" s="42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70">
        <v>46248</v>
      </c>
      <c r="X387" s="30" t="s">
        <v>55</v>
      </c>
      <c r="Y387" s="30" t="s">
        <v>56</v>
      </c>
      <c r="Z387" s="30" t="s">
        <v>57</v>
      </c>
      <c r="AA387" s="30" t="s">
        <v>58</v>
      </c>
      <c r="AB387" s="30" t="s">
        <v>56</v>
      </c>
      <c r="AC387" s="27"/>
      <c r="AD387" s="31" t="s">
        <v>57</v>
      </c>
      <c r="AE387" s="32" t="str">
        <f t="shared" si="27"/>
        <v>✓ OK</v>
      </c>
      <c r="AF387" s="33" t="s">
        <v>61</v>
      </c>
      <c r="AG387" s="33" t="s">
        <v>55</v>
      </c>
      <c r="AH387" s="33" t="s">
        <v>56</v>
      </c>
      <c r="AI387" s="33" t="s">
        <v>57</v>
      </c>
      <c r="AJ387" s="33" t="s">
        <v>58</v>
      </c>
      <c r="AK387" s="33" t="s">
        <v>56</v>
      </c>
      <c r="AL387" s="27"/>
      <c r="AM387" s="34" t="s">
        <v>57</v>
      </c>
      <c r="AN387" s="35" t="str">
        <f t="shared" si="28"/>
        <v>✓ OK</v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2097</v>
      </c>
      <c r="C388" s="41" t="s">
        <v>2098</v>
      </c>
      <c r="D388" s="39" t="s">
        <v>1332</v>
      </c>
      <c r="E388" s="42">
        <v>46132</v>
      </c>
      <c r="F388" s="26" t="s">
        <v>55</v>
      </c>
      <c r="G388" s="26" t="s">
        <v>57</v>
      </c>
      <c r="H388" s="26" t="s">
        <v>57</v>
      </c>
      <c r="I388" s="26" t="s">
        <v>90</v>
      </c>
      <c r="J388" s="26" t="s">
        <v>57</v>
      </c>
      <c r="K388" s="27" t="s">
        <v>91</v>
      </c>
      <c r="L388" s="28" t="s">
        <v>56</v>
      </c>
      <c r="M388" s="29" t="str">
        <f t="shared" si="25"/>
        <v>⚠ Missing</v>
      </c>
      <c r="N388" s="42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70">
        <v>46248</v>
      </c>
      <c r="X388" s="30" t="s">
        <v>55</v>
      </c>
      <c r="Y388" s="30" t="s">
        <v>56</v>
      </c>
      <c r="Z388" s="30" t="s">
        <v>57</v>
      </c>
      <c r="AA388" s="30" t="s">
        <v>58</v>
      </c>
      <c r="AB388" s="30" t="s">
        <v>56</v>
      </c>
      <c r="AC388" s="27"/>
      <c r="AD388" s="31" t="s">
        <v>57</v>
      </c>
      <c r="AE388" s="32" t="str">
        <f t="shared" si="27"/>
        <v>✓ OK</v>
      </c>
      <c r="AF388" s="33" t="s">
        <v>61</v>
      </c>
      <c r="AG388" s="33" t="s">
        <v>55</v>
      </c>
      <c r="AH388" s="33" t="s">
        <v>56</v>
      </c>
      <c r="AI388" s="33" t="s">
        <v>57</v>
      </c>
      <c r="AJ388" s="33" t="s">
        <v>58</v>
      </c>
      <c r="AK388" s="33" t="s">
        <v>56</v>
      </c>
      <c r="AL388" s="27"/>
      <c r="AM388" s="34" t="s">
        <v>57</v>
      </c>
      <c r="AN388" s="35" t="str">
        <f t="shared" si="28"/>
        <v>✓ OK</v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2099</v>
      </c>
      <c r="C389" s="25" t="s">
        <v>2100</v>
      </c>
      <c r="D389" s="23" t="s">
        <v>1332</v>
      </c>
      <c r="E389" s="42">
        <v>46132</v>
      </c>
      <c r="F389" s="26" t="s">
        <v>55</v>
      </c>
      <c r="G389" s="26" t="s">
        <v>57</v>
      </c>
      <c r="H389" s="26" t="s">
        <v>57</v>
      </c>
      <c r="I389" s="26" t="s">
        <v>90</v>
      </c>
      <c r="J389" s="26" t="s">
        <v>57</v>
      </c>
      <c r="K389" s="27" t="s">
        <v>91</v>
      </c>
      <c r="L389" s="28" t="s">
        <v>56</v>
      </c>
      <c r="M389" s="29" t="str">
        <f t="shared" ref="M389:M452" si="30">IF(E389="","",IF(H389="Yes","❌ Disc",IF(G389="No","⚠ Missing",IF(J389="Yes","✓ OK","⚠ Check"))))</f>
        <v>⚠ Missing</v>
      </c>
      <c r="N389" s="42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 t="s">
        <v>57</v>
      </c>
      <c r="AA389" s="30" t="s">
        <v>58</v>
      </c>
      <c r="AB389" s="30" t="s">
        <v>56</v>
      </c>
      <c r="AC389" s="27"/>
      <c r="AD389" s="31" t="s">
        <v>57</v>
      </c>
      <c r="AE389" s="32" t="str">
        <f t="shared" ref="AE389:AE452" si="32">IF(W389="","",IF(Z389="Yes","❌ Disc",IF(Y389="No","⚠ Missing",IF(AB389="Yes","✓ OK","⚠ Check"))))</f>
        <v>✓ OK</v>
      </c>
      <c r="AF389" s="33" t="s">
        <v>61</v>
      </c>
      <c r="AG389" s="33" t="s">
        <v>55</v>
      </c>
      <c r="AH389" s="33" t="s">
        <v>56</v>
      </c>
      <c r="AI389" s="33" t="s">
        <v>57</v>
      </c>
      <c r="AJ389" s="33" t="s">
        <v>58</v>
      </c>
      <c r="AK389" s="33" t="s">
        <v>56</v>
      </c>
      <c r="AL389" s="27"/>
      <c r="AM389" s="34" t="s">
        <v>57</v>
      </c>
      <c r="AN389" s="35" t="str">
        <f t="shared" ref="AN389:AN452" si="33">IF(AF389="","",IF(AI389="Yes","❌ Disc",IF(AH389="No","⚠ Missing",IF(AK389="Yes","✓ OK","⚠ Check"))))</f>
        <v>✓ OK</v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2101</v>
      </c>
      <c r="C390" s="41" t="s">
        <v>2102</v>
      </c>
      <c r="D390" s="39" t="s">
        <v>1332</v>
      </c>
      <c r="E390" s="42">
        <v>46132</v>
      </c>
      <c r="F390" s="26" t="s">
        <v>55</v>
      </c>
      <c r="G390" s="26" t="s">
        <v>57</v>
      </c>
      <c r="H390" s="26" t="s">
        <v>57</v>
      </c>
      <c r="I390" s="26" t="s">
        <v>90</v>
      </c>
      <c r="J390" s="26" t="s">
        <v>57</v>
      </c>
      <c r="K390" s="27" t="s">
        <v>91</v>
      </c>
      <c r="L390" s="28" t="s">
        <v>56</v>
      </c>
      <c r="M390" s="29" t="str">
        <f t="shared" si="30"/>
        <v>⚠ Missing</v>
      </c>
      <c r="N390" s="42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70">
        <v>46248</v>
      </c>
      <c r="X390" s="30" t="s">
        <v>55</v>
      </c>
      <c r="Y390" s="30" t="s">
        <v>56</v>
      </c>
      <c r="Z390" s="30" t="s">
        <v>57</v>
      </c>
      <c r="AA390" s="30" t="s">
        <v>58</v>
      </c>
      <c r="AB390" s="30" t="s">
        <v>56</v>
      </c>
      <c r="AC390" s="27"/>
      <c r="AD390" s="31" t="s">
        <v>57</v>
      </c>
      <c r="AE390" s="32" t="str">
        <f t="shared" si="32"/>
        <v>✓ OK</v>
      </c>
      <c r="AF390" s="33" t="s">
        <v>61</v>
      </c>
      <c r="AG390" s="33" t="s">
        <v>55</v>
      </c>
      <c r="AH390" s="33" t="s">
        <v>56</v>
      </c>
      <c r="AI390" s="33" t="s">
        <v>57</v>
      </c>
      <c r="AJ390" s="33" t="s">
        <v>58</v>
      </c>
      <c r="AK390" s="33" t="s">
        <v>56</v>
      </c>
      <c r="AL390" s="27"/>
      <c r="AM390" s="34" t="s">
        <v>57</v>
      </c>
      <c r="AN390" s="35" t="str">
        <f t="shared" si="33"/>
        <v>✓ OK</v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2103</v>
      </c>
      <c r="C391" s="25" t="s">
        <v>2104</v>
      </c>
      <c r="D391" s="23" t="s">
        <v>1332</v>
      </c>
      <c r="E391" s="42">
        <v>46132</v>
      </c>
      <c r="F391" s="26" t="s">
        <v>55</v>
      </c>
      <c r="G391" s="26" t="s">
        <v>57</v>
      </c>
      <c r="H391" s="26" t="s">
        <v>57</v>
      </c>
      <c r="I391" s="26" t="s">
        <v>90</v>
      </c>
      <c r="J391" s="26" t="s">
        <v>57</v>
      </c>
      <c r="K391" s="27" t="s">
        <v>91</v>
      </c>
      <c r="L391" s="28" t="s">
        <v>56</v>
      </c>
      <c r="M391" s="29" t="str">
        <f t="shared" si="30"/>
        <v>⚠ Missing</v>
      </c>
      <c r="N391" s="42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70">
        <v>46248</v>
      </c>
      <c r="X391" s="30" t="s">
        <v>55</v>
      </c>
      <c r="Y391" s="30" t="s">
        <v>56</v>
      </c>
      <c r="Z391" s="30" t="s">
        <v>57</v>
      </c>
      <c r="AA391" s="30" t="s">
        <v>58</v>
      </c>
      <c r="AB391" s="30" t="s">
        <v>56</v>
      </c>
      <c r="AC391" s="27"/>
      <c r="AD391" s="31" t="s">
        <v>57</v>
      </c>
      <c r="AE391" s="32" t="str">
        <f t="shared" si="32"/>
        <v>✓ OK</v>
      </c>
      <c r="AF391" s="33" t="s">
        <v>61</v>
      </c>
      <c r="AG391" s="33" t="s">
        <v>55</v>
      </c>
      <c r="AH391" s="33" t="s">
        <v>56</v>
      </c>
      <c r="AI391" s="33" t="s">
        <v>57</v>
      </c>
      <c r="AJ391" s="33" t="s">
        <v>58</v>
      </c>
      <c r="AK391" s="33" t="s">
        <v>56</v>
      </c>
      <c r="AL391" s="27"/>
      <c r="AM391" s="34" t="s">
        <v>57</v>
      </c>
      <c r="AN391" s="35" t="str">
        <f t="shared" si="33"/>
        <v>✓ OK</v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2105</v>
      </c>
      <c r="C392" s="41" t="s">
        <v>2106</v>
      </c>
      <c r="D392" s="39" t="s">
        <v>1332</v>
      </c>
      <c r="E392" s="42">
        <v>46132</v>
      </c>
      <c r="F392" s="26" t="s">
        <v>55</v>
      </c>
      <c r="G392" s="26" t="s">
        <v>57</v>
      </c>
      <c r="H392" s="26" t="s">
        <v>57</v>
      </c>
      <c r="I392" s="26" t="s">
        <v>90</v>
      </c>
      <c r="J392" s="26" t="s">
        <v>57</v>
      </c>
      <c r="K392" s="27" t="s">
        <v>91</v>
      </c>
      <c r="L392" s="28" t="s">
        <v>56</v>
      </c>
      <c r="M392" s="29" t="str">
        <f t="shared" si="30"/>
        <v>⚠ Missing</v>
      </c>
      <c r="N392" s="42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70">
        <v>46248</v>
      </c>
      <c r="X392" s="30" t="s">
        <v>55</v>
      </c>
      <c r="Y392" s="30" t="s">
        <v>56</v>
      </c>
      <c r="Z392" s="30" t="s">
        <v>57</v>
      </c>
      <c r="AA392" s="30" t="s">
        <v>58</v>
      </c>
      <c r="AB392" s="30" t="s">
        <v>56</v>
      </c>
      <c r="AC392" s="27"/>
      <c r="AD392" s="31" t="s">
        <v>57</v>
      </c>
      <c r="AE392" s="32" t="str">
        <f t="shared" si="32"/>
        <v>✓ OK</v>
      </c>
      <c r="AF392" s="33" t="s">
        <v>61</v>
      </c>
      <c r="AG392" s="33" t="s">
        <v>55</v>
      </c>
      <c r="AH392" s="33" t="s">
        <v>56</v>
      </c>
      <c r="AI392" s="33" t="s">
        <v>57</v>
      </c>
      <c r="AJ392" s="33" t="s">
        <v>58</v>
      </c>
      <c r="AK392" s="33" t="s">
        <v>56</v>
      </c>
      <c r="AL392" s="27"/>
      <c r="AM392" s="34" t="s">
        <v>57</v>
      </c>
      <c r="AN392" s="35" t="str">
        <f t="shared" si="33"/>
        <v>✓ OK</v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2107</v>
      </c>
      <c r="C393" s="25" t="s">
        <v>2108</v>
      </c>
      <c r="D393" s="23" t="s">
        <v>1332</v>
      </c>
      <c r="E393" s="42">
        <v>46132</v>
      </c>
      <c r="F393" s="26" t="s">
        <v>55</v>
      </c>
      <c r="G393" s="26" t="s">
        <v>57</v>
      </c>
      <c r="H393" s="26" t="s">
        <v>57</v>
      </c>
      <c r="I393" s="26" t="s">
        <v>90</v>
      </c>
      <c r="J393" s="26" t="s">
        <v>57</v>
      </c>
      <c r="K393" s="27" t="s">
        <v>91</v>
      </c>
      <c r="L393" s="28" t="s">
        <v>56</v>
      </c>
      <c r="M393" s="29" t="str">
        <f t="shared" si="30"/>
        <v>⚠ Missing</v>
      </c>
      <c r="N393" s="42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70">
        <v>46248</v>
      </c>
      <c r="X393" s="30" t="s">
        <v>55</v>
      </c>
      <c r="Y393" s="30" t="s">
        <v>56</v>
      </c>
      <c r="Z393" s="30" t="s">
        <v>57</v>
      </c>
      <c r="AA393" s="30" t="s">
        <v>58</v>
      </c>
      <c r="AB393" s="30" t="s">
        <v>56</v>
      </c>
      <c r="AC393" s="27"/>
      <c r="AD393" s="31" t="s">
        <v>57</v>
      </c>
      <c r="AE393" s="32" t="str">
        <f t="shared" si="32"/>
        <v>✓ OK</v>
      </c>
      <c r="AF393" s="33" t="s">
        <v>61</v>
      </c>
      <c r="AG393" s="33" t="s">
        <v>55</v>
      </c>
      <c r="AH393" s="33" t="s">
        <v>56</v>
      </c>
      <c r="AI393" s="33" t="s">
        <v>57</v>
      </c>
      <c r="AJ393" s="33" t="s">
        <v>58</v>
      </c>
      <c r="AK393" s="33" t="s">
        <v>56</v>
      </c>
      <c r="AL393" s="27"/>
      <c r="AM393" s="34" t="s">
        <v>57</v>
      </c>
      <c r="AN393" s="35" t="str">
        <f t="shared" si="33"/>
        <v>✓ OK</v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2109</v>
      </c>
      <c r="C394" s="41" t="s">
        <v>2110</v>
      </c>
      <c r="D394" s="39" t="s">
        <v>1332</v>
      </c>
      <c r="E394" s="42">
        <v>46132</v>
      </c>
      <c r="F394" s="26" t="s">
        <v>55</v>
      </c>
      <c r="G394" s="26" t="s">
        <v>57</v>
      </c>
      <c r="H394" s="26" t="s">
        <v>57</v>
      </c>
      <c r="I394" s="26" t="s">
        <v>90</v>
      </c>
      <c r="J394" s="26" t="s">
        <v>57</v>
      </c>
      <c r="K394" s="27" t="s">
        <v>91</v>
      </c>
      <c r="L394" s="28" t="s">
        <v>56</v>
      </c>
      <c r="M394" s="29" t="str">
        <f t="shared" si="30"/>
        <v>⚠ Missing</v>
      </c>
      <c r="N394" s="42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70">
        <v>46248</v>
      </c>
      <c r="X394" s="30" t="s">
        <v>55</v>
      </c>
      <c r="Y394" s="30" t="s">
        <v>56</v>
      </c>
      <c r="Z394" s="30" t="s">
        <v>57</v>
      </c>
      <c r="AA394" s="30" t="s">
        <v>58</v>
      </c>
      <c r="AB394" s="30" t="s">
        <v>56</v>
      </c>
      <c r="AC394" s="27"/>
      <c r="AD394" s="31" t="s">
        <v>57</v>
      </c>
      <c r="AE394" s="32" t="str">
        <f t="shared" si="32"/>
        <v>✓ OK</v>
      </c>
      <c r="AF394" s="33" t="s">
        <v>61</v>
      </c>
      <c r="AG394" s="33" t="s">
        <v>55</v>
      </c>
      <c r="AH394" s="33" t="s">
        <v>56</v>
      </c>
      <c r="AI394" s="33" t="s">
        <v>57</v>
      </c>
      <c r="AJ394" s="33" t="s">
        <v>58</v>
      </c>
      <c r="AK394" s="33" t="s">
        <v>56</v>
      </c>
      <c r="AL394" s="27"/>
      <c r="AM394" s="34" t="s">
        <v>57</v>
      </c>
      <c r="AN394" s="35" t="str">
        <f t="shared" si="33"/>
        <v>✓ OK</v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2111</v>
      </c>
      <c r="C395" s="25" t="s">
        <v>2112</v>
      </c>
      <c r="D395" s="23" t="s">
        <v>1332</v>
      </c>
      <c r="E395" s="42">
        <v>46132</v>
      </c>
      <c r="F395" s="26" t="s">
        <v>55</v>
      </c>
      <c r="G395" s="26" t="s">
        <v>57</v>
      </c>
      <c r="H395" s="26" t="s">
        <v>57</v>
      </c>
      <c r="I395" s="26" t="s">
        <v>90</v>
      </c>
      <c r="J395" s="26" t="s">
        <v>57</v>
      </c>
      <c r="K395" s="27" t="s">
        <v>91</v>
      </c>
      <c r="L395" s="28" t="s">
        <v>56</v>
      </c>
      <c r="M395" s="29" t="str">
        <f t="shared" si="30"/>
        <v>⚠ Missing</v>
      </c>
      <c r="N395" s="42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70">
        <v>46248</v>
      </c>
      <c r="X395" s="30" t="s">
        <v>55</v>
      </c>
      <c r="Y395" s="30" t="s">
        <v>56</v>
      </c>
      <c r="Z395" s="30" t="s">
        <v>57</v>
      </c>
      <c r="AA395" s="30" t="s">
        <v>58</v>
      </c>
      <c r="AB395" s="30" t="s">
        <v>56</v>
      </c>
      <c r="AC395" s="27"/>
      <c r="AD395" s="31" t="s">
        <v>57</v>
      </c>
      <c r="AE395" s="32" t="str">
        <f t="shared" si="32"/>
        <v>✓ OK</v>
      </c>
      <c r="AF395" s="33" t="s">
        <v>61</v>
      </c>
      <c r="AG395" s="33" t="s">
        <v>55</v>
      </c>
      <c r="AH395" s="33" t="s">
        <v>56</v>
      </c>
      <c r="AI395" s="33" t="s">
        <v>57</v>
      </c>
      <c r="AJ395" s="33" t="s">
        <v>58</v>
      </c>
      <c r="AK395" s="33" t="s">
        <v>56</v>
      </c>
      <c r="AL395" s="27"/>
      <c r="AM395" s="34" t="s">
        <v>57</v>
      </c>
      <c r="AN395" s="35" t="str">
        <f t="shared" si="33"/>
        <v>✓ OK</v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2113</v>
      </c>
      <c r="C396" s="41" t="s">
        <v>2114</v>
      </c>
      <c r="D396" s="39" t="s">
        <v>1332</v>
      </c>
      <c r="E396" s="42">
        <v>46132</v>
      </c>
      <c r="F396" s="26" t="s">
        <v>55</v>
      </c>
      <c r="G396" s="26" t="s">
        <v>57</v>
      </c>
      <c r="H396" s="26" t="s">
        <v>57</v>
      </c>
      <c r="I396" s="26" t="s">
        <v>90</v>
      </c>
      <c r="J396" s="26" t="s">
        <v>57</v>
      </c>
      <c r="K396" s="27" t="s">
        <v>91</v>
      </c>
      <c r="L396" s="28" t="s">
        <v>56</v>
      </c>
      <c r="M396" s="29" t="str">
        <f t="shared" si="30"/>
        <v>⚠ Missing</v>
      </c>
      <c r="N396" s="42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70">
        <v>46248</v>
      </c>
      <c r="X396" s="30" t="s">
        <v>55</v>
      </c>
      <c r="Y396" s="30" t="s">
        <v>56</v>
      </c>
      <c r="Z396" s="30" t="s">
        <v>57</v>
      </c>
      <c r="AA396" s="30" t="s">
        <v>58</v>
      </c>
      <c r="AB396" s="30" t="s">
        <v>56</v>
      </c>
      <c r="AC396" s="27"/>
      <c r="AD396" s="31" t="s">
        <v>57</v>
      </c>
      <c r="AE396" s="32" t="str">
        <f t="shared" si="32"/>
        <v>✓ OK</v>
      </c>
      <c r="AF396" s="33" t="s">
        <v>61</v>
      </c>
      <c r="AG396" s="33" t="s">
        <v>55</v>
      </c>
      <c r="AH396" s="33" t="s">
        <v>56</v>
      </c>
      <c r="AI396" s="33" t="s">
        <v>57</v>
      </c>
      <c r="AJ396" s="33" t="s">
        <v>58</v>
      </c>
      <c r="AK396" s="33" t="s">
        <v>56</v>
      </c>
      <c r="AL396" s="27"/>
      <c r="AM396" s="34" t="s">
        <v>57</v>
      </c>
      <c r="AN396" s="35" t="str">
        <f t="shared" si="33"/>
        <v>✓ OK</v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2115</v>
      </c>
      <c r="C397" s="25" t="s">
        <v>2116</v>
      </c>
      <c r="D397" s="23" t="s">
        <v>1332</v>
      </c>
      <c r="E397" s="42">
        <v>46132</v>
      </c>
      <c r="F397" s="26" t="s">
        <v>55</v>
      </c>
      <c r="G397" s="26" t="s">
        <v>57</v>
      </c>
      <c r="H397" s="26" t="s">
        <v>57</v>
      </c>
      <c r="I397" s="26" t="s">
        <v>90</v>
      </c>
      <c r="J397" s="26" t="s">
        <v>57</v>
      </c>
      <c r="K397" s="27" t="s">
        <v>91</v>
      </c>
      <c r="L397" s="28" t="s">
        <v>56</v>
      </c>
      <c r="M397" s="29" t="str">
        <f t="shared" si="30"/>
        <v>⚠ Missing</v>
      </c>
      <c r="N397" s="42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70">
        <v>46248</v>
      </c>
      <c r="X397" s="30" t="s">
        <v>55</v>
      </c>
      <c r="Y397" s="30" t="s">
        <v>56</v>
      </c>
      <c r="Z397" s="30" t="s">
        <v>57</v>
      </c>
      <c r="AA397" s="30" t="s">
        <v>58</v>
      </c>
      <c r="AB397" s="30" t="s">
        <v>56</v>
      </c>
      <c r="AC397" s="27"/>
      <c r="AD397" s="31" t="s">
        <v>57</v>
      </c>
      <c r="AE397" s="32" t="str">
        <f t="shared" si="32"/>
        <v>✓ OK</v>
      </c>
      <c r="AF397" s="33" t="s">
        <v>61</v>
      </c>
      <c r="AG397" s="33" t="s">
        <v>55</v>
      </c>
      <c r="AH397" s="33" t="s">
        <v>56</v>
      </c>
      <c r="AI397" s="33" t="s">
        <v>57</v>
      </c>
      <c r="AJ397" s="33" t="s">
        <v>58</v>
      </c>
      <c r="AK397" s="33" t="s">
        <v>56</v>
      </c>
      <c r="AL397" s="27"/>
      <c r="AM397" s="34" t="s">
        <v>57</v>
      </c>
      <c r="AN397" s="35" t="str">
        <f t="shared" si="33"/>
        <v>✓ OK</v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2117</v>
      </c>
      <c r="C398" s="41" t="s">
        <v>2118</v>
      </c>
      <c r="D398" s="39" t="s">
        <v>1332</v>
      </c>
      <c r="E398" s="42">
        <v>46132</v>
      </c>
      <c r="F398" s="26" t="s">
        <v>55</v>
      </c>
      <c r="G398" s="26" t="s">
        <v>57</v>
      </c>
      <c r="H398" s="26" t="s">
        <v>57</v>
      </c>
      <c r="I398" s="26" t="s">
        <v>90</v>
      </c>
      <c r="J398" s="26" t="s">
        <v>57</v>
      </c>
      <c r="K398" s="27" t="s">
        <v>91</v>
      </c>
      <c r="L398" s="28" t="s">
        <v>56</v>
      </c>
      <c r="M398" s="29" t="str">
        <f t="shared" si="30"/>
        <v>⚠ Missing</v>
      </c>
      <c r="N398" s="42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70">
        <v>46248</v>
      </c>
      <c r="X398" s="30" t="s">
        <v>55</v>
      </c>
      <c r="Y398" s="30" t="s">
        <v>56</v>
      </c>
      <c r="Z398" s="30" t="s">
        <v>57</v>
      </c>
      <c r="AA398" s="30" t="s">
        <v>58</v>
      </c>
      <c r="AB398" s="30" t="s">
        <v>56</v>
      </c>
      <c r="AC398" s="27"/>
      <c r="AD398" s="31" t="s">
        <v>57</v>
      </c>
      <c r="AE398" s="32" t="str">
        <f t="shared" si="32"/>
        <v>✓ OK</v>
      </c>
      <c r="AF398" s="33" t="s">
        <v>61</v>
      </c>
      <c r="AG398" s="33" t="s">
        <v>55</v>
      </c>
      <c r="AH398" s="33" t="s">
        <v>56</v>
      </c>
      <c r="AI398" s="33" t="s">
        <v>57</v>
      </c>
      <c r="AJ398" s="33" t="s">
        <v>58</v>
      </c>
      <c r="AK398" s="33" t="s">
        <v>56</v>
      </c>
      <c r="AL398" s="27"/>
      <c r="AM398" s="34" t="s">
        <v>57</v>
      </c>
      <c r="AN398" s="35" t="str">
        <f t="shared" si="33"/>
        <v>✓ OK</v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2119</v>
      </c>
      <c r="C399" s="25" t="s">
        <v>2120</v>
      </c>
      <c r="D399" s="23" t="s">
        <v>1332</v>
      </c>
      <c r="E399" s="42">
        <v>46132</v>
      </c>
      <c r="F399" s="26" t="s">
        <v>55</v>
      </c>
      <c r="G399" s="26" t="s">
        <v>57</v>
      </c>
      <c r="H399" s="26" t="s">
        <v>57</v>
      </c>
      <c r="I399" s="26" t="s">
        <v>90</v>
      </c>
      <c r="J399" s="26" t="s">
        <v>57</v>
      </c>
      <c r="K399" s="27" t="s">
        <v>91</v>
      </c>
      <c r="L399" s="28" t="s">
        <v>56</v>
      </c>
      <c r="M399" s="29" t="str">
        <f t="shared" si="30"/>
        <v>⚠ Missing</v>
      </c>
      <c r="N399" s="42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70">
        <v>46248</v>
      </c>
      <c r="X399" s="30" t="s">
        <v>55</v>
      </c>
      <c r="Y399" s="30" t="s">
        <v>56</v>
      </c>
      <c r="Z399" s="30" t="s">
        <v>57</v>
      </c>
      <c r="AA399" s="30" t="s">
        <v>58</v>
      </c>
      <c r="AB399" s="30" t="s">
        <v>56</v>
      </c>
      <c r="AC399" s="27"/>
      <c r="AD399" s="31" t="s">
        <v>57</v>
      </c>
      <c r="AE399" s="32" t="str">
        <f t="shared" si="32"/>
        <v>✓ OK</v>
      </c>
      <c r="AF399" s="33" t="s">
        <v>61</v>
      </c>
      <c r="AG399" s="33" t="s">
        <v>55</v>
      </c>
      <c r="AH399" s="33" t="s">
        <v>56</v>
      </c>
      <c r="AI399" s="33" t="s">
        <v>57</v>
      </c>
      <c r="AJ399" s="33" t="s">
        <v>58</v>
      </c>
      <c r="AK399" s="33" t="s">
        <v>56</v>
      </c>
      <c r="AL399" s="27"/>
      <c r="AM399" s="34" t="s">
        <v>57</v>
      </c>
      <c r="AN399" s="35" t="str">
        <f t="shared" si="33"/>
        <v>✓ OK</v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2121</v>
      </c>
      <c r="C400" s="41" t="s">
        <v>2122</v>
      </c>
      <c r="D400" s="39" t="s">
        <v>1332</v>
      </c>
      <c r="E400" s="42">
        <v>46132</v>
      </c>
      <c r="F400" s="26" t="s">
        <v>55</v>
      </c>
      <c r="G400" s="26" t="s">
        <v>57</v>
      </c>
      <c r="H400" s="26" t="s">
        <v>57</v>
      </c>
      <c r="I400" s="26" t="s">
        <v>90</v>
      </c>
      <c r="J400" s="26" t="s">
        <v>57</v>
      </c>
      <c r="K400" s="27" t="s">
        <v>91</v>
      </c>
      <c r="L400" s="28" t="s">
        <v>56</v>
      </c>
      <c r="M400" s="29" t="str">
        <f t="shared" si="30"/>
        <v>⚠ Missing</v>
      </c>
      <c r="N400" s="42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70">
        <v>46248</v>
      </c>
      <c r="X400" s="30" t="s">
        <v>55</v>
      </c>
      <c r="Y400" s="30" t="s">
        <v>56</v>
      </c>
      <c r="Z400" s="30" t="s">
        <v>57</v>
      </c>
      <c r="AA400" s="30" t="s">
        <v>58</v>
      </c>
      <c r="AB400" s="30" t="s">
        <v>56</v>
      </c>
      <c r="AC400" s="27"/>
      <c r="AD400" s="31" t="s">
        <v>57</v>
      </c>
      <c r="AE400" s="32" t="str">
        <f t="shared" si="32"/>
        <v>✓ OK</v>
      </c>
      <c r="AF400" s="33" t="s">
        <v>61</v>
      </c>
      <c r="AG400" s="33" t="s">
        <v>55</v>
      </c>
      <c r="AH400" s="33" t="s">
        <v>56</v>
      </c>
      <c r="AI400" s="33" t="s">
        <v>57</v>
      </c>
      <c r="AJ400" s="33" t="s">
        <v>58</v>
      </c>
      <c r="AK400" s="33" t="s">
        <v>56</v>
      </c>
      <c r="AL400" s="27"/>
      <c r="AM400" s="34" t="s">
        <v>57</v>
      </c>
      <c r="AN400" s="35" t="str">
        <f t="shared" si="33"/>
        <v>✓ OK</v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2123</v>
      </c>
      <c r="C401" s="25" t="s">
        <v>2124</v>
      </c>
      <c r="D401" s="23" t="s">
        <v>1332</v>
      </c>
      <c r="E401" s="42">
        <v>46132</v>
      </c>
      <c r="F401" s="26" t="s">
        <v>55</v>
      </c>
      <c r="G401" s="26" t="s">
        <v>57</v>
      </c>
      <c r="H401" s="26" t="s">
        <v>57</v>
      </c>
      <c r="I401" s="26" t="s">
        <v>90</v>
      </c>
      <c r="J401" s="26" t="s">
        <v>57</v>
      </c>
      <c r="K401" s="27" t="s">
        <v>91</v>
      </c>
      <c r="L401" s="28" t="s">
        <v>56</v>
      </c>
      <c r="M401" s="29" t="str">
        <f t="shared" si="30"/>
        <v>⚠ Missing</v>
      </c>
      <c r="N401" s="42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70">
        <v>46248</v>
      </c>
      <c r="X401" s="30" t="s">
        <v>55</v>
      </c>
      <c r="Y401" s="30" t="s">
        <v>56</v>
      </c>
      <c r="Z401" s="30" t="s">
        <v>57</v>
      </c>
      <c r="AA401" s="30" t="s">
        <v>58</v>
      </c>
      <c r="AB401" s="30" t="s">
        <v>56</v>
      </c>
      <c r="AC401" s="27"/>
      <c r="AD401" s="31" t="s">
        <v>57</v>
      </c>
      <c r="AE401" s="32" t="str">
        <f t="shared" si="32"/>
        <v>✓ OK</v>
      </c>
      <c r="AF401" s="33" t="s">
        <v>61</v>
      </c>
      <c r="AG401" s="33" t="s">
        <v>55</v>
      </c>
      <c r="AH401" s="33" t="s">
        <v>56</v>
      </c>
      <c r="AI401" s="33" t="s">
        <v>57</v>
      </c>
      <c r="AJ401" s="33" t="s">
        <v>58</v>
      </c>
      <c r="AK401" s="33" t="s">
        <v>56</v>
      </c>
      <c r="AL401" s="27"/>
      <c r="AM401" s="34" t="s">
        <v>57</v>
      </c>
      <c r="AN401" s="35" t="str">
        <f t="shared" si="33"/>
        <v>✓ OK</v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2125</v>
      </c>
      <c r="C402" s="41" t="s">
        <v>2126</v>
      </c>
      <c r="D402" s="39" t="s">
        <v>1332</v>
      </c>
      <c r="E402" s="42">
        <v>46132</v>
      </c>
      <c r="F402" s="26" t="s">
        <v>55</v>
      </c>
      <c r="G402" s="26" t="s">
        <v>57</v>
      </c>
      <c r="H402" s="26" t="s">
        <v>57</v>
      </c>
      <c r="I402" s="26" t="s">
        <v>90</v>
      </c>
      <c r="J402" s="26" t="s">
        <v>57</v>
      </c>
      <c r="K402" s="27" t="s">
        <v>91</v>
      </c>
      <c r="L402" s="28" t="s">
        <v>56</v>
      </c>
      <c r="M402" s="29" t="str">
        <f t="shared" si="30"/>
        <v>⚠ Missing</v>
      </c>
      <c r="N402" s="42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70">
        <v>46248</v>
      </c>
      <c r="X402" s="30" t="s">
        <v>55</v>
      </c>
      <c r="Y402" s="30" t="s">
        <v>56</v>
      </c>
      <c r="Z402" s="30" t="s">
        <v>57</v>
      </c>
      <c r="AA402" s="30" t="s">
        <v>58</v>
      </c>
      <c r="AB402" s="30" t="s">
        <v>56</v>
      </c>
      <c r="AC402" s="27"/>
      <c r="AD402" s="31" t="s">
        <v>57</v>
      </c>
      <c r="AE402" s="32" t="str">
        <f t="shared" si="32"/>
        <v>✓ OK</v>
      </c>
      <c r="AF402" s="33" t="s">
        <v>61</v>
      </c>
      <c r="AG402" s="33" t="s">
        <v>55</v>
      </c>
      <c r="AH402" s="33" t="s">
        <v>56</v>
      </c>
      <c r="AI402" s="33" t="s">
        <v>57</v>
      </c>
      <c r="AJ402" s="33" t="s">
        <v>58</v>
      </c>
      <c r="AK402" s="33" t="s">
        <v>56</v>
      </c>
      <c r="AL402" s="27"/>
      <c r="AM402" s="34" t="s">
        <v>57</v>
      </c>
      <c r="AN402" s="35" t="str">
        <f t="shared" si="33"/>
        <v>✓ OK</v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2127</v>
      </c>
      <c r="C403" s="25" t="s">
        <v>2128</v>
      </c>
      <c r="D403" s="23" t="s">
        <v>1332</v>
      </c>
      <c r="E403" s="42">
        <v>46132</v>
      </c>
      <c r="F403" s="26" t="s">
        <v>55</v>
      </c>
      <c r="G403" s="26" t="s">
        <v>57</v>
      </c>
      <c r="H403" s="26" t="s">
        <v>57</v>
      </c>
      <c r="I403" s="26" t="s">
        <v>90</v>
      </c>
      <c r="J403" s="26" t="s">
        <v>57</v>
      </c>
      <c r="K403" s="27" t="s">
        <v>91</v>
      </c>
      <c r="L403" s="28" t="s">
        <v>56</v>
      </c>
      <c r="M403" s="29" t="str">
        <f t="shared" si="30"/>
        <v>⚠ Missing</v>
      </c>
      <c r="N403" s="42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70">
        <v>46248</v>
      </c>
      <c r="X403" s="30" t="s">
        <v>55</v>
      </c>
      <c r="Y403" s="30" t="s">
        <v>56</v>
      </c>
      <c r="Z403" s="30" t="s">
        <v>57</v>
      </c>
      <c r="AA403" s="30" t="s">
        <v>58</v>
      </c>
      <c r="AB403" s="30" t="s">
        <v>56</v>
      </c>
      <c r="AC403" s="27"/>
      <c r="AD403" s="31" t="s">
        <v>57</v>
      </c>
      <c r="AE403" s="32" t="str">
        <f t="shared" si="32"/>
        <v>✓ OK</v>
      </c>
      <c r="AF403" s="33" t="s">
        <v>61</v>
      </c>
      <c r="AG403" s="33" t="s">
        <v>55</v>
      </c>
      <c r="AH403" s="33" t="s">
        <v>56</v>
      </c>
      <c r="AI403" s="33" t="s">
        <v>57</v>
      </c>
      <c r="AJ403" s="33" t="s">
        <v>58</v>
      </c>
      <c r="AK403" s="33" t="s">
        <v>56</v>
      </c>
      <c r="AL403" s="27"/>
      <c r="AM403" s="34" t="s">
        <v>57</v>
      </c>
      <c r="AN403" s="35" t="str">
        <f t="shared" si="33"/>
        <v>✓ OK</v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2129</v>
      </c>
      <c r="C404" s="41" t="s">
        <v>2130</v>
      </c>
      <c r="D404" s="39" t="s">
        <v>1332</v>
      </c>
      <c r="E404" s="42">
        <v>46132</v>
      </c>
      <c r="F404" s="26" t="s">
        <v>55</v>
      </c>
      <c r="G404" s="26" t="s">
        <v>57</v>
      </c>
      <c r="H404" s="26" t="s">
        <v>57</v>
      </c>
      <c r="I404" s="26" t="s">
        <v>90</v>
      </c>
      <c r="J404" s="26" t="s">
        <v>57</v>
      </c>
      <c r="K404" s="27" t="s">
        <v>91</v>
      </c>
      <c r="L404" s="28" t="s">
        <v>56</v>
      </c>
      <c r="M404" s="29" t="str">
        <f t="shared" si="30"/>
        <v>⚠ Missing</v>
      </c>
      <c r="N404" s="42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70">
        <v>46248</v>
      </c>
      <c r="X404" s="30" t="s">
        <v>55</v>
      </c>
      <c r="Y404" s="30" t="s">
        <v>56</v>
      </c>
      <c r="Z404" s="30" t="s">
        <v>57</v>
      </c>
      <c r="AA404" s="30" t="s">
        <v>58</v>
      </c>
      <c r="AB404" s="30" t="s">
        <v>56</v>
      </c>
      <c r="AC404" s="27"/>
      <c r="AD404" s="31" t="s">
        <v>57</v>
      </c>
      <c r="AE404" s="32" t="str">
        <f t="shared" si="32"/>
        <v>✓ OK</v>
      </c>
      <c r="AF404" s="33" t="s">
        <v>61</v>
      </c>
      <c r="AG404" s="33" t="s">
        <v>55</v>
      </c>
      <c r="AH404" s="33" t="s">
        <v>56</v>
      </c>
      <c r="AI404" s="33" t="s">
        <v>57</v>
      </c>
      <c r="AJ404" s="33" t="s">
        <v>58</v>
      </c>
      <c r="AK404" s="33" t="s">
        <v>56</v>
      </c>
      <c r="AL404" s="27"/>
      <c r="AM404" s="34" t="s">
        <v>57</v>
      </c>
      <c r="AN404" s="35" t="str">
        <f t="shared" si="33"/>
        <v>✓ OK</v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2131</v>
      </c>
      <c r="C405" s="25" t="s">
        <v>2132</v>
      </c>
      <c r="D405" s="23" t="s">
        <v>1332</v>
      </c>
      <c r="E405" s="42">
        <v>46132</v>
      </c>
      <c r="F405" s="26" t="s">
        <v>55</v>
      </c>
      <c r="G405" s="26" t="s">
        <v>57</v>
      </c>
      <c r="H405" s="26" t="s">
        <v>57</v>
      </c>
      <c r="I405" s="26" t="s">
        <v>90</v>
      </c>
      <c r="J405" s="26" t="s">
        <v>57</v>
      </c>
      <c r="K405" s="27" t="s">
        <v>91</v>
      </c>
      <c r="L405" s="28" t="s">
        <v>56</v>
      </c>
      <c r="M405" s="29" t="str">
        <f t="shared" si="30"/>
        <v>⚠ Missing</v>
      </c>
      <c r="N405" s="42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70">
        <v>46248</v>
      </c>
      <c r="X405" s="30" t="s">
        <v>55</v>
      </c>
      <c r="Y405" s="30" t="s">
        <v>56</v>
      </c>
      <c r="Z405" s="30" t="s">
        <v>57</v>
      </c>
      <c r="AA405" s="30" t="s">
        <v>58</v>
      </c>
      <c r="AB405" s="30" t="s">
        <v>56</v>
      </c>
      <c r="AC405" s="27"/>
      <c r="AD405" s="31" t="s">
        <v>57</v>
      </c>
      <c r="AE405" s="32" t="str">
        <f t="shared" si="32"/>
        <v>✓ OK</v>
      </c>
      <c r="AF405" s="33" t="s">
        <v>61</v>
      </c>
      <c r="AG405" s="33" t="s">
        <v>55</v>
      </c>
      <c r="AH405" s="33" t="s">
        <v>56</v>
      </c>
      <c r="AI405" s="33" t="s">
        <v>57</v>
      </c>
      <c r="AJ405" s="33" t="s">
        <v>58</v>
      </c>
      <c r="AK405" s="33" t="s">
        <v>56</v>
      </c>
      <c r="AL405" s="27"/>
      <c r="AM405" s="34" t="s">
        <v>57</v>
      </c>
      <c r="AN405" s="35" t="str">
        <f t="shared" si="33"/>
        <v>✓ OK</v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2133</v>
      </c>
      <c r="C406" s="41" t="s">
        <v>2134</v>
      </c>
      <c r="D406" s="39" t="s">
        <v>1332</v>
      </c>
      <c r="E406" s="42">
        <v>46132</v>
      </c>
      <c r="F406" s="26" t="s">
        <v>55</v>
      </c>
      <c r="G406" s="26" t="s">
        <v>57</v>
      </c>
      <c r="H406" s="26" t="s">
        <v>57</v>
      </c>
      <c r="I406" s="26" t="s">
        <v>90</v>
      </c>
      <c r="J406" s="26" t="s">
        <v>57</v>
      </c>
      <c r="K406" s="27" t="s">
        <v>91</v>
      </c>
      <c r="L406" s="28" t="s">
        <v>56</v>
      </c>
      <c r="M406" s="29" t="str">
        <f t="shared" si="30"/>
        <v>⚠ Missing</v>
      </c>
      <c r="N406" s="42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70">
        <v>46248</v>
      </c>
      <c r="X406" s="30" t="s">
        <v>55</v>
      </c>
      <c r="Y406" s="30" t="s">
        <v>56</v>
      </c>
      <c r="Z406" s="30" t="s">
        <v>57</v>
      </c>
      <c r="AA406" s="30" t="s">
        <v>58</v>
      </c>
      <c r="AB406" s="30" t="s">
        <v>56</v>
      </c>
      <c r="AC406" s="27"/>
      <c r="AD406" s="31" t="s">
        <v>57</v>
      </c>
      <c r="AE406" s="32" t="str">
        <f t="shared" si="32"/>
        <v>✓ OK</v>
      </c>
      <c r="AF406" s="33" t="s">
        <v>61</v>
      </c>
      <c r="AG406" s="33" t="s">
        <v>55</v>
      </c>
      <c r="AH406" s="33" t="s">
        <v>56</v>
      </c>
      <c r="AI406" s="33" t="s">
        <v>57</v>
      </c>
      <c r="AJ406" s="33" t="s">
        <v>58</v>
      </c>
      <c r="AK406" s="33" t="s">
        <v>56</v>
      </c>
      <c r="AL406" s="27"/>
      <c r="AM406" s="34" t="s">
        <v>57</v>
      </c>
      <c r="AN406" s="35" t="str">
        <f t="shared" si="33"/>
        <v>✓ OK</v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2135</v>
      </c>
      <c r="C407" s="25" t="s">
        <v>2136</v>
      </c>
      <c r="D407" s="23" t="s">
        <v>1332</v>
      </c>
      <c r="E407" s="42">
        <v>46132</v>
      </c>
      <c r="F407" s="26" t="s">
        <v>55</v>
      </c>
      <c r="G407" s="26" t="s">
        <v>57</v>
      </c>
      <c r="H407" s="26" t="s">
        <v>57</v>
      </c>
      <c r="I407" s="26" t="s">
        <v>90</v>
      </c>
      <c r="J407" s="26" t="s">
        <v>57</v>
      </c>
      <c r="K407" s="27" t="s">
        <v>91</v>
      </c>
      <c r="L407" s="28" t="s">
        <v>56</v>
      </c>
      <c r="M407" s="29" t="str">
        <f t="shared" si="30"/>
        <v>⚠ Missing</v>
      </c>
      <c r="N407" s="42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70">
        <v>46248</v>
      </c>
      <c r="X407" s="30" t="s">
        <v>55</v>
      </c>
      <c r="Y407" s="30" t="s">
        <v>56</v>
      </c>
      <c r="Z407" s="30" t="s">
        <v>57</v>
      </c>
      <c r="AA407" s="30" t="s">
        <v>58</v>
      </c>
      <c r="AB407" s="30" t="s">
        <v>56</v>
      </c>
      <c r="AC407" s="27"/>
      <c r="AD407" s="31" t="s">
        <v>57</v>
      </c>
      <c r="AE407" s="32" t="str">
        <f t="shared" si="32"/>
        <v>✓ OK</v>
      </c>
      <c r="AF407" s="33" t="s">
        <v>61</v>
      </c>
      <c r="AG407" s="33" t="s">
        <v>55</v>
      </c>
      <c r="AH407" s="33" t="s">
        <v>56</v>
      </c>
      <c r="AI407" s="33" t="s">
        <v>57</v>
      </c>
      <c r="AJ407" s="33" t="s">
        <v>58</v>
      </c>
      <c r="AK407" s="33" t="s">
        <v>56</v>
      </c>
      <c r="AL407" s="27"/>
      <c r="AM407" s="34" t="s">
        <v>57</v>
      </c>
      <c r="AN407" s="35" t="str">
        <f t="shared" si="33"/>
        <v>✓ OK</v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2137</v>
      </c>
      <c r="C408" s="41" t="s">
        <v>2138</v>
      </c>
      <c r="D408" s="39" t="s">
        <v>1332</v>
      </c>
      <c r="E408" s="42">
        <v>46132</v>
      </c>
      <c r="F408" s="26" t="s">
        <v>55</v>
      </c>
      <c r="G408" s="26" t="s">
        <v>57</v>
      </c>
      <c r="H408" s="26" t="s">
        <v>57</v>
      </c>
      <c r="I408" s="26" t="s">
        <v>90</v>
      </c>
      <c r="J408" s="26" t="s">
        <v>57</v>
      </c>
      <c r="K408" s="27" t="s">
        <v>91</v>
      </c>
      <c r="L408" s="28" t="s">
        <v>56</v>
      </c>
      <c r="M408" s="29" t="str">
        <f t="shared" si="30"/>
        <v>⚠ Missing</v>
      </c>
      <c r="N408" s="42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70">
        <v>46248</v>
      </c>
      <c r="X408" s="30" t="s">
        <v>55</v>
      </c>
      <c r="Y408" s="30" t="s">
        <v>56</v>
      </c>
      <c r="Z408" s="30" t="s">
        <v>57</v>
      </c>
      <c r="AA408" s="30" t="s">
        <v>58</v>
      </c>
      <c r="AB408" s="30" t="s">
        <v>56</v>
      </c>
      <c r="AC408" s="27"/>
      <c r="AD408" s="31" t="s">
        <v>57</v>
      </c>
      <c r="AE408" s="32" t="str">
        <f t="shared" si="32"/>
        <v>✓ OK</v>
      </c>
      <c r="AF408" s="33" t="s">
        <v>61</v>
      </c>
      <c r="AG408" s="33" t="s">
        <v>55</v>
      </c>
      <c r="AH408" s="33" t="s">
        <v>56</v>
      </c>
      <c r="AI408" s="33" t="s">
        <v>57</v>
      </c>
      <c r="AJ408" s="33" t="s">
        <v>58</v>
      </c>
      <c r="AK408" s="33" t="s">
        <v>56</v>
      </c>
      <c r="AL408" s="27"/>
      <c r="AM408" s="34" t="s">
        <v>57</v>
      </c>
      <c r="AN408" s="35" t="str">
        <f t="shared" si="33"/>
        <v>✓ OK</v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2139</v>
      </c>
      <c r="C409" s="25" t="s">
        <v>2140</v>
      </c>
      <c r="D409" s="23" t="s">
        <v>1332</v>
      </c>
      <c r="E409" s="42">
        <v>46132</v>
      </c>
      <c r="F409" s="26" t="s">
        <v>55</v>
      </c>
      <c r="G409" s="26" t="s">
        <v>57</v>
      </c>
      <c r="H409" s="26" t="s">
        <v>57</v>
      </c>
      <c r="I409" s="26" t="s">
        <v>90</v>
      </c>
      <c r="J409" s="26" t="s">
        <v>57</v>
      </c>
      <c r="K409" s="27" t="s">
        <v>91</v>
      </c>
      <c r="L409" s="28" t="s">
        <v>56</v>
      </c>
      <c r="M409" s="29" t="str">
        <f t="shared" si="30"/>
        <v>⚠ Missing</v>
      </c>
      <c r="N409" s="42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70">
        <v>46248</v>
      </c>
      <c r="X409" s="30" t="s">
        <v>55</v>
      </c>
      <c r="Y409" s="30" t="s">
        <v>56</v>
      </c>
      <c r="Z409" s="30" t="s">
        <v>57</v>
      </c>
      <c r="AA409" s="30" t="s">
        <v>58</v>
      </c>
      <c r="AB409" s="30" t="s">
        <v>56</v>
      </c>
      <c r="AC409" s="27"/>
      <c r="AD409" s="31" t="s">
        <v>57</v>
      </c>
      <c r="AE409" s="32" t="str">
        <f t="shared" si="32"/>
        <v>✓ OK</v>
      </c>
      <c r="AF409" s="33" t="s">
        <v>61</v>
      </c>
      <c r="AG409" s="33" t="s">
        <v>55</v>
      </c>
      <c r="AH409" s="33" t="s">
        <v>56</v>
      </c>
      <c r="AI409" s="33" t="s">
        <v>57</v>
      </c>
      <c r="AJ409" s="33" t="s">
        <v>58</v>
      </c>
      <c r="AK409" s="33" t="s">
        <v>56</v>
      </c>
      <c r="AL409" s="27"/>
      <c r="AM409" s="34" t="s">
        <v>57</v>
      </c>
      <c r="AN409" s="35" t="str">
        <f t="shared" si="33"/>
        <v>✓ OK</v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2141</v>
      </c>
      <c r="C410" s="41" t="s">
        <v>2142</v>
      </c>
      <c r="D410" s="39" t="s">
        <v>1332</v>
      </c>
      <c r="E410" s="42">
        <v>46132</v>
      </c>
      <c r="F410" s="26" t="s">
        <v>55</v>
      </c>
      <c r="G410" s="26" t="s">
        <v>57</v>
      </c>
      <c r="H410" s="26" t="s">
        <v>57</v>
      </c>
      <c r="I410" s="26" t="s">
        <v>90</v>
      </c>
      <c r="J410" s="26" t="s">
        <v>57</v>
      </c>
      <c r="K410" s="27" t="s">
        <v>91</v>
      </c>
      <c r="L410" s="28" t="s">
        <v>56</v>
      </c>
      <c r="M410" s="29" t="str">
        <f t="shared" si="30"/>
        <v>⚠ Missing</v>
      </c>
      <c r="N410" s="42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70">
        <v>46248</v>
      </c>
      <c r="X410" s="30" t="s">
        <v>55</v>
      </c>
      <c r="Y410" s="30" t="s">
        <v>56</v>
      </c>
      <c r="Z410" s="30" t="s">
        <v>57</v>
      </c>
      <c r="AA410" s="30" t="s">
        <v>58</v>
      </c>
      <c r="AB410" s="30" t="s">
        <v>56</v>
      </c>
      <c r="AC410" s="27"/>
      <c r="AD410" s="31" t="s">
        <v>57</v>
      </c>
      <c r="AE410" s="32" t="str">
        <f t="shared" si="32"/>
        <v>✓ OK</v>
      </c>
      <c r="AF410" s="33" t="s">
        <v>61</v>
      </c>
      <c r="AG410" s="33" t="s">
        <v>55</v>
      </c>
      <c r="AH410" s="33" t="s">
        <v>56</v>
      </c>
      <c r="AI410" s="33" t="s">
        <v>57</v>
      </c>
      <c r="AJ410" s="33" t="s">
        <v>58</v>
      </c>
      <c r="AK410" s="33" t="s">
        <v>56</v>
      </c>
      <c r="AL410" s="27"/>
      <c r="AM410" s="34" t="s">
        <v>57</v>
      </c>
      <c r="AN410" s="35" t="str">
        <f t="shared" si="33"/>
        <v>✓ OK</v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2143</v>
      </c>
      <c r="C411" s="25" t="s">
        <v>2144</v>
      </c>
      <c r="D411" s="23" t="s">
        <v>1332</v>
      </c>
      <c r="E411" s="42">
        <v>46132</v>
      </c>
      <c r="F411" s="26" t="s">
        <v>55</v>
      </c>
      <c r="G411" s="26" t="s">
        <v>57</v>
      </c>
      <c r="H411" s="26" t="s">
        <v>57</v>
      </c>
      <c r="I411" s="26" t="s">
        <v>90</v>
      </c>
      <c r="J411" s="26" t="s">
        <v>57</v>
      </c>
      <c r="K411" s="27" t="s">
        <v>91</v>
      </c>
      <c r="L411" s="28" t="s">
        <v>56</v>
      </c>
      <c r="M411" s="29" t="str">
        <f t="shared" si="30"/>
        <v>⚠ Missing</v>
      </c>
      <c r="N411" s="42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70">
        <v>46248</v>
      </c>
      <c r="X411" s="30" t="s">
        <v>55</v>
      </c>
      <c r="Y411" s="30" t="s">
        <v>56</v>
      </c>
      <c r="Z411" s="30" t="s">
        <v>57</v>
      </c>
      <c r="AA411" s="30" t="s">
        <v>58</v>
      </c>
      <c r="AB411" s="30" t="s">
        <v>56</v>
      </c>
      <c r="AC411" s="27"/>
      <c r="AD411" s="31" t="s">
        <v>57</v>
      </c>
      <c r="AE411" s="32" t="str">
        <f t="shared" si="32"/>
        <v>✓ OK</v>
      </c>
      <c r="AF411" s="33" t="s">
        <v>61</v>
      </c>
      <c r="AG411" s="33" t="s">
        <v>55</v>
      </c>
      <c r="AH411" s="33" t="s">
        <v>56</v>
      </c>
      <c r="AI411" s="33" t="s">
        <v>57</v>
      </c>
      <c r="AJ411" s="33" t="s">
        <v>58</v>
      </c>
      <c r="AK411" s="33" t="s">
        <v>56</v>
      </c>
      <c r="AL411" s="27"/>
      <c r="AM411" s="34" t="s">
        <v>57</v>
      </c>
      <c r="AN411" s="35" t="str">
        <f t="shared" si="33"/>
        <v>✓ OK</v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2145</v>
      </c>
      <c r="C412" s="41" t="s">
        <v>2146</v>
      </c>
      <c r="D412" s="39" t="s">
        <v>1332</v>
      </c>
      <c r="E412" s="42">
        <v>46132</v>
      </c>
      <c r="F412" s="26" t="s">
        <v>55</v>
      </c>
      <c r="G412" s="26" t="s">
        <v>57</v>
      </c>
      <c r="H412" s="26" t="s">
        <v>57</v>
      </c>
      <c r="I412" s="26" t="s">
        <v>90</v>
      </c>
      <c r="J412" s="26" t="s">
        <v>57</v>
      </c>
      <c r="K412" s="27" t="s">
        <v>91</v>
      </c>
      <c r="L412" s="28" t="s">
        <v>56</v>
      </c>
      <c r="M412" s="29" t="str">
        <f t="shared" si="30"/>
        <v>⚠ Missing</v>
      </c>
      <c r="N412" s="42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70">
        <v>46248</v>
      </c>
      <c r="X412" s="30" t="s">
        <v>55</v>
      </c>
      <c r="Y412" s="30" t="s">
        <v>56</v>
      </c>
      <c r="Z412" s="30" t="s">
        <v>57</v>
      </c>
      <c r="AA412" s="30" t="s">
        <v>58</v>
      </c>
      <c r="AB412" s="30" t="s">
        <v>56</v>
      </c>
      <c r="AC412" s="27"/>
      <c r="AD412" s="31" t="s">
        <v>57</v>
      </c>
      <c r="AE412" s="32" t="str">
        <f t="shared" si="32"/>
        <v>✓ OK</v>
      </c>
      <c r="AF412" s="33" t="s">
        <v>61</v>
      </c>
      <c r="AG412" s="33" t="s">
        <v>55</v>
      </c>
      <c r="AH412" s="33" t="s">
        <v>56</v>
      </c>
      <c r="AI412" s="33" t="s">
        <v>57</v>
      </c>
      <c r="AJ412" s="33" t="s">
        <v>58</v>
      </c>
      <c r="AK412" s="33" t="s">
        <v>56</v>
      </c>
      <c r="AL412" s="27"/>
      <c r="AM412" s="34" t="s">
        <v>57</v>
      </c>
      <c r="AN412" s="35" t="str">
        <f t="shared" si="33"/>
        <v>✓ OK</v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2147</v>
      </c>
      <c r="C413" s="25" t="s">
        <v>2148</v>
      </c>
      <c r="D413" s="23" t="s">
        <v>1332</v>
      </c>
      <c r="E413" s="42">
        <v>46132</v>
      </c>
      <c r="F413" s="26" t="s">
        <v>55</v>
      </c>
      <c r="G413" s="26" t="s">
        <v>57</v>
      </c>
      <c r="H413" s="26" t="s">
        <v>57</v>
      </c>
      <c r="I413" s="26" t="s">
        <v>90</v>
      </c>
      <c r="J413" s="26" t="s">
        <v>57</v>
      </c>
      <c r="K413" s="27" t="s">
        <v>91</v>
      </c>
      <c r="L413" s="28" t="s">
        <v>56</v>
      </c>
      <c r="M413" s="29" t="str">
        <f t="shared" si="30"/>
        <v>⚠ Missing</v>
      </c>
      <c r="N413" s="42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70">
        <v>46248</v>
      </c>
      <c r="X413" s="30" t="s">
        <v>55</v>
      </c>
      <c r="Y413" s="30" t="s">
        <v>56</v>
      </c>
      <c r="Z413" s="30" t="s">
        <v>57</v>
      </c>
      <c r="AA413" s="30" t="s">
        <v>58</v>
      </c>
      <c r="AB413" s="30" t="s">
        <v>56</v>
      </c>
      <c r="AC413" s="27"/>
      <c r="AD413" s="31" t="s">
        <v>57</v>
      </c>
      <c r="AE413" s="32" t="str">
        <f t="shared" si="32"/>
        <v>✓ OK</v>
      </c>
      <c r="AF413" s="33" t="s">
        <v>61</v>
      </c>
      <c r="AG413" s="33" t="s">
        <v>55</v>
      </c>
      <c r="AH413" s="33" t="s">
        <v>56</v>
      </c>
      <c r="AI413" s="33" t="s">
        <v>57</v>
      </c>
      <c r="AJ413" s="33" t="s">
        <v>58</v>
      </c>
      <c r="AK413" s="33" t="s">
        <v>56</v>
      </c>
      <c r="AL413" s="27"/>
      <c r="AM413" s="34" t="s">
        <v>57</v>
      </c>
      <c r="AN413" s="35" t="str">
        <f t="shared" si="33"/>
        <v>✓ OK</v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2149</v>
      </c>
      <c r="C414" s="41" t="s">
        <v>2150</v>
      </c>
      <c r="D414" s="39" t="s">
        <v>1332</v>
      </c>
      <c r="E414" s="42">
        <v>46132</v>
      </c>
      <c r="F414" s="26" t="s">
        <v>55</v>
      </c>
      <c r="G414" s="26" t="s">
        <v>57</v>
      </c>
      <c r="H414" s="26" t="s">
        <v>57</v>
      </c>
      <c r="I414" s="26" t="s">
        <v>90</v>
      </c>
      <c r="J414" s="26" t="s">
        <v>57</v>
      </c>
      <c r="K414" s="27" t="s">
        <v>91</v>
      </c>
      <c r="L414" s="28" t="s">
        <v>56</v>
      </c>
      <c r="M414" s="29" t="str">
        <f t="shared" si="30"/>
        <v>⚠ Missing</v>
      </c>
      <c r="N414" s="42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70">
        <v>46248</v>
      </c>
      <c r="X414" s="30" t="s">
        <v>55</v>
      </c>
      <c r="Y414" s="30" t="s">
        <v>56</v>
      </c>
      <c r="Z414" s="30" t="s">
        <v>57</v>
      </c>
      <c r="AA414" s="30" t="s">
        <v>58</v>
      </c>
      <c r="AB414" s="30" t="s">
        <v>56</v>
      </c>
      <c r="AC414" s="27"/>
      <c r="AD414" s="31" t="s">
        <v>57</v>
      </c>
      <c r="AE414" s="32" t="str">
        <f t="shared" si="32"/>
        <v>✓ OK</v>
      </c>
      <c r="AF414" s="33" t="s">
        <v>61</v>
      </c>
      <c r="AG414" s="33" t="s">
        <v>55</v>
      </c>
      <c r="AH414" s="33" t="s">
        <v>56</v>
      </c>
      <c r="AI414" s="33" t="s">
        <v>57</v>
      </c>
      <c r="AJ414" s="33" t="s">
        <v>58</v>
      </c>
      <c r="AK414" s="33" t="s">
        <v>56</v>
      </c>
      <c r="AL414" s="27"/>
      <c r="AM414" s="34" t="s">
        <v>57</v>
      </c>
      <c r="AN414" s="35" t="str">
        <f t="shared" si="33"/>
        <v>✓ OK</v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2151</v>
      </c>
      <c r="C415" s="25" t="s">
        <v>2152</v>
      </c>
      <c r="D415" s="23" t="s">
        <v>1332</v>
      </c>
      <c r="E415" s="42">
        <v>46132</v>
      </c>
      <c r="F415" s="26" t="s">
        <v>55</v>
      </c>
      <c r="G415" s="26" t="s">
        <v>57</v>
      </c>
      <c r="H415" s="26" t="s">
        <v>57</v>
      </c>
      <c r="I415" s="26" t="s">
        <v>90</v>
      </c>
      <c r="J415" s="26" t="s">
        <v>57</v>
      </c>
      <c r="K415" s="27" t="s">
        <v>91</v>
      </c>
      <c r="L415" s="28" t="s">
        <v>56</v>
      </c>
      <c r="M415" s="29" t="str">
        <f t="shared" si="30"/>
        <v>⚠ Missing</v>
      </c>
      <c r="N415" s="42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70">
        <v>46248</v>
      </c>
      <c r="X415" s="30" t="s">
        <v>55</v>
      </c>
      <c r="Y415" s="30" t="s">
        <v>56</v>
      </c>
      <c r="Z415" s="30" t="s">
        <v>57</v>
      </c>
      <c r="AA415" s="30" t="s">
        <v>58</v>
      </c>
      <c r="AB415" s="30" t="s">
        <v>56</v>
      </c>
      <c r="AC415" s="27"/>
      <c r="AD415" s="31" t="s">
        <v>57</v>
      </c>
      <c r="AE415" s="32" t="str">
        <f t="shared" si="32"/>
        <v>✓ OK</v>
      </c>
      <c r="AF415" s="33" t="s">
        <v>61</v>
      </c>
      <c r="AG415" s="33" t="s">
        <v>55</v>
      </c>
      <c r="AH415" s="33" t="s">
        <v>56</v>
      </c>
      <c r="AI415" s="33" t="s">
        <v>57</v>
      </c>
      <c r="AJ415" s="33" t="s">
        <v>58</v>
      </c>
      <c r="AK415" s="33" t="s">
        <v>56</v>
      </c>
      <c r="AL415" s="27"/>
      <c r="AM415" s="34" t="s">
        <v>57</v>
      </c>
      <c r="AN415" s="35" t="str">
        <f t="shared" si="33"/>
        <v>✓ OK</v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2153</v>
      </c>
      <c r="C416" s="41" t="s">
        <v>2154</v>
      </c>
      <c r="D416" s="39" t="s">
        <v>1332</v>
      </c>
      <c r="E416" s="42">
        <v>46132</v>
      </c>
      <c r="F416" s="26" t="s">
        <v>55</v>
      </c>
      <c r="G416" s="26" t="s">
        <v>57</v>
      </c>
      <c r="H416" s="26" t="s">
        <v>57</v>
      </c>
      <c r="I416" s="26" t="s">
        <v>90</v>
      </c>
      <c r="J416" s="26" t="s">
        <v>57</v>
      </c>
      <c r="K416" s="27" t="s">
        <v>91</v>
      </c>
      <c r="L416" s="28" t="s">
        <v>56</v>
      </c>
      <c r="M416" s="29" t="str">
        <f t="shared" si="30"/>
        <v>⚠ Missing</v>
      </c>
      <c r="N416" s="42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70">
        <v>46248</v>
      </c>
      <c r="X416" s="30" t="s">
        <v>55</v>
      </c>
      <c r="Y416" s="30" t="s">
        <v>56</v>
      </c>
      <c r="Z416" s="30" t="s">
        <v>57</v>
      </c>
      <c r="AA416" s="30" t="s">
        <v>58</v>
      </c>
      <c r="AB416" s="30" t="s">
        <v>56</v>
      </c>
      <c r="AC416" s="27"/>
      <c r="AD416" s="31" t="s">
        <v>57</v>
      </c>
      <c r="AE416" s="32" t="str">
        <f t="shared" si="32"/>
        <v>✓ OK</v>
      </c>
      <c r="AF416" s="33" t="s">
        <v>61</v>
      </c>
      <c r="AG416" s="33" t="s">
        <v>55</v>
      </c>
      <c r="AH416" s="33" t="s">
        <v>56</v>
      </c>
      <c r="AI416" s="33" t="s">
        <v>57</v>
      </c>
      <c r="AJ416" s="33" t="s">
        <v>58</v>
      </c>
      <c r="AK416" s="33" t="s">
        <v>56</v>
      </c>
      <c r="AL416" s="27"/>
      <c r="AM416" s="34" t="s">
        <v>57</v>
      </c>
      <c r="AN416" s="35" t="str">
        <f t="shared" si="33"/>
        <v>✓ OK</v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2155</v>
      </c>
      <c r="C417" s="25" t="s">
        <v>2156</v>
      </c>
      <c r="D417" s="23" t="s">
        <v>1332</v>
      </c>
      <c r="E417" s="42">
        <v>46132</v>
      </c>
      <c r="F417" s="26" t="s">
        <v>55</v>
      </c>
      <c r="G417" s="26" t="s">
        <v>57</v>
      </c>
      <c r="H417" s="26" t="s">
        <v>57</v>
      </c>
      <c r="I417" s="26" t="s">
        <v>90</v>
      </c>
      <c r="J417" s="26" t="s">
        <v>57</v>
      </c>
      <c r="K417" s="27" t="s">
        <v>91</v>
      </c>
      <c r="L417" s="28" t="s">
        <v>56</v>
      </c>
      <c r="M417" s="29" t="str">
        <f t="shared" si="30"/>
        <v>⚠ Missing</v>
      </c>
      <c r="N417" s="42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70">
        <v>46248</v>
      </c>
      <c r="X417" s="30" t="s">
        <v>55</v>
      </c>
      <c r="Y417" s="30" t="s">
        <v>56</v>
      </c>
      <c r="Z417" s="30" t="s">
        <v>57</v>
      </c>
      <c r="AA417" s="30" t="s">
        <v>58</v>
      </c>
      <c r="AB417" s="30" t="s">
        <v>56</v>
      </c>
      <c r="AC417" s="27"/>
      <c r="AD417" s="31" t="s">
        <v>57</v>
      </c>
      <c r="AE417" s="32" t="str">
        <f t="shared" si="32"/>
        <v>✓ OK</v>
      </c>
      <c r="AF417" s="33" t="s">
        <v>61</v>
      </c>
      <c r="AG417" s="33" t="s">
        <v>55</v>
      </c>
      <c r="AH417" s="33" t="s">
        <v>56</v>
      </c>
      <c r="AI417" s="33" t="s">
        <v>57</v>
      </c>
      <c r="AJ417" s="33" t="s">
        <v>58</v>
      </c>
      <c r="AK417" s="33" t="s">
        <v>56</v>
      </c>
      <c r="AL417" s="27"/>
      <c r="AM417" s="34" t="s">
        <v>57</v>
      </c>
      <c r="AN417" s="35" t="str">
        <f t="shared" si="33"/>
        <v>✓ OK</v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2157</v>
      </c>
      <c r="C418" s="41" t="s">
        <v>2158</v>
      </c>
      <c r="D418" s="39" t="s">
        <v>1332</v>
      </c>
      <c r="E418" s="42">
        <v>46132</v>
      </c>
      <c r="F418" s="26" t="s">
        <v>55</v>
      </c>
      <c r="G418" s="26" t="s">
        <v>57</v>
      </c>
      <c r="H418" s="26" t="s">
        <v>57</v>
      </c>
      <c r="I418" s="26" t="s">
        <v>90</v>
      </c>
      <c r="J418" s="26" t="s">
        <v>57</v>
      </c>
      <c r="K418" s="27" t="s">
        <v>91</v>
      </c>
      <c r="L418" s="28" t="s">
        <v>56</v>
      </c>
      <c r="M418" s="29" t="str">
        <f t="shared" si="30"/>
        <v>⚠ Missing</v>
      </c>
      <c r="N418" s="42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70">
        <v>46248</v>
      </c>
      <c r="X418" s="30" t="s">
        <v>55</v>
      </c>
      <c r="Y418" s="30" t="s">
        <v>56</v>
      </c>
      <c r="Z418" s="30" t="s">
        <v>57</v>
      </c>
      <c r="AA418" s="30" t="s">
        <v>58</v>
      </c>
      <c r="AB418" s="30" t="s">
        <v>56</v>
      </c>
      <c r="AC418" s="27"/>
      <c r="AD418" s="31" t="s">
        <v>57</v>
      </c>
      <c r="AE418" s="32" t="str">
        <f t="shared" si="32"/>
        <v>✓ OK</v>
      </c>
      <c r="AF418" s="33" t="s">
        <v>61</v>
      </c>
      <c r="AG418" s="33" t="s">
        <v>55</v>
      </c>
      <c r="AH418" s="33" t="s">
        <v>56</v>
      </c>
      <c r="AI418" s="33" t="s">
        <v>57</v>
      </c>
      <c r="AJ418" s="33" t="s">
        <v>58</v>
      </c>
      <c r="AK418" s="33" t="s">
        <v>56</v>
      </c>
      <c r="AL418" s="27"/>
      <c r="AM418" s="34" t="s">
        <v>57</v>
      </c>
      <c r="AN418" s="35" t="str">
        <f t="shared" si="33"/>
        <v>✓ OK</v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2159</v>
      </c>
      <c r="C419" s="25" t="s">
        <v>2160</v>
      </c>
      <c r="D419" s="23" t="s">
        <v>1332</v>
      </c>
      <c r="E419" s="42">
        <v>46132</v>
      </c>
      <c r="F419" s="26" t="s">
        <v>55</v>
      </c>
      <c r="G419" s="26" t="s">
        <v>57</v>
      </c>
      <c r="H419" s="26" t="s">
        <v>57</v>
      </c>
      <c r="I419" s="26" t="s">
        <v>90</v>
      </c>
      <c r="J419" s="26" t="s">
        <v>57</v>
      </c>
      <c r="K419" s="27" t="s">
        <v>91</v>
      </c>
      <c r="L419" s="28" t="s">
        <v>56</v>
      </c>
      <c r="M419" s="29" t="str">
        <f t="shared" si="30"/>
        <v>⚠ Missing</v>
      </c>
      <c r="N419" s="42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70">
        <v>46248</v>
      </c>
      <c r="X419" s="30" t="s">
        <v>55</v>
      </c>
      <c r="Y419" s="30" t="s">
        <v>56</v>
      </c>
      <c r="Z419" s="30" t="s">
        <v>57</v>
      </c>
      <c r="AA419" s="30" t="s">
        <v>58</v>
      </c>
      <c r="AB419" s="30" t="s">
        <v>56</v>
      </c>
      <c r="AC419" s="27"/>
      <c r="AD419" s="31" t="s">
        <v>57</v>
      </c>
      <c r="AE419" s="32" t="str">
        <f t="shared" si="32"/>
        <v>✓ OK</v>
      </c>
      <c r="AF419" s="33" t="s">
        <v>61</v>
      </c>
      <c r="AG419" s="33" t="s">
        <v>55</v>
      </c>
      <c r="AH419" s="33" t="s">
        <v>56</v>
      </c>
      <c r="AI419" s="33" t="s">
        <v>57</v>
      </c>
      <c r="AJ419" s="33" t="s">
        <v>58</v>
      </c>
      <c r="AK419" s="33" t="s">
        <v>56</v>
      </c>
      <c r="AL419" s="27"/>
      <c r="AM419" s="34" t="s">
        <v>57</v>
      </c>
      <c r="AN419" s="35" t="str">
        <f t="shared" si="33"/>
        <v>✓ OK</v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2161</v>
      </c>
      <c r="C420" s="41" t="s">
        <v>2162</v>
      </c>
      <c r="D420" s="39" t="s">
        <v>1332</v>
      </c>
      <c r="E420" s="42">
        <v>46132</v>
      </c>
      <c r="F420" s="26" t="s">
        <v>55</v>
      </c>
      <c r="G420" s="26" t="s">
        <v>57</v>
      </c>
      <c r="H420" s="26" t="s">
        <v>57</v>
      </c>
      <c r="I420" s="26" t="s">
        <v>90</v>
      </c>
      <c r="J420" s="26" t="s">
        <v>57</v>
      </c>
      <c r="K420" s="27" t="s">
        <v>91</v>
      </c>
      <c r="L420" s="28" t="s">
        <v>56</v>
      </c>
      <c r="M420" s="29" t="str">
        <f t="shared" si="30"/>
        <v>⚠ Missing</v>
      </c>
      <c r="N420" s="42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70">
        <v>46248</v>
      </c>
      <c r="X420" s="30" t="s">
        <v>55</v>
      </c>
      <c r="Y420" s="30" t="s">
        <v>56</v>
      </c>
      <c r="Z420" s="30" t="s">
        <v>57</v>
      </c>
      <c r="AA420" s="30" t="s">
        <v>58</v>
      </c>
      <c r="AB420" s="30" t="s">
        <v>56</v>
      </c>
      <c r="AC420" s="27"/>
      <c r="AD420" s="31" t="s">
        <v>57</v>
      </c>
      <c r="AE420" s="32" t="str">
        <f t="shared" si="32"/>
        <v>✓ OK</v>
      </c>
      <c r="AF420" s="33" t="s">
        <v>61</v>
      </c>
      <c r="AG420" s="33" t="s">
        <v>55</v>
      </c>
      <c r="AH420" s="33" t="s">
        <v>56</v>
      </c>
      <c r="AI420" s="33" t="s">
        <v>57</v>
      </c>
      <c r="AJ420" s="33" t="s">
        <v>58</v>
      </c>
      <c r="AK420" s="33" t="s">
        <v>56</v>
      </c>
      <c r="AL420" s="27"/>
      <c r="AM420" s="34" t="s">
        <v>57</v>
      </c>
      <c r="AN420" s="35" t="str">
        <f t="shared" si="33"/>
        <v>✓ OK</v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2163</v>
      </c>
      <c r="C421" s="25" t="s">
        <v>2164</v>
      </c>
      <c r="D421" s="23" t="s">
        <v>1332</v>
      </c>
      <c r="E421" s="42">
        <v>46132</v>
      </c>
      <c r="F421" s="26" t="s">
        <v>55</v>
      </c>
      <c r="G421" s="26" t="s">
        <v>57</v>
      </c>
      <c r="H421" s="26" t="s">
        <v>57</v>
      </c>
      <c r="I421" s="26" t="s">
        <v>90</v>
      </c>
      <c r="J421" s="26" t="s">
        <v>57</v>
      </c>
      <c r="K421" s="27" t="s">
        <v>91</v>
      </c>
      <c r="L421" s="28" t="s">
        <v>56</v>
      </c>
      <c r="M421" s="29" t="str">
        <f t="shared" si="30"/>
        <v>⚠ Missing</v>
      </c>
      <c r="N421" s="42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70">
        <v>46248</v>
      </c>
      <c r="X421" s="30" t="s">
        <v>55</v>
      </c>
      <c r="Y421" s="30" t="s">
        <v>56</v>
      </c>
      <c r="Z421" s="30" t="s">
        <v>57</v>
      </c>
      <c r="AA421" s="30" t="s">
        <v>58</v>
      </c>
      <c r="AB421" s="30" t="s">
        <v>56</v>
      </c>
      <c r="AC421" s="27"/>
      <c r="AD421" s="31" t="s">
        <v>57</v>
      </c>
      <c r="AE421" s="32" t="str">
        <f t="shared" si="32"/>
        <v>✓ OK</v>
      </c>
      <c r="AF421" s="33" t="s">
        <v>61</v>
      </c>
      <c r="AG421" s="33" t="s">
        <v>55</v>
      </c>
      <c r="AH421" s="33" t="s">
        <v>56</v>
      </c>
      <c r="AI421" s="33" t="s">
        <v>57</v>
      </c>
      <c r="AJ421" s="33" t="s">
        <v>58</v>
      </c>
      <c r="AK421" s="33" t="s">
        <v>56</v>
      </c>
      <c r="AL421" s="27"/>
      <c r="AM421" s="34" t="s">
        <v>57</v>
      </c>
      <c r="AN421" s="35" t="str">
        <f t="shared" si="33"/>
        <v>✓ OK</v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2165</v>
      </c>
      <c r="C422" s="41" t="s">
        <v>2166</v>
      </c>
      <c r="D422" s="39" t="s">
        <v>1332</v>
      </c>
      <c r="E422" s="42">
        <v>46132</v>
      </c>
      <c r="F422" s="26" t="s">
        <v>55</v>
      </c>
      <c r="G422" s="26" t="s">
        <v>57</v>
      </c>
      <c r="H422" s="26" t="s">
        <v>57</v>
      </c>
      <c r="I422" s="26" t="s">
        <v>90</v>
      </c>
      <c r="J422" s="26" t="s">
        <v>57</v>
      </c>
      <c r="K422" s="27" t="s">
        <v>91</v>
      </c>
      <c r="L422" s="28" t="s">
        <v>56</v>
      </c>
      <c r="M422" s="29" t="str">
        <f t="shared" si="30"/>
        <v>⚠ Missing</v>
      </c>
      <c r="N422" s="42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70">
        <v>46248</v>
      </c>
      <c r="X422" s="30" t="s">
        <v>55</v>
      </c>
      <c r="Y422" s="30" t="s">
        <v>56</v>
      </c>
      <c r="Z422" s="30" t="s">
        <v>57</v>
      </c>
      <c r="AA422" s="30" t="s">
        <v>58</v>
      </c>
      <c r="AB422" s="30" t="s">
        <v>56</v>
      </c>
      <c r="AC422" s="27"/>
      <c r="AD422" s="31" t="s">
        <v>57</v>
      </c>
      <c r="AE422" s="32" t="str">
        <f t="shared" si="32"/>
        <v>✓ OK</v>
      </c>
      <c r="AF422" s="33" t="s">
        <v>61</v>
      </c>
      <c r="AG422" s="33" t="s">
        <v>55</v>
      </c>
      <c r="AH422" s="33" t="s">
        <v>56</v>
      </c>
      <c r="AI422" s="33" t="s">
        <v>57</v>
      </c>
      <c r="AJ422" s="33" t="s">
        <v>58</v>
      </c>
      <c r="AK422" s="33" t="s">
        <v>56</v>
      </c>
      <c r="AL422" s="27"/>
      <c r="AM422" s="34" t="s">
        <v>57</v>
      </c>
      <c r="AN422" s="35" t="str">
        <f t="shared" si="33"/>
        <v>✓ OK</v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2167</v>
      </c>
      <c r="C423" s="25" t="s">
        <v>2168</v>
      </c>
      <c r="D423" s="23" t="s">
        <v>1332</v>
      </c>
      <c r="E423" s="42">
        <v>46132</v>
      </c>
      <c r="F423" s="26" t="s">
        <v>55</v>
      </c>
      <c r="G423" s="26" t="s">
        <v>57</v>
      </c>
      <c r="H423" s="26" t="s">
        <v>57</v>
      </c>
      <c r="I423" s="26" t="s">
        <v>90</v>
      </c>
      <c r="J423" s="26" t="s">
        <v>57</v>
      </c>
      <c r="K423" s="27" t="s">
        <v>91</v>
      </c>
      <c r="L423" s="28" t="s">
        <v>56</v>
      </c>
      <c r="M423" s="29" t="str">
        <f t="shared" si="30"/>
        <v>⚠ Missing</v>
      </c>
      <c r="N423" s="42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70">
        <v>46248</v>
      </c>
      <c r="X423" s="30" t="s">
        <v>55</v>
      </c>
      <c r="Y423" s="30" t="s">
        <v>56</v>
      </c>
      <c r="Z423" s="30" t="s">
        <v>57</v>
      </c>
      <c r="AA423" s="30" t="s">
        <v>58</v>
      </c>
      <c r="AB423" s="30" t="s">
        <v>56</v>
      </c>
      <c r="AC423" s="27"/>
      <c r="AD423" s="31" t="s">
        <v>57</v>
      </c>
      <c r="AE423" s="32" t="str">
        <f t="shared" si="32"/>
        <v>✓ OK</v>
      </c>
      <c r="AF423" s="33" t="s">
        <v>61</v>
      </c>
      <c r="AG423" s="33" t="s">
        <v>55</v>
      </c>
      <c r="AH423" s="33" t="s">
        <v>56</v>
      </c>
      <c r="AI423" s="33" t="s">
        <v>57</v>
      </c>
      <c r="AJ423" s="33" t="s">
        <v>58</v>
      </c>
      <c r="AK423" s="33" t="s">
        <v>56</v>
      </c>
      <c r="AL423" s="27"/>
      <c r="AM423" s="34" t="s">
        <v>57</v>
      </c>
      <c r="AN423" s="35" t="str">
        <f t="shared" si="33"/>
        <v>✓ OK</v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2169</v>
      </c>
      <c r="C424" s="41" t="s">
        <v>2170</v>
      </c>
      <c r="D424" s="39" t="s">
        <v>1332</v>
      </c>
      <c r="E424" s="42">
        <v>46132</v>
      </c>
      <c r="F424" s="26" t="s">
        <v>55</v>
      </c>
      <c r="G424" s="26" t="s">
        <v>57</v>
      </c>
      <c r="H424" s="26" t="s">
        <v>57</v>
      </c>
      <c r="I424" s="26" t="s">
        <v>90</v>
      </c>
      <c r="J424" s="26" t="s">
        <v>57</v>
      </c>
      <c r="K424" s="27" t="s">
        <v>91</v>
      </c>
      <c r="L424" s="28" t="s">
        <v>56</v>
      </c>
      <c r="M424" s="29" t="str">
        <f t="shared" si="30"/>
        <v>⚠ Missing</v>
      </c>
      <c r="N424" s="42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70">
        <v>46248</v>
      </c>
      <c r="X424" s="30" t="s">
        <v>55</v>
      </c>
      <c r="Y424" s="30" t="s">
        <v>56</v>
      </c>
      <c r="Z424" s="30" t="s">
        <v>57</v>
      </c>
      <c r="AA424" s="30" t="s">
        <v>58</v>
      </c>
      <c r="AB424" s="30" t="s">
        <v>56</v>
      </c>
      <c r="AC424" s="27"/>
      <c r="AD424" s="31" t="s">
        <v>57</v>
      </c>
      <c r="AE424" s="32" t="str">
        <f t="shared" si="32"/>
        <v>✓ OK</v>
      </c>
      <c r="AF424" s="33" t="s">
        <v>61</v>
      </c>
      <c r="AG424" s="33" t="s">
        <v>55</v>
      </c>
      <c r="AH424" s="33" t="s">
        <v>56</v>
      </c>
      <c r="AI424" s="33" t="s">
        <v>57</v>
      </c>
      <c r="AJ424" s="33" t="s">
        <v>58</v>
      </c>
      <c r="AK424" s="33" t="s">
        <v>56</v>
      </c>
      <c r="AL424" s="27"/>
      <c r="AM424" s="34" t="s">
        <v>57</v>
      </c>
      <c r="AN424" s="35" t="str">
        <f t="shared" si="33"/>
        <v>✓ OK</v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2171</v>
      </c>
      <c r="C425" s="25" t="s">
        <v>2172</v>
      </c>
      <c r="D425" s="23" t="s">
        <v>1332</v>
      </c>
      <c r="E425" s="42">
        <v>46132</v>
      </c>
      <c r="F425" s="26" t="s">
        <v>55</v>
      </c>
      <c r="G425" s="26" t="s">
        <v>57</v>
      </c>
      <c r="H425" s="26" t="s">
        <v>57</v>
      </c>
      <c r="I425" s="26" t="s">
        <v>90</v>
      </c>
      <c r="J425" s="26" t="s">
        <v>57</v>
      </c>
      <c r="K425" s="27" t="s">
        <v>91</v>
      </c>
      <c r="L425" s="28" t="s">
        <v>56</v>
      </c>
      <c r="M425" s="29" t="str">
        <f t="shared" si="30"/>
        <v>⚠ Missing</v>
      </c>
      <c r="N425" s="42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70">
        <v>46248</v>
      </c>
      <c r="X425" s="30" t="s">
        <v>55</v>
      </c>
      <c r="Y425" s="30" t="s">
        <v>56</v>
      </c>
      <c r="Z425" s="30" t="s">
        <v>57</v>
      </c>
      <c r="AA425" s="30" t="s">
        <v>58</v>
      </c>
      <c r="AB425" s="30" t="s">
        <v>56</v>
      </c>
      <c r="AC425" s="27"/>
      <c r="AD425" s="31" t="s">
        <v>57</v>
      </c>
      <c r="AE425" s="32" t="str">
        <f t="shared" si="32"/>
        <v>✓ OK</v>
      </c>
      <c r="AF425" s="33" t="s">
        <v>61</v>
      </c>
      <c r="AG425" s="33" t="s">
        <v>55</v>
      </c>
      <c r="AH425" s="33" t="s">
        <v>56</v>
      </c>
      <c r="AI425" s="33" t="s">
        <v>57</v>
      </c>
      <c r="AJ425" s="33" t="s">
        <v>58</v>
      </c>
      <c r="AK425" s="33" t="s">
        <v>56</v>
      </c>
      <c r="AL425" s="27"/>
      <c r="AM425" s="34" t="s">
        <v>57</v>
      </c>
      <c r="AN425" s="35" t="str">
        <f t="shared" si="33"/>
        <v>✓ OK</v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2173</v>
      </c>
      <c r="C426" s="41" t="s">
        <v>2174</v>
      </c>
      <c r="D426" s="39" t="s">
        <v>1332</v>
      </c>
      <c r="E426" s="42">
        <v>46132</v>
      </c>
      <c r="F426" s="26" t="s">
        <v>55</v>
      </c>
      <c r="G426" s="26" t="s">
        <v>57</v>
      </c>
      <c r="H426" s="26" t="s">
        <v>57</v>
      </c>
      <c r="I426" s="26" t="s">
        <v>90</v>
      </c>
      <c r="J426" s="26" t="s">
        <v>57</v>
      </c>
      <c r="K426" s="27" t="s">
        <v>91</v>
      </c>
      <c r="L426" s="28" t="s">
        <v>56</v>
      </c>
      <c r="M426" s="29" t="str">
        <f t="shared" si="30"/>
        <v>⚠ Missing</v>
      </c>
      <c r="N426" s="42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70">
        <v>46248</v>
      </c>
      <c r="X426" s="30" t="s">
        <v>55</v>
      </c>
      <c r="Y426" s="30" t="s">
        <v>56</v>
      </c>
      <c r="Z426" s="30" t="s">
        <v>57</v>
      </c>
      <c r="AA426" s="30" t="s">
        <v>58</v>
      </c>
      <c r="AB426" s="30" t="s">
        <v>56</v>
      </c>
      <c r="AC426" s="27"/>
      <c r="AD426" s="31" t="s">
        <v>57</v>
      </c>
      <c r="AE426" s="32" t="str">
        <f t="shared" si="32"/>
        <v>✓ OK</v>
      </c>
      <c r="AF426" s="33" t="s">
        <v>61</v>
      </c>
      <c r="AG426" s="33" t="s">
        <v>55</v>
      </c>
      <c r="AH426" s="33" t="s">
        <v>56</v>
      </c>
      <c r="AI426" s="33" t="s">
        <v>57</v>
      </c>
      <c r="AJ426" s="33" t="s">
        <v>58</v>
      </c>
      <c r="AK426" s="33" t="s">
        <v>56</v>
      </c>
      <c r="AL426" s="27"/>
      <c r="AM426" s="34" t="s">
        <v>57</v>
      </c>
      <c r="AN426" s="35" t="str">
        <f t="shared" si="33"/>
        <v>✓ OK</v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2175</v>
      </c>
      <c r="C427" s="25" t="s">
        <v>2176</v>
      </c>
      <c r="D427" s="23" t="s">
        <v>1332</v>
      </c>
      <c r="E427" s="42">
        <v>46132</v>
      </c>
      <c r="F427" s="26" t="s">
        <v>55</v>
      </c>
      <c r="G427" s="26" t="s">
        <v>57</v>
      </c>
      <c r="H427" s="26" t="s">
        <v>57</v>
      </c>
      <c r="I427" s="26" t="s">
        <v>90</v>
      </c>
      <c r="J427" s="26" t="s">
        <v>57</v>
      </c>
      <c r="K427" s="27" t="s">
        <v>91</v>
      </c>
      <c r="L427" s="28" t="s">
        <v>56</v>
      </c>
      <c r="M427" s="29" t="str">
        <f t="shared" si="30"/>
        <v>⚠ Missing</v>
      </c>
      <c r="N427" s="42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70">
        <v>46248</v>
      </c>
      <c r="X427" s="30" t="s">
        <v>55</v>
      </c>
      <c r="Y427" s="30" t="s">
        <v>56</v>
      </c>
      <c r="Z427" s="30" t="s">
        <v>57</v>
      </c>
      <c r="AA427" s="30" t="s">
        <v>58</v>
      </c>
      <c r="AB427" s="30" t="s">
        <v>56</v>
      </c>
      <c r="AC427" s="27"/>
      <c r="AD427" s="31" t="s">
        <v>57</v>
      </c>
      <c r="AE427" s="32" t="str">
        <f t="shared" si="32"/>
        <v>✓ OK</v>
      </c>
      <c r="AF427" s="33" t="s">
        <v>61</v>
      </c>
      <c r="AG427" s="33" t="s">
        <v>55</v>
      </c>
      <c r="AH427" s="33" t="s">
        <v>56</v>
      </c>
      <c r="AI427" s="33" t="s">
        <v>57</v>
      </c>
      <c r="AJ427" s="33" t="s">
        <v>58</v>
      </c>
      <c r="AK427" s="33" t="s">
        <v>56</v>
      </c>
      <c r="AL427" s="27"/>
      <c r="AM427" s="34" t="s">
        <v>57</v>
      </c>
      <c r="AN427" s="35" t="str">
        <f t="shared" si="33"/>
        <v>✓ OK</v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2177</v>
      </c>
      <c r="C428" s="41" t="s">
        <v>2178</v>
      </c>
      <c r="D428" s="39" t="s">
        <v>1332</v>
      </c>
      <c r="E428" s="42">
        <v>46132</v>
      </c>
      <c r="F428" s="26" t="s">
        <v>55</v>
      </c>
      <c r="G428" s="26" t="s">
        <v>57</v>
      </c>
      <c r="H428" s="26" t="s">
        <v>57</v>
      </c>
      <c r="I428" s="26" t="s">
        <v>90</v>
      </c>
      <c r="J428" s="26" t="s">
        <v>57</v>
      </c>
      <c r="K428" s="27" t="s">
        <v>91</v>
      </c>
      <c r="L428" s="28" t="s">
        <v>56</v>
      </c>
      <c r="M428" s="29" t="str">
        <f t="shared" si="30"/>
        <v>⚠ Missing</v>
      </c>
      <c r="N428" s="42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70">
        <v>46248</v>
      </c>
      <c r="X428" s="30" t="s">
        <v>55</v>
      </c>
      <c r="Y428" s="30" t="s">
        <v>56</v>
      </c>
      <c r="Z428" s="30" t="s">
        <v>57</v>
      </c>
      <c r="AA428" s="30" t="s">
        <v>58</v>
      </c>
      <c r="AB428" s="30" t="s">
        <v>56</v>
      </c>
      <c r="AC428" s="27"/>
      <c r="AD428" s="31" t="s">
        <v>57</v>
      </c>
      <c r="AE428" s="32" t="str">
        <f t="shared" si="32"/>
        <v>✓ OK</v>
      </c>
      <c r="AF428" s="33" t="s">
        <v>61</v>
      </c>
      <c r="AG428" s="33" t="s">
        <v>55</v>
      </c>
      <c r="AH428" s="33" t="s">
        <v>56</v>
      </c>
      <c r="AI428" s="33" t="s">
        <v>57</v>
      </c>
      <c r="AJ428" s="33" t="s">
        <v>58</v>
      </c>
      <c r="AK428" s="33" t="s">
        <v>56</v>
      </c>
      <c r="AL428" s="27"/>
      <c r="AM428" s="34" t="s">
        <v>57</v>
      </c>
      <c r="AN428" s="35" t="str">
        <f t="shared" si="33"/>
        <v>✓ OK</v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2179</v>
      </c>
      <c r="C429" s="25" t="s">
        <v>2180</v>
      </c>
      <c r="D429" s="23" t="s">
        <v>1332</v>
      </c>
      <c r="E429" s="42">
        <v>46132</v>
      </c>
      <c r="F429" s="26" t="s">
        <v>55</v>
      </c>
      <c r="G429" s="26" t="s">
        <v>57</v>
      </c>
      <c r="H429" s="26" t="s">
        <v>57</v>
      </c>
      <c r="I429" s="26" t="s">
        <v>90</v>
      </c>
      <c r="J429" s="26" t="s">
        <v>57</v>
      </c>
      <c r="K429" s="27" t="s">
        <v>91</v>
      </c>
      <c r="L429" s="28" t="s">
        <v>56</v>
      </c>
      <c r="M429" s="29" t="str">
        <f t="shared" si="30"/>
        <v>⚠ Missing</v>
      </c>
      <c r="N429" s="42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70">
        <v>46248</v>
      </c>
      <c r="X429" s="30" t="s">
        <v>55</v>
      </c>
      <c r="Y429" s="30" t="s">
        <v>56</v>
      </c>
      <c r="Z429" s="30" t="s">
        <v>57</v>
      </c>
      <c r="AA429" s="30" t="s">
        <v>58</v>
      </c>
      <c r="AB429" s="30" t="s">
        <v>56</v>
      </c>
      <c r="AC429" s="27"/>
      <c r="AD429" s="31" t="s">
        <v>57</v>
      </c>
      <c r="AE429" s="32" t="str">
        <f t="shared" si="32"/>
        <v>✓ OK</v>
      </c>
      <c r="AF429" s="33" t="s">
        <v>61</v>
      </c>
      <c r="AG429" s="33" t="s">
        <v>55</v>
      </c>
      <c r="AH429" s="33" t="s">
        <v>56</v>
      </c>
      <c r="AI429" s="33" t="s">
        <v>57</v>
      </c>
      <c r="AJ429" s="33" t="s">
        <v>58</v>
      </c>
      <c r="AK429" s="33" t="s">
        <v>56</v>
      </c>
      <c r="AL429" s="27"/>
      <c r="AM429" s="34" t="s">
        <v>57</v>
      </c>
      <c r="AN429" s="35" t="str">
        <f t="shared" si="33"/>
        <v>✓ OK</v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2181</v>
      </c>
      <c r="C430" s="41" t="s">
        <v>2182</v>
      </c>
      <c r="D430" s="39" t="s">
        <v>1332</v>
      </c>
      <c r="E430" s="42">
        <v>46132</v>
      </c>
      <c r="F430" s="26" t="s">
        <v>55</v>
      </c>
      <c r="G430" s="26" t="s">
        <v>57</v>
      </c>
      <c r="H430" s="26" t="s">
        <v>57</v>
      </c>
      <c r="I430" s="26" t="s">
        <v>90</v>
      </c>
      <c r="J430" s="26" t="s">
        <v>57</v>
      </c>
      <c r="K430" s="27" t="s">
        <v>91</v>
      </c>
      <c r="L430" s="28" t="s">
        <v>56</v>
      </c>
      <c r="M430" s="29" t="str">
        <f t="shared" si="30"/>
        <v>⚠ Missing</v>
      </c>
      <c r="N430" s="42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70">
        <v>46248</v>
      </c>
      <c r="X430" s="30" t="s">
        <v>55</v>
      </c>
      <c r="Y430" s="30" t="s">
        <v>56</v>
      </c>
      <c r="Z430" s="30" t="s">
        <v>57</v>
      </c>
      <c r="AA430" s="30" t="s">
        <v>58</v>
      </c>
      <c r="AB430" s="30" t="s">
        <v>56</v>
      </c>
      <c r="AC430" s="27"/>
      <c r="AD430" s="31" t="s">
        <v>57</v>
      </c>
      <c r="AE430" s="32" t="str">
        <f t="shared" si="32"/>
        <v>✓ OK</v>
      </c>
      <c r="AF430" s="33" t="s">
        <v>61</v>
      </c>
      <c r="AG430" s="33" t="s">
        <v>55</v>
      </c>
      <c r="AH430" s="33" t="s">
        <v>56</v>
      </c>
      <c r="AI430" s="33" t="s">
        <v>57</v>
      </c>
      <c r="AJ430" s="33" t="s">
        <v>58</v>
      </c>
      <c r="AK430" s="33" t="s">
        <v>56</v>
      </c>
      <c r="AL430" s="27"/>
      <c r="AM430" s="34" t="s">
        <v>57</v>
      </c>
      <c r="AN430" s="35" t="str">
        <f t="shared" si="33"/>
        <v>✓ OK</v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2183</v>
      </c>
      <c r="C431" s="25" t="s">
        <v>2184</v>
      </c>
      <c r="D431" s="23" t="s">
        <v>1332</v>
      </c>
      <c r="E431" s="42">
        <v>46132</v>
      </c>
      <c r="F431" s="26" t="s">
        <v>55</v>
      </c>
      <c r="G431" s="26" t="s">
        <v>57</v>
      </c>
      <c r="H431" s="26" t="s">
        <v>57</v>
      </c>
      <c r="I431" s="26" t="s">
        <v>90</v>
      </c>
      <c r="J431" s="26" t="s">
        <v>57</v>
      </c>
      <c r="K431" s="27" t="s">
        <v>91</v>
      </c>
      <c r="L431" s="28" t="s">
        <v>56</v>
      </c>
      <c r="M431" s="29" t="str">
        <f t="shared" si="30"/>
        <v>⚠ Missing</v>
      </c>
      <c r="N431" s="42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70">
        <v>46248</v>
      </c>
      <c r="X431" s="30" t="s">
        <v>55</v>
      </c>
      <c r="Y431" s="30" t="s">
        <v>56</v>
      </c>
      <c r="Z431" s="30" t="s">
        <v>57</v>
      </c>
      <c r="AA431" s="30" t="s">
        <v>58</v>
      </c>
      <c r="AB431" s="30" t="s">
        <v>56</v>
      </c>
      <c r="AC431" s="27"/>
      <c r="AD431" s="31" t="s">
        <v>57</v>
      </c>
      <c r="AE431" s="32" t="str">
        <f t="shared" si="32"/>
        <v>✓ OK</v>
      </c>
      <c r="AF431" s="33" t="s">
        <v>61</v>
      </c>
      <c r="AG431" s="33" t="s">
        <v>55</v>
      </c>
      <c r="AH431" s="33" t="s">
        <v>56</v>
      </c>
      <c r="AI431" s="33" t="s">
        <v>57</v>
      </c>
      <c r="AJ431" s="33" t="s">
        <v>58</v>
      </c>
      <c r="AK431" s="33" t="s">
        <v>56</v>
      </c>
      <c r="AL431" s="27"/>
      <c r="AM431" s="34" t="s">
        <v>57</v>
      </c>
      <c r="AN431" s="35" t="str">
        <f t="shared" si="33"/>
        <v>✓ OK</v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2185</v>
      </c>
      <c r="C432" s="41" t="s">
        <v>2186</v>
      </c>
      <c r="D432" s="39" t="s">
        <v>1332</v>
      </c>
      <c r="E432" s="42">
        <v>46132</v>
      </c>
      <c r="F432" s="26" t="s">
        <v>55</v>
      </c>
      <c r="G432" s="26" t="s">
        <v>57</v>
      </c>
      <c r="H432" s="26" t="s">
        <v>57</v>
      </c>
      <c r="I432" s="26" t="s">
        <v>90</v>
      </c>
      <c r="J432" s="26" t="s">
        <v>57</v>
      </c>
      <c r="K432" s="27" t="s">
        <v>91</v>
      </c>
      <c r="L432" s="28" t="s">
        <v>56</v>
      </c>
      <c r="M432" s="29" t="str">
        <f t="shared" si="30"/>
        <v>⚠ Missing</v>
      </c>
      <c r="N432" s="42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70">
        <v>46248</v>
      </c>
      <c r="X432" s="30" t="s">
        <v>55</v>
      </c>
      <c r="Y432" s="30" t="s">
        <v>56</v>
      </c>
      <c r="Z432" s="30" t="s">
        <v>57</v>
      </c>
      <c r="AA432" s="30" t="s">
        <v>58</v>
      </c>
      <c r="AB432" s="30" t="s">
        <v>56</v>
      </c>
      <c r="AC432" s="27"/>
      <c r="AD432" s="31" t="s">
        <v>57</v>
      </c>
      <c r="AE432" s="32" t="str">
        <f t="shared" si="32"/>
        <v>✓ OK</v>
      </c>
      <c r="AF432" s="33" t="s">
        <v>61</v>
      </c>
      <c r="AG432" s="33" t="s">
        <v>55</v>
      </c>
      <c r="AH432" s="33" t="s">
        <v>56</v>
      </c>
      <c r="AI432" s="33" t="s">
        <v>57</v>
      </c>
      <c r="AJ432" s="33" t="s">
        <v>58</v>
      </c>
      <c r="AK432" s="33" t="s">
        <v>56</v>
      </c>
      <c r="AL432" s="27"/>
      <c r="AM432" s="34" t="s">
        <v>57</v>
      </c>
      <c r="AN432" s="35" t="str">
        <f t="shared" si="33"/>
        <v>✓ OK</v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2187</v>
      </c>
      <c r="C433" s="25" t="s">
        <v>2188</v>
      </c>
      <c r="D433" s="23" t="s">
        <v>1332</v>
      </c>
      <c r="E433" s="42">
        <v>46132</v>
      </c>
      <c r="F433" s="26" t="s">
        <v>55</v>
      </c>
      <c r="G433" s="26" t="s">
        <v>57</v>
      </c>
      <c r="H433" s="26" t="s">
        <v>57</v>
      </c>
      <c r="I433" s="26" t="s">
        <v>90</v>
      </c>
      <c r="J433" s="26" t="s">
        <v>57</v>
      </c>
      <c r="K433" s="27" t="s">
        <v>91</v>
      </c>
      <c r="L433" s="28" t="s">
        <v>56</v>
      </c>
      <c r="M433" s="29" t="str">
        <f t="shared" si="30"/>
        <v>⚠ Missing</v>
      </c>
      <c r="N433" s="42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70">
        <v>46248</v>
      </c>
      <c r="X433" s="30" t="s">
        <v>55</v>
      </c>
      <c r="Y433" s="30" t="s">
        <v>56</v>
      </c>
      <c r="Z433" s="30" t="s">
        <v>57</v>
      </c>
      <c r="AA433" s="30" t="s">
        <v>58</v>
      </c>
      <c r="AB433" s="30" t="s">
        <v>56</v>
      </c>
      <c r="AC433" s="27"/>
      <c r="AD433" s="31" t="s">
        <v>57</v>
      </c>
      <c r="AE433" s="32" t="str">
        <f t="shared" si="32"/>
        <v>✓ OK</v>
      </c>
      <c r="AF433" s="33" t="s">
        <v>61</v>
      </c>
      <c r="AG433" s="33" t="s">
        <v>55</v>
      </c>
      <c r="AH433" s="33" t="s">
        <v>56</v>
      </c>
      <c r="AI433" s="33" t="s">
        <v>57</v>
      </c>
      <c r="AJ433" s="33" t="s">
        <v>58</v>
      </c>
      <c r="AK433" s="33" t="s">
        <v>56</v>
      </c>
      <c r="AL433" s="27"/>
      <c r="AM433" s="34" t="s">
        <v>57</v>
      </c>
      <c r="AN433" s="35" t="str">
        <f t="shared" si="33"/>
        <v>✓ OK</v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2189</v>
      </c>
      <c r="C434" s="41" t="s">
        <v>2190</v>
      </c>
      <c r="D434" s="39" t="s">
        <v>1332</v>
      </c>
      <c r="E434" s="42">
        <v>46132</v>
      </c>
      <c r="F434" s="26" t="s">
        <v>55</v>
      </c>
      <c r="G434" s="26" t="s">
        <v>57</v>
      </c>
      <c r="H434" s="26" t="s">
        <v>57</v>
      </c>
      <c r="I434" s="26" t="s">
        <v>90</v>
      </c>
      <c r="J434" s="26" t="s">
        <v>57</v>
      </c>
      <c r="K434" s="27" t="s">
        <v>91</v>
      </c>
      <c r="L434" s="28" t="s">
        <v>56</v>
      </c>
      <c r="M434" s="29" t="str">
        <f t="shared" si="30"/>
        <v>⚠ Missing</v>
      </c>
      <c r="N434" s="42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70">
        <v>46248</v>
      </c>
      <c r="X434" s="30" t="s">
        <v>55</v>
      </c>
      <c r="Y434" s="30" t="s">
        <v>56</v>
      </c>
      <c r="Z434" s="30" t="s">
        <v>57</v>
      </c>
      <c r="AA434" s="30" t="s">
        <v>58</v>
      </c>
      <c r="AB434" s="30" t="s">
        <v>56</v>
      </c>
      <c r="AC434" s="27"/>
      <c r="AD434" s="31" t="s">
        <v>57</v>
      </c>
      <c r="AE434" s="32" t="str">
        <f t="shared" si="32"/>
        <v>✓ OK</v>
      </c>
      <c r="AF434" s="33" t="s">
        <v>61</v>
      </c>
      <c r="AG434" s="33" t="s">
        <v>55</v>
      </c>
      <c r="AH434" s="33" t="s">
        <v>56</v>
      </c>
      <c r="AI434" s="33" t="s">
        <v>57</v>
      </c>
      <c r="AJ434" s="33" t="s">
        <v>58</v>
      </c>
      <c r="AK434" s="33" t="s">
        <v>56</v>
      </c>
      <c r="AL434" s="27"/>
      <c r="AM434" s="34" t="s">
        <v>57</v>
      </c>
      <c r="AN434" s="35" t="str">
        <f t="shared" si="33"/>
        <v>✓ OK</v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2191</v>
      </c>
      <c r="C435" s="25" t="s">
        <v>2192</v>
      </c>
      <c r="D435" s="23" t="s">
        <v>1332</v>
      </c>
      <c r="E435" s="42">
        <v>46132</v>
      </c>
      <c r="F435" s="26" t="s">
        <v>55</v>
      </c>
      <c r="G435" s="26" t="s">
        <v>57</v>
      </c>
      <c r="H435" s="26" t="s">
        <v>57</v>
      </c>
      <c r="I435" s="26" t="s">
        <v>90</v>
      </c>
      <c r="J435" s="26" t="s">
        <v>57</v>
      </c>
      <c r="K435" s="27" t="s">
        <v>91</v>
      </c>
      <c r="L435" s="28" t="s">
        <v>56</v>
      </c>
      <c r="M435" s="29" t="str">
        <f t="shared" si="30"/>
        <v>⚠ Missing</v>
      </c>
      <c r="N435" s="42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70">
        <v>46248</v>
      </c>
      <c r="X435" s="30" t="s">
        <v>55</v>
      </c>
      <c r="Y435" s="30" t="s">
        <v>56</v>
      </c>
      <c r="Z435" s="30" t="s">
        <v>57</v>
      </c>
      <c r="AA435" s="30" t="s">
        <v>58</v>
      </c>
      <c r="AB435" s="30" t="s">
        <v>56</v>
      </c>
      <c r="AC435" s="27"/>
      <c r="AD435" s="31" t="s">
        <v>57</v>
      </c>
      <c r="AE435" s="32" t="str">
        <f t="shared" si="32"/>
        <v>✓ OK</v>
      </c>
      <c r="AF435" s="33" t="s">
        <v>61</v>
      </c>
      <c r="AG435" s="33" t="s">
        <v>55</v>
      </c>
      <c r="AH435" s="33" t="s">
        <v>56</v>
      </c>
      <c r="AI435" s="33" t="s">
        <v>57</v>
      </c>
      <c r="AJ435" s="33" t="s">
        <v>58</v>
      </c>
      <c r="AK435" s="33" t="s">
        <v>56</v>
      </c>
      <c r="AL435" s="27"/>
      <c r="AM435" s="34" t="s">
        <v>57</v>
      </c>
      <c r="AN435" s="35" t="str">
        <f t="shared" si="33"/>
        <v>✓ OK</v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2193</v>
      </c>
      <c r="C436" s="41" t="s">
        <v>2194</v>
      </c>
      <c r="D436" s="39" t="s">
        <v>1332</v>
      </c>
      <c r="E436" s="42">
        <v>46132</v>
      </c>
      <c r="F436" s="26" t="s">
        <v>55</v>
      </c>
      <c r="G436" s="26" t="s">
        <v>57</v>
      </c>
      <c r="H436" s="26" t="s">
        <v>57</v>
      </c>
      <c r="I436" s="26" t="s">
        <v>90</v>
      </c>
      <c r="J436" s="26" t="s">
        <v>57</v>
      </c>
      <c r="K436" s="27" t="s">
        <v>91</v>
      </c>
      <c r="L436" s="28" t="s">
        <v>56</v>
      </c>
      <c r="M436" s="29" t="str">
        <f t="shared" si="30"/>
        <v>⚠ Missing</v>
      </c>
      <c r="N436" s="42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70">
        <v>46248</v>
      </c>
      <c r="X436" s="30" t="s">
        <v>55</v>
      </c>
      <c r="Y436" s="30" t="s">
        <v>56</v>
      </c>
      <c r="Z436" s="30" t="s">
        <v>57</v>
      </c>
      <c r="AA436" s="30" t="s">
        <v>58</v>
      </c>
      <c r="AB436" s="30" t="s">
        <v>56</v>
      </c>
      <c r="AC436" s="27"/>
      <c r="AD436" s="31" t="s">
        <v>57</v>
      </c>
      <c r="AE436" s="32" t="str">
        <f t="shared" si="32"/>
        <v>✓ OK</v>
      </c>
      <c r="AF436" s="33" t="s">
        <v>61</v>
      </c>
      <c r="AG436" s="33" t="s">
        <v>55</v>
      </c>
      <c r="AH436" s="33" t="s">
        <v>56</v>
      </c>
      <c r="AI436" s="33" t="s">
        <v>57</v>
      </c>
      <c r="AJ436" s="33" t="s">
        <v>58</v>
      </c>
      <c r="AK436" s="33" t="s">
        <v>56</v>
      </c>
      <c r="AL436" s="27"/>
      <c r="AM436" s="34" t="s">
        <v>57</v>
      </c>
      <c r="AN436" s="35" t="str">
        <f t="shared" si="33"/>
        <v>✓ OK</v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2195</v>
      </c>
      <c r="C437" s="25" t="s">
        <v>2196</v>
      </c>
      <c r="D437" s="23" t="s">
        <v>1332</v>
      </c>
      <c r="E437" s="42">
        <v>46132</v>
      </c>
      <c r="F437" s="26" t="s">
        <v>55</v>
      </c>
      <c r="G437" s="26" t="s">
        <v>57</v>
      </c>
      <c r="H437" s="26" t="s">
        <v>57</v>
      </c>
      <c r="I437" s="26" t="s">
        <v>90</v>
      </c>
      <c r="J437" s="26" t="s">
        <v>57</v>
      </c>
      <c r="K437" s="27" t="s">
        <v>91</v>
      </c>
      <c r="L437" s="28" t="s">
        <v>56</v>
      </c>
      <c r="M437" s="29" t="str">
        <f t="shared" si="30"/>
        <v>⚠ Missing</v>
      </c>
      <c r="N437" s="42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70">
        <v>46248</v>
      </c>
      <c r="X437" s="30" t="s">
        <v>55</v>
      </c>
      <c r="Y437" s="30" t="s">
        <v>56</v>
      </c>
      <c r="Z437" s="30" t="s">
        <v>57</v>
      </c>
      <c r="AA437" s="30" t="s">
        <v>58</v>
      </c>
      <c r="AB437" s="30" t="s">
        <v>56</v>
      </c>
      <c r="AC437" s="27"/>
      <c r="AD437" s="31" t="s">
        <v>57</v>
      </c>
      <c r="AE437" s="32" t="str">
        <f t="shared" si="32"/>
        <v>✓ OK</v>
      </c>
      <c r="AF437" s="33" t="s">
        <v>61</v>
      </c>
      <c r="AG437" s="33" t="s">
        <v>55</v>
      </c>
      <c r="AH437" s="33" t="s">
        <v>56</v>
      </c>
      <c r="AI437" s="33" t="s">
        <v>57</v>
      </c>
      <c r="AJ437" s="33" t="s">
        <v>58</v>
      </c>
      <c r="AK437" s="33" t="s">
        <v>56</v>
      </c>
      <c r="AL437" s="27"/>
      <c r="AM437" s="34" t="s">
        <v>57</v>
      </c>
      <c r="AN437" s="35" t="str">
        <f t="shared" si="33"/>
        <v>✓ OK</v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2197</v>
      </c>
      <c r="C438" s="41" t="s">
        <v>2198</v>
      </c>
      <c r="D438" s="39" t="s">
        <v>1332</v>
      </c>
      <c r="E438" s="42">
        <v>46132</v>
      </c>
      <c r="F438" s="26" t="s">
        <v>55</v>
      </c>
      <c r="G438" s="26" t="s">
        <v>57</v>
      </c>
      <c r="H438" s="26" t="s">
        <v>57</v>
      </c>
      <c r="I438" s="26" t="s">
        <v>90</v>
      </c>
      <c r="J438" s="26" t="s">
        <v>57</v>
      </c>
      <c r="K438" s="27" t="s">
        <v>91</v>
      </c>
      <c r="L438" s="28" t="s">
        <v>56</v>
      </c>
      <c r="M438" s="29" t="str">
        <f t="shared" si="30"/>
        <v>⚠ Missing</v>
      </c>
      <c r="N438" s="42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70">
        <v>46248</v>
      </c>
      <c r="X438" s="30" t="s">
        <v>55</v>
      </c>
      <c r="Y438" s="30" t="s">
        <v>56</v>
      </c>
      <c r="Z438" s="30" t="s">
        <v>57</v>
      </c>
      <c r="AA438" s="30" t="s">
        <v>58</v>
      </c>
      <c r="AB438" s="30" t="s">
        <v>56</v>
      </c>
      <c r="AC438" s="27"/>
      <c r="AD438" s="31" t="s">
        <v>57</v>
      </c>
      <c r="AE438" s="32" t="str">
        <f t="shared" si="32"/>
        <v>✓ OK</v>
      </c>
      <c r="AF438" s="33" t="s">
        <v>61</v>
      </c>
      <c r="AG438" s="33" t="s">
        <v>55</v>
      </c>
      <c r="AH438" s="33" t="s">
        <v>56</v>
      </c>
      <c r="AI438" s="33" t="s">
        <v>57</v>
      </c>
      <c r="AJ438" s="33" t="s">
        <v>58</v>
      </c>
      <c r="AK438" s="33" t="s">
        <v>56</v>
      </c>
      <c r="AL438" s="27"/>
      <c r="AM438" s="34" t="s">
        <v>57</v>
      </c>
      <c r="AN438" s="35" t="str">
        <f t="shared" si="33"/>
        <v>✓ OK</v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2199</v>
      </c>
      <c r="C439" s="25" t="s">
        <v>2200</v>
      </c>
      <c r="D439" s="23" t="s">
        <v>1332</v>
      </c>
      <c r="E439" s="42">
        <v>46132</v>
      </c>
      <c r="F439" s="26" t="s">
        <v>55</v>
      </c>
      <c r="G439" s="26" t="s">
        <v>57</v>
      </c>
      <c r="H439" s="26" t="s">
        <v>57</v>
      </c>
      <c r="I439" s="26" t="s">
        <v>90</v>
      </c>
      <c r="J439" s="26" t="s">
        <v>57</v>
      </c>
      <c r="K439" s="27" t="s">
        <v>91</v>
      </c>
      <c r="L439" s="28" t="s">
        <v>56</v>
      </c>
      <c r="M439" s="29" t="str">
        <f t="shared" si="30"/>
        <v>⚠ Missing</v>
      </c>
      <c r="N439" s="42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70">
        <v>46248</v>
      </c>
      <c r="X439" s="30" t="s">
        <v>55</v>
      </c>
      <c r="Y439" s="30" t="s">
        <v>56</v>
      </c>
      <c r="Z439" s="30" t="s">
        <v>57</v>
      </c>
      <c r="AA439" s="30" t="s">
        <v>58</v>
      </c>
      <c r="AB439" s="30" t="s">
        <v>56</v>
      </c>
      <c r="AC439" s="27"/>
      <c r="AD439" s="31" t="s">
        <v>57</v>
      </c>
      <c r="AE439" s="32" t="str">
        <f t="shared" si="32"/>
        <v>✓ OK</v>
      </c>
      <c r="AF439" s="33" t="s">
        <v>61</v>
      </c>
      <c r="AG439" s="33" t="s">
        <v>55</v>
      </c>
      <c r="AH439" s="33" t="s">
        <v>56</v>
      </c>
      <c r="AI439" s="33" t="s">
        <v>57</v>
      </c>
      <c r="AJ439" s="33" t="s">
        <v>58</v>
      </c>
      <c r="AK439" s="33" t="s">
        <v>56</v>
      </c>
      <c r="AL439" s="27"/>
      <c r="AM439" s="34" t="s">
        <v>57</v>
      </c>
      <c r="AN439" s="35" t="str">
        <f t="shared" si="33"/>
        <v>✓ OK</v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2201</v>
      </c>
      <c r="C440" s="41" t="s">
        <v>2202</v>
      </c>
      <c r="D440" s="39" t="s">
        <v>1332</v>
      </c>
      <c r="E440" s="42">
        <v>46132</v>
      </c>
      <c r="F440" s="26" t="s">
        <v>55</v>
      </c>
      <c r="G440" s="26" t="s">
        <v>57</v>
      </c>
      <c r="H440" s="26" t="s">
        <v>57</v>
      </c>
      <c r="I440" s="26" t="s">
        <v>90</v>
      </c>
      <c r="J440" s="26" t="s">
        <v>57</v>
      </c>
      <c r="K440" s="27" t="s">
        <v>91</v>
      </c>
      <c r="L440" s="28" t="s">
        <v>56</v>
      </c>
      <c r="M440" s="29" t="str">
        <f t="shared" si="30"/>
        <v>⚠ Missing</v>
      </c>
      <c r="N440" s="42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70">
        <v>46248</v>
      </c>
      <c r="X440" s="30" t="s">
        <v>55</v>
      </c>
      <c r="Y440" s="30" t="s">
        <v>56</v>
      </c>
      <c r="Z440" s="30" t="s">
        <v>57</v>
      </c>
      <c r="AA440" s="30" t="s">
        <v>58</v>
      </c>
      <c r="AB440" s="30" t="s">
        <v>56</v>
      </c>
      <c r="AC440" s="27"/>
      <c r="AD440" s="31" t="s">
        <v>57</v>
      </c>
      <c r="AE440" s="32" t="str">
        <f t="shared" si="32"/>
        <v>✓ OK</v>
      </c>
      <c r="AF440" s="33" t="s">
        <v>61</v>
      </c>
      <c r="AG440" s="33" t="s">
        <v>55</v>
      </c>
      <c r="AH440" s="33" t="s">
        <v>56</v>
      </c>
      <c r="AI440" s="33" t="s">
        <v>57</v>
      </c>
      <c r="AJ440" s="33" t="s">
        <v>58</v>
      </c>
      <c r="AK440" s="33" t="s">
        <v>56</v>
      </c>
      <c r="AL440" s="27"/>
      <c r="AM440" s="34" t="s">
        <v>57</v>
      </c>
      <c r="AN440" s="35" t="str">
        <f t="shared" si="33"/>
        <v>✓ OK</v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2203</v>
      </c>
      <c r="C441" s="25" t="s">
        <v>2204</v>
      </c>
      <c r="D441" s="23" t="s">
        <v>1332</v>
      </c>
      <c r="E441" s="42">
        <v>46132</v>
      </c>
      <c r="F441" s="26" t="s">
        <v>55</v>
      </c>
      <c r="G441" s="26" t="s">
        <v>57</v>
      </c>
      <c r="H441" s="26" t="s">
        <v>57</v>
      </c>
      <c r="I441" s="26" t="s">
        <v>90</v>
      </c>
      <c r="J441" s="26" t="s">
        <v>57</v>
      </c>
      <c r="K441" s="27" t="s">
        <v>91</v>
      </c>
      <c r="L441" s="28" t="s">
        <v>56</v>
      </c>
      <c r="M441" s="29" t="str">
        <f t="shared" si="30"/>
        <v>⚠ Missing</v>
      </c>
      <c r="N441" s="42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70">
        <v>46248</v>
      </c>
      <c r="X441" s="30" t="s">
        <v>55</v>
      </c>
      <c r="Y441" s="30" t="s">
        <v>56</v>
      </c>
      <c r="Z441" s="30" t="s">
        <v>57</v>
      </c>
      <c r="AA441" s="30" t="s">
        <v>58</v>
      </c>
      <c r="AB441" s="30" t="s">
        <v>56</v>
      </c>
      <c r="AC441" s="27"/>
      <c r="AD441" s="31" t="s">
        <v>57</v>
      </c>
      <c r="AE441" s="32" t="str">
        <f t="shared" si="32"/>
        <v>✓ OK</v>
      </c>
      <c r="AF441" s="33" t="s">
        <v>61</v>
      </c>
      <c r="AG441" s="33" t="s">
        <v>55</v>
      </c>
      <c r="AH441" s="33" t="s">
        <v>56</v>
      </c>
      <c r="AI441" s="33" t="s">
        <v>57</v>
      </c>
      <c r="AJ441" s="33" t="s">
        <v>58</v>
      </c>
      <c r="AK441" s="33" t="s">
        <v>56</v>
      </c>
      <c r="AL441" s="27"/>
      <c r="AM441" s="34" t="s">
        <v>57</v>
      </c>
      <c r="AN441" s="35" t="str">
        <f t="shared" si="33"/>
        <v>✓ OK</v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2205</v>
      </c>
      <c r="C442" s="41" t="s">
        <v>2206</v>
      </c>
      <c r="D442" s="39" t="s">
        <v>1332</v>
      </c>
      <c r="E442" s="42">
        <v>46132</v>
      </c>
      <c r="F442" s="26" t="s">
        <v>55</v>
      </c>
      <c r="G442" s="26" t="s">
        <v>57</v>
      </c>
      <c r="H442" s="26" t="s">
        <v>57</v>
      </c>
      <c r="I442" s="26" t="s">
        <v>90</v>
      </c>
      <c r="J442" s="26" t="s">
        <v>57</v>
      </c>
      <c r="K442" s="27" t="s">
        <v>91</v>
      </c>
      <c r="L442" s="28" t="s">
        <v>56</v>
      </c>
      <c r="M442" s="29" t="str">
        <f t="shared" si="30"/>
        <v>⚠ Missing</v>
      </c>
      <c r="N442" s="42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70">
        <v>46248</v>
      </c>
      <c r="X442" s="30" t="s">
        <v>55</v>
      </c>
      <c r="Y442" s="30" t="s">
        <v>56</v>
      </c>
      <c r="Z442" s="30" t="s">
        <v>57</v>
      </c>
      <c r="AA442" s="30" t="s">
        <v>58</v>
      </c>
      <c r="AB442" s="30" t="s">
        <v>56</v>
      </c>
      <c r="AC442" s="27"/>
      <c r="AD442" s="31" t="s">
        <v>57</v>
      </c>
      <c r="AE442" s="32" t="str">
        <f t="shared" si="32"/>
        <v>✓ OK</v>
      </c>
      <c r="AF442" s="33" t="s">
        <v>61</v>
      </c>
      <c r="AG442" s="33" t="s">
        <v>55</v>
      </c>
      <c r="AH442" s="33" t="s">
        <v>56</v>
      </c>
      <c r="AI442" s="33" t="s">
        <v>57</v>
      </c>
      <c r="AJ442" s="33" t="s">
        <v>58</v>
      </c>
      <c r="AK442" s="33" t="s">
        <v>56</v>
      </c>
      <c r="AL442" s="27"/>
      <c r="AM442" s="34" t="s">
        <v>57</v>
      </c>
      <c r="AN442" s="35" t="str">
        <f t="shared" si="33"/>
        <v>✓ OK</v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2207</v>
      </c>
      <c r="C443" s="25" t="s">
        <v>2208</v>
      </c>
      <c r="D443" s="23" t="s">
        <v>1332</v>
      </c>
      <c r="E443" s="42">
        <v>46132</v>
      </c>
      <c r="F443" s="26" t="s">
        <v>55</v>
      </c>
      <c r="G443" s="26" t="s">
        <v>57</v>
      </c>
      <c r="H443" s="26" t="s">
        <v>57</v>
      </c>
      <c r="I443" s="26" t="s">
        <v>90</v>
      </c>
      <c r="J443" s="26" t="s">
        <v>57</v>
      </c>
      <c r="K443" s="27" t="s">
        <v>91</v>
      </c>
      <c r="L443" s="28" t="s">
        <v>56</v>
      </c>
      <c r="M443" s="29" t="str">
        <f t="shared" si="30"/>
        <v>⚠ Missing</v>
      </c>
      <c r="N443" s="42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70">
        <v>46248</v>
      </c>
      <c r="X443" s="30" t="s">
        <v>55</v>
      </c>
      <c r="Y443" s="30" t="s">
        <v>56</v>
      </c>
      <c r="Z443" s="30" t="s">
        <v>57</v>
      </c>
      <c r="AA443" s="30" t="s">
        <v>58</v>
      </c>
      <c r="AB443" s="30" t="s">
        <v>56</v>
      </c>
      <c r="AC443" s="27"/>
      <c r="AD443" s="31" t="s">
        <v>57</v>
      </c>
      <c r="AE443" s="32" t="str">
        <f t="shared" si="32"/>
        <v>✓ OK</v>
      </c>
      <c r="AF443" s="33" t="s">
        <v>61</v>
      </c>
      <c r="AG443" s="33" t="s">
        <v>55</v>
      </c>
      <c r="AH443" s="33" t="s">
        <v>56</v>
      </c>
      <c r="AI443" s="33" t="s">
        <v>57</v>
      </c>
      <c r="AJ443" s="33" t="s">
        <v>58</v>
      </c>
      <c r="AK443" s="33" t="s">
        <v>56</v>
      </c>
      <c r="AL443" s="27"/>
      <c r="AM443" s="34" t="s">
        <v>57</v>
      </c>
      <c r="AN443" s="35" t="str">
        <f t="shared" si="33"/>
        <v>✓ OK</v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2209</v>
      </c>
      <c r="C444" s="41" t="s">
        <v>2210</v>
      </c>
      <c r="D444" s="39" t="s">
        <v>1332</v>
      </c>
      <c r="E444" s="42">
        <v>46132</v>
      </c>
      <c r="F444" s="26" t="s">
        <v>55</v>
      </c>
      <c r="G444" s="26" t="s">
        <v>57</v>
      </c>
      <c r="H444" s="26" t="s">
        <v>57</v>
      </c>
      <c r="I444" s="26" t="s">
        <v>90</v>
      </c>
      <c r="J444" s="26" t="s">
        <v>57</v>
      </c>
      <c r="K444" s="27" t="s">
        <v>91</v>
      </c>
      <c r="L444" s="28" t="s">
        <v>56</v>
      </c>
      <c r="M444" s="29" t="str">
        <f t="shared" si="30"/>
        <v>⚠ Missing</v>
      </c>
      <c r="N444" s="42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70">
        <v>46248</v>
      </c>
      <c r="X444" s="30" t="s">
        <v>55</v>
      </c>
      <c r="Y444" s="30" t="s">
        <v>56</v>
      </c>
      <c r="Z444" s="30" t="s">
        <v>57</v>
      </c>
      <c r="AA444" s="30" t="s">
        <v>58</v>
      </c>
      <c r="AB444" s="30" t="s">
        <v>56</v>
      </c>
      <c r="AC444" s="27"/>
      <c r="AD444" s="31" t="s">
        <v>57</v>
      </c>
      <c r="AE444" s="32" t="str">
        <f t="shared" si="32"/>
        <v>✓ OK</v>
      </c>
      <c r="AF444" s="33" t="s">
        <v>61</v>
      </c>
      <c r="AG444" s="33" t="s">
        <v>55</v>
      </c>
      <c r="AH444" s="33" t="s">
        <v>56</v>
      </c>
      <c r="AI444" s="33" t="s">
        <v>57</v>
      </c>
      <c r="AJ444" s="33" t="s">
        <v>58</v>
      </c>
      <c r="AK444" s="33" t="s">
        <v>56</v>
      </c>
      <c r="AL444" s="27"/>
      <c r="AM444" s="34" t="s">
        <v>57</v>
      </c>
      <c r="AN444" s="35" t="str">
        <f t="shared" si="33"/>
        <v>✓ OK</v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2211</v>
      </c>
      <c r="C445" s="25" t="s">
        <v>2212</v>
      </c>
      <c r="D445" s="23" t="s">
        <v>1332</v>
      </c>
      <c r="E445" s="42">
        <v>46132</v>
      </c>
      <c r="F445" s="26" t="s">
        <v>55</v>
      </c>
      <c r="G445" s="26" t="s">
        <v>57</v>
      </c>
      <c r="H445" s="26" t="s">
        <v>57</v>
      </c>
      <c r="I445" s="26" t="s">
        <v>90</v>
      </c>
      <c r="J445" s="26" t="s">
        <v>57</v>
      </c>
      <c r="K445" s="27" t="s">
        <v>91</v>
      </c>
      <c r="L445" s="28" t="s">
        <v>56</v>
      </c>
      <c r="M445" s="29" t="str">
        <f t="shared" si="30"/>
        <v>⚠ Missing</v>
      </c>
      <c r="N445" s="42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70">
        <v>46248</v>
      </c>
      <c r="X445" s="30" t="s">
        <v>55</v>
      </c>
      <c r="Y445" s="30" t="s">
        <v>56</v>
      </c>
      <c r="Z445" s="30" t="s">
        <v>57</v>
      </c>
      <c r="AA445" s="30" t="s">
        <v>58</v>
      </c>
      <c r="AB445" s="30" t="s">
        <v>56</v>
      </c>
      <c r="AC445" s="27"/>
      <c r="AD445" s="31" t="s">
        <v>57</v>
      </c>
      <c r="AE445" s="32" t="str">
        <f t="shared" si="32"/>
        <v>✓ OK</v>
      </c>
      <c r="AF445" s="33" t="s">
        <v>61</v>
      </c>
      <c r="AG445" s="33" t="s">
        <v>55</v>
      </c>
      <c r="AH445" s="33" t="s">
        <v>56</v>
      </c>
      <c r="AI445" s="33" t="s">
        <v>57</v>
      </c>
      <c r="AJ445" s="33" t="s">
        <v>58</v>
      </c>
      <c r="AK445" s="33" t="s">
        <v>56</v>
      </c>
      <c r="AL445" s="27"/>
      <c r="AM445" s="34" t="s">
        <v>57</v>
      </c>
      <c r="AN445" s="35" t="str">
        <f t="shared" si="33"/>
        <v>✓ OK</v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2213</v>
      </c>
      <c r="C446" s="41" t="s">
        <v>2214</v>
      </c>
      <c r="D446" s="39" t="s">
        <v>1332</v>
      </c>
      <c r="E446" s="42">
        <v>46132</v>
      </c>
      <c r="F446" s="26" t="s">
        <v>55</v>
      </c>
      <c r="G446" s="26" t="s">
        <v>57</v>
      </c>
      <c r="H446" s="26" t="s">
        <v>57</v>
      </c>
      <c r="I446" s="26" t="s">
        <v>90</v>
      </c>
      <c r="J446" s="26" t="s">
        <v>57</v>
      </c>
      <c r="K446" s="27" t="s">
        <v>91</v>
      </c>
      <c r="L446" s="28" t="s">
        <v>56</v>
      </c>
      <c r="M446" s="29" t="str">
        <f t="shared" si="30"/>
        <v>⚠ Missing</v>
      </c>
      <c r="N446" s="42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70">
        <v>46248</v>
      </c>
      <c r="X446" s="30" t="s">
        <v>55</v>
      </c>
      <c r="Y446" s="30" t="s">
        <v>56</v>
      </c>
      <c r="Z446" s="30" t="s">
        <v>57</v>
      </c>
      <c r="AA446" s="30" t="s">
        <v>58</v>
      </c>
      <c r="AB446" s="30" t="s">
        <v>56</v>
      </c>
      <c r="AC446" s="27"/>
      <c r="AD446" s="31" t="s">
        <v>57</v>
      </c>
      <c r="AE446" s="32" t="str">
        <f t="shared" si="32"/>
        <v>✓ OK</v>
      </c>
      <c r="AF446" s="33" t="s">
        <v>61</v>
      </c>
      <c r="AG446" s="33" t="s">
        <v>55</v>
      </c>
      <c r="AH446" s="33" t="s">
        <v>56</v>
      </c>
      <c r="AI446" s="33" t="s">
        <v>57</v>
      </c>
      <c r="AJ446" s="33" t="s">
        <v>58</v>
      </c>
      <c r="AK446" s="33" t="s">
        <v>56</v>
      </c>
      <c r="AL446" s="27"/>
      <c r="AM446" s="34" t="s">
        <v>57</v>
      </c>
      <c r="AN446" s="35" t="str">
        <f t="shared" si="33"/>
        <v>✓ OK</v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2215</v>
      </c>
      <c r="C447" s="25" t="s">
        <v>2216</v>
      </c>
      <c r="D447" s="23" t="s">
        <v>1332</v>
      </c>
      <c r="E447" s="42">
        <v>46132</v>
      </c>
      <c r="F447" s="26" t="s">
        <v>55</v>
      </c>
      <c r="G447" s="26" t="s">
        <v>57</v>
      </c>
      <c r="H447" s="26" t="s">
        <v>57</v>
      </c>
      <c r="I447" s="26" t="s">
        <v>90</v>
      </c>
      <c r="J447" s="26" t="s">
        <v>57</v>
      </c>
      <c r="K447" s="27" t="s">
        <v>91</v>
      </c>
      <c r="L447" s="28" t="s">
        <v>56</v>
      </c>
      <c r="M447" s="29" t="str">
        <f t="shared" si="30"/>
        <v>⚠ Missing</v>
      </c>
      <c r="N447" s="42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70">
        <v>46248</v>
      </c>
      <c r="X447" s="30" t="s">
        <v>55</v>
      </c>
      <c r="Y447" s="30" t="s">
        <v>56</v>
      </c>
      <c r="Z447" s="30" t="s">
        <v>57</v>
      </c>
      <c r="AA447" s="30" t="s">
        <v>58</v>
      </c>
      <c r="AB447" s="30" t="s">
        <v>56</v>
      </c>
      <c r="AC447" s="27"/>
      <c r="AD447" s="31" t="s">
        <v>57</v>
      </c>
      <c r="AE447" s="32" t="str">
        <f t="shared" si="32"/>
        <v>✓ OK</v>
      </c>
      <c r="AF447" s="33" t="s">
        <v>61</v>
      </c>
      <c r="AG447" s="33" t="s">
        <v>55</v>
      </c>
      <c r="AH447" s="33" t="s">
        <v>56</v>
      </c>
      <c r="AI447" s="33" t="s">
        <v>57</v>
      </c>
      <c r="AJ447" s="33" t="s">
        <v>58</v>
      </c>
      <c r="AK447" s="33" t="s">
        <v>56</v>
      </c>
      <c r="AL447" s="27"/>
      <c r="AM447" s="34" t="s">
        <v>57</v>
      </c>
      <c r="AN447" s="35" t="str">
        <f t="shared" si="33"/>
        <v>✓ OK</v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2217</v>
      </c>
      <c r="C448" s="41" t="s">
        <v>2218</v>
      </c>
      <c r="D448" s="39" t="s">
        <v>1332</v>
      </c>
      <c r="E448" s="42">
        <v>46132</v>
      </c>
      <c r="F448" s="26" t="s">
        <v>55</v>
      </c>
      <c r="G448" s="26" t="s">
        <v>57</v>
      </c>
      <c r="H448" s="26" t="s">
        <v>57</v>
      </c>
      <c r="I448" s="26" t="s">
        <v>90</v>
      </c>
      <c r="J448" s="26" t="s">
        <v>57</v>
      </c>
      <c r="K448" s="27" t="s">
        <v>91</v>
      </c>
      <c r="L448" s="28" t="s">
        <v>56</v>
      </c>
      <c r="M448" s="29" t="str">
        <f t="shared" si="30"/>
        <v>⚠ Missing</v>
      </c>
      <c r="N448" s="42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70">
        <v>46248</v>
      </c>
      <c r="X448" s="30" t="s">
        <v>55</v>
      </c>
      <c r="Y448" s="30" t="s">
        <v>56</v>
      </c>
      <c r="Z448" s="30" t="s">
        <v>57</v>
      </c>
      <c r="AA448" s="30" t="s">
        <v>58</v>
      </c>
      <c r="AB448" s="30" t="s">
        <v>56</v>
      </c>
      <c r="AC448" s="27"/>
      <c r="AD448" s="31" t="s">
        <v>57</v>
      </c>
      <c r="AE448" s="32" t="str">
        <f t="shared" si="32"/>
        <v>✓ OK</v>
      </c>
      <c r="AF448" s="33" t="s">
        <v>61</v>
      </c>
      <c r="AG448" s="33" t="s">
        <v>55</v>
      </c>
      <c r="AH448" s="33" t="s">
        <v>56</v>
      </c>
      <c r="AI448" s="33" t="s">
        <v>57</v>
      </c>
      <c r="AJ448" s="33" t="s">
        <v>58</v>
      </c>
      <c r="AK448" s="33" t="s">
        <v>56</v>
      </c>
      <c r="AL448" s="27"/>
      <c r="AM448" s="34" t="s">
        <v>57</v>
      </c>
      <c r="AN448" s="35" t="str">
        <f t="shared" si="33"/>
        <v>✓ OK</v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2219</v>
      </c>
      <c r="C449" s="25" t="s">
        <v>2220</v>
      </c>
      <c r="D449" s="23" t="s">
        <v>1332</v>
      </c>
      <c r="E449" s="42">
        <v>46132</v>
      </c>
      <c r="F449" s="26" t="s">
        <v>55</v>
      </c>
      <c r="G449" s="26" t="s">
        <v>57</v>
      </c>
      <c r="H449" s="26" t="s">
        <v>57</v>
      </c>
      <c r="I449" s="26" t="s">
        <v>90</v>
      </c>
      <c r="J449" s="26" t="s">
        <v>57</v>
      </c>
      <c r="K449" s="27" t="s">
        <v>91</v>
      </c>
      <c r="L449" s="28" t="s">
        <v>56</v>
      </c>
      <c r="M449" s="29" t="str">
        <f t="shared" si="30"/>
        <v>⚠ Missing</v>
      </c>
      <c r="N449" s="42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70">
        <v>46248</v>
      </c>
      <c r="X449" s="30" t="s">
        <v>55</v>
      </c>
      <c r="Y449" s="30" t="s">
        <v>56</v>
      </c>
      <c r="Z449" s="30" t="s">
        <v>57</v>
      </c>
      <c r="AA449" s="30" t="s">
        <v>58</v>
      </c>
      <c r="AB449" s="30" t="s">
        <v>56</v>
      </c>
      <c r="AC449" s="27"/>
      <c r="AD449" s="31" t="s">
        <v>57</v>
      </c>
      <c r="AE449" s="32" t="str">
        <f t="shared" si="32"/>
        <v>✓ OK</v>
      </c>
      <c r="AF449" s="33" t="s">
        <v>61</v>
      </c>
      <c r="AG449" s="33" t="s">
        <v>55</v>
      </c>
      <c r="AH449" s="33" t="s">
        <v>56</v>
      </c>
      <c r="AI449" s="33" t="s">
        <v>57</v>
      </c>
      <c r="AJ449" s="33" t="s">
        <v>58</v>
      </c>
      <c r="AK449" s="33" t="s">
        <v>56</v>
      </c>
      <c r="AL449" s="27"/>
      <c r="AM449" s="34" t="s">
        <v>57</v>
      </c>
      <c r="AN449" s="35" t="str">
        <f t="shared" si="33"/>
        <v>✓ OK</v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2221</v>
      </c>
      <c r="C450" s="41" t="s">
        <v>2222</v>
      </c>
      <c r="D450" s="39" t="s">
        <v>1332</v>
      </c>
      <c r="E450" s="42">
        <v>46132</v>
      </c>
      <c r="F450" s="26" t="s">
        <v>55</v>
      </c>
      <c r="G450" s="26" t="s">
        <v>57</v>
      </c>
      <c r="H450" s="26" t="s">
        <v>57</v>
      </c>
      <c r="I450" s="26" t="s">
        <v>90</v>
      </c>
      <c r="J450" s="26" t="s">
        <v>57</v>
      </c>
      <c r="K450" s="27" t="s">
        <v>91</v>
      </c>
      <c r="L450" s="28" t="s">
        <v>56</v>
      </c>
      <c r="M450" s="29" t="str">
        <f t="shared" si="30"/>
        <v>⚠ Missing</v>
      </c>
      <c r="N450" s="42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70">
        <v>46248</v>
      </c>
      <c r="X450" s="30" t="s">
        <v>55</v>
      </c>
      <c r="Y450" s="30" t="s">
        <v>56</v>
      </c>
      <c r="Z450" s="30" t="s">
        <v>57</v>
      </c>
      <c r="AA450" s="30" t="s">
        <v>58</v>
      </c>
      <c r="AB450" s="30" t="s">
        <v>56</v>
      </c>
      <c r="AC450" s="27"/>
      <c r="AD450" s="31" t="s">
        <v>57</v>
      </c>
      <c r="AE450" s="32" t="str">
        <f t="shared" si="32"/>
        <v>✓ OK</v>
      </c>
      <c r="AF450" s="33" t="s">
        <v>61</v>
      </c>
      <c r="AG450" s="33" t="s">
        <v>55</v>
      </c>
      <c r="AH450" s="33" t="s">
        <v>56</v>
      </c>
      <c r="AI450" s="33" t="s">
        <v>57</v>
      </c>
      <c r="AJ450" s="33" t="s">
        <v>58</v>
      </c>
      <c r="AK450" s="33" t="s">
        <v>56</v>
      </c>
      <c r="AL450" s="27"/>
      <c r="AM450" s="34" t="s">
        <v>57</v>
      </c>
      <c r="AN450" s="35" t="str">
        <f t="shared" si="33"/>
        <v>✓ OK</v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2223</v>
      </c>
      <c r="C451" s="25" t="s">
        <v>2224</v>
      </c>
      <c r="D451" s="23" t="s">
        <v>1332</v>
      </c>
      <c r="E451" s="42">
        <v>46132</v>
      </c>
      <c r="F451" s="26" t="s">
        <v>55</v>
      </c>
      <c r="G451" s="26" t="s">
        <v>57</v>
      </c>
      <c r="H451" s="26" t="s">
        <v>57</v>
      </c>
      <c r="I451" s="26" t="s">
        <v>90</v>
      </c>
      <c r="J451" s="26" t="s">
        <v>57</v>
      </c>
      <c r="K451" s="27" t="s">
        <v>91</v>
      </c>
      <c r="L451" s="28" t="s">
        <v>56</v>
      </c>
      <c r="M451" s="29" t="str">
        <f t="shared" si="30"/>
        <v>⚠ Missing</v>
      </c>
      <c r="N451" s="42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70">
        <v>46248</v>
      </c>
      <c r="X451" s="30" t="s">
        <v>55</v>
      </c>
      <c r="Y451" s="30" t="s">
        <v>56</v>
      </c>
      <c r="Z451" s="30" t="s">
        <v>57</v>
      </c>
      <c r="AA451" s="30" t="s">
        <v>58</v>
      </c>
      <c r="AB451" s="30" t="s">
        <v>56</v>
      </c>
      <c r="AC451" s="27"/>
      <c r="AD451" s="31" t="s">
        <v>57</v>
      </c>
      <c r="AE451" s="32" t="str">
        <f t="shared" si="32"/>
        <v>✓ OK</v>
      </c>
      <c r="AF451" s="33" t="s">
        <v>61</v>
      </c>
      <c r="AG451" s="33" t="s">
        <v>55</v>
      </c>
      <c r="AH451" s="33" t="s">
        <v>56</v>
      </c>
      <c r="AI451" s="33" t="s">
        <v>57</v>
      </c>
      <c r="AJ451" s="33" t="s">
        <v>58</v>
      </c>
      <c r="AK451" s="33" t="s">
        <v>56</v>
      </c>
      <c r="AL451" s="27"/>
      <c r="AM451" s="34" t="s">
        <v>57</v>
      </c>
      <c r="AN451" s="35" t="str">
        <f t="shared" si="33"/>
        <v>✓ OK</v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2225</v>
      </c>
      <c r="C452" s="41" t="s">
        <v>2226</v>
      </c>
      <c r="D452" s="39" t="s">
        <v>1332</v>
      </c>
      <c r="E452" s="42">
        <v>46132</v>
      </c>
      <c r="F452" s="26" t="s">
        <v>55</v>
      </c>
      <c r="G452" s="26" t="s">
        <v>57</v>
      </c>
      <c r="H452" s="26" t="s">
        <v>57</v>
      </c>
      <c r="I452" s="26" t="s">
        <v>90</v>
      </c>
      <c r="J452" s="26" t="s">
        <v>57</v>
      </c>
      <c r="K452" s="27" t="s">
        <v>91</v>
      </c>
      <c r="L452" s="28" t="s">
        <v>56</v>
      </c>
      <c r="M452" s="29" t="str">
        <f t="shared" si="30"/>
        <v>⚠ Missing</v>
      </c>
      <c r="N452" s="42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70">
        <v>46248</v>
      </c>
      <c r="X452" s="30" t="s">
        <v>55</v>
      </c>
      <c r="Y452" s="30" t="s">
        <v>56</v>
      </c>
      <c r="Z452" s="30" t="s">
        <v>57</v>
      </c>
      <c r="AA452" s="30" t="s">
        <v>58</v>
      </c>
      <c r="AB452" s="30" t="s">
        <v>56</v>
      </c>
      <c r="AC452" s="27"/>
      <c r="AD452" s="31" t="s">
        <v>57</v>
      </c>
      <c r="AE452" s="32" t="str">
        <f t="shared" si="32"/>
        <v>✓ OK</v>
      </c>
      <c r="AF452" s="33" t="s">
        <v>61</v>
      </c>
      <c r="AG452" s="33" t="s">
        <v>55</v>
      </c>
      <c r="AH452" s="33" t="s">
        <v>56</v>
      </c>
      <c r="AI452" s="33" t="s">
        <v>57</v>
      </c>
      <c r="AJ452" s="33" t="s">
        <v>58</v>
      </c>
      <c r="AK452" s="33" t="s">
        <v>56</v>
      </c>
      <c r="AL452" s="27"/>
      <c r="AM452" s="34" t="s">
        <v>57</v>
      </c>
      <c r="AN452" s="35" t="str">
        <f t="shared" si="33"/>
        <v>✓ OK</v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2227</v>
      </c>
      <c r="C453" s="25" t="s">
        <v>2228</v>
      </c>
      <c r="D453" s="23" t="s">
        <v>1332</v>
      </c>
      <c r="E453" s="42">
        <v>46132</v>
      </c>
      <c r="F453" s="26" t="s">
        <v>55</v>
      </c>
      <c r="G453" s="26" t="s">
        <v>57</v>
      </c>
      <c r="H453" s="26" t="s">
        <v>57</v>
      </c>
      <c r="I453" s="26" t="s">
        <v>90</v>
      </c>
      <c r="J453" s="26" t="s">
        <v>57</v>
      </c>
      <c r="K453" s="27" t="s">
        <v>91</v>
      </c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70">
        <v>46248</v>
      </c>
      <c r="X453" s="30" t="s">
        <v>55</v>
      </c>
      <c r="Y453" s="30" t="s">
        <v>56</v>
      </c>
      <c r="Z453" s="30" t="s">
        <v>57</v>
      </c>
      <c r="AA453" s="30" t="s">
        <v>58</v>
      </c>
      <c r="AB453" s="30" t="s">
        <v>56</v>
      </c>
      <c r="AC453" s="27"/>
      <c r="AD453" s="31" t="s">
        <v>57</v>
      </c>
      <c r="AE453" s="32" t="str">
        <f t="shared" ref="AE453:AE516" si="37">IF(W453="","",IF(Z453="Yes","❌ Disc",IF(Y453="No","⚠ Missing",IF(AB453="Yes","✓ OK","⚠ Check"))))</f>
        <v>✓ OK</v>
      </c>
      <c r="AF453" s="33" t="s">
        <v>61</v>
      </c>
      <c r="AG453" s="33" t="s">
        <v>55</v>
      </c>
      <c r="AH453" s="33" t="s">
        <v>56</v>
      </c>
      <c r="AI453" s="33" t="s">
        <v>57</v>
      </c>
      <c r="AJ453" s="33" t="s">
        <v>58</v>
      </c>
      <c r="AK453" s="33" t="s">
        <v>56</v>
      </c>
      <c r="AL453" s="27"/>
      <c r="AM453" s="34" t="s">
        <v>57</v>
      </c>
      <c r="AN453" s="35" t="str">
        <f t="shared" ref="AN453:AN516" si="38">IF(AF453="","",IF(AI453="Yes","❌ Disc",IF(AH453="No","⚠ Missing",IF(AK453="Yes","✓ OK","⚠ Check"))))</f>
        <v>✓ OK</v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2229</v>
      </c>
      <c r="C454" s="41" t="s">
        <v>2230</v>
      </c>
      <c r="D454" s="39" t="s">
        <v>1332</v>
      </c>
      <c r="E454" s="42">
        <v>46132</v>
      </c>
      <c r="F454" s="26" t="s">
        <v>55</v>
      </c>
      <c r="G454" s="26" t="s">
        <v>57</v>
      </c>
      <c r="H454" s="26" t="s">
        <v>57</v>
      </c>
      <c r="I454" s="26" t="s">
        <v>90</v>
      </c>
      <c r="J454" s="26" t="s">
        <v>57</v>
      </c>
      <c r="K454" s="27" t="s">
        <v>91</v>
      </c>
      <c r="L454" s="28" t="s">
        <v>56</v>
      </c>
      <c r="M454" s="29" t="str">
        <f t="shared" si="35"/>
        <v>⚠ Missing</v>
      </c>
      <c r="N454" s="42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70">
        <v>46248</v>
      </c>
      <c r="X454" s="30" t="s">
        <v>55</v>
      </c>
      <c r="Y454" s="30" t="s">
        <v>56</v>
      </c>
      <c r="Z454" s="30" t="s">
        <v>57</v>
      </c>
      <c r="AA454" s="30" t="s">
        <v>58</v>
      </c>
      <c r="AB454" s="30" t="s">
        <v>56</v>
      </c>
      <c r="AC454" s="27"/>
      <c r="AD454" s="31" t="s">
        <v>57</v>
      </c>
      <c r="AE454" s="32" t="str">
        <f t="shared" si="37"/>
        <v>✓ OK</v>
      </c>
      <c r="AF454" s="33" t="s">
        <v>61</v>
      </c>
      <c r="AG454" s="33" t="s">
        <v>55</v>
      </c>
      <c r="AH454" s="33" t="s">
        <v>56</v>
      </c>
      <c r="AI454" s="33" t="s">
        <v>57</v>
      </c>
      <c r="AJ454" s="33" t="s">
        <v>58</v>
      </c>
      <c r="AK454" s="33" t="s">
        <v>56</v>
      </c>
      <c r="AL454" s="27"/>
      <c r="AM454" s="34" t="s">
        <v>57</v>
      </c>
      <c r="AN454" s="35" t="str">
        <f t="shared" si="38"/>
        <v>✓ OK</v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2231</v>
      </c>
      <c r="C455" s="25" t="s">
        <v>2232</v>
      </c>
      <c r="D455" s="23" t="s">
        <v>1332</v>
      </c>
      <c r="E455" s="42">
        <v>46132</v>
      </c>
      <c r="F455" s="26" t="s">
        <v>55</v>
      </c>
      <c r="G455" s="26" t="s">
        <v>57</v>
      </c>
      <c r="H455" s="26" t="s">
        <v>57</v>
      </c>
      <c r="I455" s="26" t="s">
        <v>90</v>
      </c>
      <c r="J455" s="26" t="s">
        <v>57</v>
      </c>
      <c r="K455" s="27" t="s">
        <v>91</v>
      </c>
      <c r="L455" s="28" t="s">
        <v>56</v>
      </c>
      <c r="M455" s="29" t="str">
        <f t="shared" si="35"/>
        <v>⚠ Missing</v>
      </c>
      <c r="N455" s="42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70">
        <v>46248</v>
      </c>
      <c r="X455" s="30" t="s">
        <v>55</v>
      </c>
      <c r="Y455" s="30" t="s">
        <v>56</v>
      </c>
      <c r="Z455" s="30" t="s">
        <v>57</v>
      </c>
      <c r="AA455" s="30" t="s">
        <v>58</v>
      </c>
      <c r="AB455" s="30" t="s">
        <v>56</v>
      </c>
      <c r="AC455" s="27"/>
      <c r="AD455" s="31" t="s">
        <v>57</v>
      </c>
      <c r="AE455" s="32" t="str">
        <f t="shared" si="37"/>
        <v>✓ OK</v>
      </c>
      <c r="AF455" s="33" t="s">
        <v>61</v>
      </c>
      <c r="AG455" s="33" t="s">
        <v>55</v>
      </c>
      <c r="AH455" s="33" t="s">
        <v>56</v>
      </c>
      <c r="AI455" s="33" t="s">
        <v>57</v>
      </c>
      <c r="AJ455" s="33" t="s">
        <v>58</v>
      </c>
      <c r="AK455" s="33" t="s">
        <v>56</v>
      </c>
      <c r="AL455" s="27"/>
      <c r="AM455" s="34" t="s">
        <v>57</v>
      </c>
      <c r="AN455" s="35" t="str">
        <f t="shared" si="38"/>
        <v>✓ OK</v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2233</v>
      </c>
      <c r="C456" s="41" t="s">
        <v>2234</v>
      </c>
      <c r="D456" s="39" t="s">
        <v>1332</v>
      </c>
      <c r="E456" s="42">
        <v>46132</v>
      </c>
      <c r="F456" s="26" t="s">
        <v>55</v>
      </c>
      <c r="G456" s="26" t="s">
        <v>57</v>
      </c>
      <c r="H456" s="26" t="s">
        <v>57</v>
      </c>
      <c r="I456" s="26" t="s">
        <v>90</v>
      </c>
      <c r="J456" s="26" t="s">
        <v>57</v>
      </c>
      <c r="K456" s="27" t="s">
        <v>91</v>
      </c>
      <c r="L456" s="28" t="s">
        <v>56</v>
      </c>
      <c r="M456" s="29" t="str">
        <f t="shared" si="35"/>
        <v>⚠ Missing</v>
      </c>
      <c r="N456" s="42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70">
        <v>46248</v>
      </c>
      <c r="X456" s="30" t="s">
        <v>55</v>
      </c>
      <c r="Y456" s="30" t="s">
        <v>56</v>
      </c>
      <c r="Z456" s="30" t="s">
        <v>57</v>
      </c>
      <c r="AA456" s="30" t="s">
        <v>58</v>
      </c>
      <c r="AB456" s="30" t="s">
        <v>56</v>
      </c>
      <c r="AC456" s="27"/>
      <c r="AD456" s="31" t="s">
        <v>57</v>
      </c>
      <c r="AE456" s="32" t="str">
        <f t="shared" si="37"/>
        <v>✓ OK</v>
      </c>
      <c r="AF456" s="33" t="s">
        <v>61</v>
      </c>
      <c r="AG456" s="33" t="s">
        <v>55</v>
      </c>
      <c r="AH456" s="33" t="s">
        <v>56</v>
      </c>
      <c r="AI456" s="33" t="s">
        <v>57</v>
      </c>
      <c r="AJ456" s="33" t="s">
        <v>58</v>
      </c>
      <c r="AK456" s="33" t="s">
        <v>56</v>
      </c>
      <c r="AL456" s="27"/>
      <c r="AM456" s="34" t="s">
        <v>57</v>
      </c>
      <c r="AN456" s="35" t="str">
        <f t="shared" si="38"/>
        <v>✓ OK</v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2235</v>
      </c>
      <c r="C457" s="25" t="s">
        <v>2236</v>
      </c>
      <c r="D457" s="23" t="s">
        <v>1332</v>
      </c>
      <c r="E457" s="42">
        <v>46132</v>
      </c>
      <c r="F457" s="26" t="s">
        <v>55</v>
      </c>
      <c r="G457" s="26" t="s">
        <v>57</v>
      </c>
      <c r="H457" s="26" t="s">
        <v>57</v>
      </c>
      <c r="I457" s="26" t="s">
        <v>90</v>
      </c>
      <c r="J457" s="26" t="s">
        <v>57</v>
      </c>
      <c r="K457" s="27" t="s">
        <v>91</v>
      </c>
      <c r="L457" s="28" t="s">
        <v>56</v>
      </c>
      <c r="M457" s="29" t="str">
        <f t="shared" si="35"/>
        <v>⚠ Missing</v>
      </c>
      <c r="N457" s="42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70">
        <v>46248</v>
      </c>
      <c r="X457" s="30" t="s">
        <v>55</v>
      </c>
      <c r="Y457" s="30" t="s">
        <v>56</v>
      </c>
      <c r="Z457" s="30" t="s">
        <v>57</v>
      </c>
      <c r="AA457" s="30" t="s">
        <v>58</v>
      </c>
      <c r="AB457" s="30" t="s">
        <v>56</v>
      </c>
      <c r="AC457" s="27"/>
      <c r="AD457" s="31" t="s">
        <v>57</v>
      </c>
      <c r="AE457" s="32" t="str">
        <f t="shared" si="37"/>
        <v>✓ OK</v>
      </c>
      <c r="AF457" s="33" t="s">
        <v>61</v>
      </c>
      <c r="AG457" s="33" t="s">
        <v>55</v>
      </c>
      <c r="AH457" s="33" t="s">
        <v>56</v>
      </c>
      <c r="AI457" s="33" t="s">
        <v>57</v>
      </c>
      <c r="AJ457" s="33" t="s">
        <v>58</v>
      </c>
      <c r="AK457" s="33" t="s">
        <v>56</v>
      </c>
      <c r="AL457" s="27"/>
      <c r="AM457" s="34" t="s">
        <v>57</v>
      </c>
      <c r="AN457" s="35" t="str">
        <f t="shared" si="38"/>
        <v>✓ OK</v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2237</v>
      </c>
      <c r="C458" s="41" t="s">
        <v>2238</v>
      </c>
      <c r="D458" s="39" t="s">
        <v>1332</v>
      </c>
      <c r="E458" s="42">
        <v>46132</v>
      </c>
      <c r="F458" s="26" t="s">
        <v>55</v>
      </c>
      <c r="G458" s="26" t="s">
        <v>57</v>
      </c>
      <c r="H458" s="26" t="s">
        <v>57</v>
      </c>
      <c r="I458" s="26" t="s">
        <v>90</v>
      </c>
      <c r="J458" s="26" t="s">
        <v>57</v>
      </c>
      <c r="K458" s="27" t="s">
        <v>91</v>
      </c>
      <c r="L458" s="28" t="s">
        <v>56</v>
      </c>
      <c r="M458" s="29" t="str">
        <f t="shared" si="35"/>
        <v>⚠ Missing</v>
      </c>
      <c r="N458" s="42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70">
        <v>46248</v>
      </c>
      <c r="X458" s="30" t="s">
        <v>55</v>
      </c>
      <c r="Y458" s="30" t="s">
        <v>56</v>
      </c>
      <c r="Z458" s="30" t="s">
        <v>57</v>
      </c>
      <c r="AA458" s="30" t="s">
        <v>58</v>
      </c>
      <c r="AB458" s="30" t="s">
        <v>56</v>
      </c>
      <c r="AC458" s="27"/>
      <c r="AD458" s="31" t="s">
        <v>57</v>
      </c>
      <c r="AE458" s="32" t="str">
        <f t="shared" si="37"/>
        <v>✓ OK</v>
      </c>
      <c r="AF458" s="33" t="s">
        <v>61</v>
      </c>
      <c r="AG458" s="33" t="s">
        <v>55</v>
      </c>
      <c r="AH458" s="33" t="s">
        <v>56</v>
      </c>
      <c r="AI458" s="33" t="s">
        <v>57</v>
      </c>
      <c r="AJ458" s="33" t="s">
        <v>58</v>
      </c>
      <c r="AK458" s="33" t="s">
        <v>56</v>
      </c>
      <c r="AL458" s="27"/>
      <c r="AM458" s="34" t="s">
        <v>57</v>
      </c>
      <c r="AN458" s="35" t="str">
        <f t="shared" si="38"/>
        <v>✓ OK</v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2239</v>
      </c>
      <c r="C459" s="25" t="s">
        <v>2240</v>
      </c>
      <c r="D459" s="23" t="s">
        <v>1332</v>
      </c>
      <c r="E459" s="42">
        <v>46132</v>
      </c>
      <c r="F459" s="26" t="s">
        <v>55</v>
      </c>
      <c r="G459" s="26" t="s">
        <v>57</v>
      </c>
      <c r="H459" s="26" t="s">
        <v>57</v>
      </c>
      <c r="I459" s="26" t="s">
        <v>90</v>
      </c>
      <c r="J459" s="26" t="s">
        <v>57</v>
      </c>
      <c r="K459" s="27" t="s">
        <v>91</v>
      </c>
      <c r="L459" s="28" t="s">
        <v>56</v>
      </c>
      <c r="M459" s="29" t="str">
        <f t="shared" si="35"/>
        <v>⚠ Missing</v>
      </c>
      <c r="N459" s="42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70">
        <v>46248</v>
      </c>
      <c r="X459" s="30" t="s">
        <v>55</v>
      </c>
      <c r="Y459" s="30" t="s">
        <v>56</v>
      </c>
      <c r="Z459" s="30" t="s">
        <v>57</v>
      </c>
      <c r="AA459" s="30" t="s">
        <v>58</v>
      </c>
      <c r="AB459" s="30" t="s">
        <v>56</v>
      </c>
      <c r="AC459" s="27"/>
      <c r="AD459" s="31" t="s">
        <v>57</v>
      </c>
      <c r="AE459" s="32" t="str">
        <f t="shared" si="37"/>
        <v>✓ OK</v>
      </c>
      <c r="AF459" s="33" t="s">
        <v>61</v>
      </c>
      <c r="AG459" s="33" t="s">
        <v>55</v>
      </c>
      <c r="AH459" s="33" t="s">
        <v>56</v>
      </c>
      <c r="AI459" s="33" t="s">
        <v>57</v>
      </c>
      <c r="AJ459" s="33" t="s">
        <v>58</v>
      </c>
      <c r="AK459" s="33" t="s">
        <v>56</v>
      </c>
      <c r="AL459" s="27"/>
      <c r="AM459" s="34" t="s">
        <v>57</v>
      </c>
      <c r="AN459" s="35" t="str">
        <f t="shared" si="38"/>
        <v>✓ OK</v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2241</v>
      </c>
      <c r="C460" s="41" t="s">
        <v>2242</v>
      </c>
      <c r="D460" s="39" t="s">
        <v>1332</v>
      </c>
      <c r="E460" s="42">
        <v>46132</v>
      </c>
      <c r="F460" s="26" t="s">
        <v>55</v>
      </c>
      <c r="G460" s="26" t="s">
        <v>57</v>
      </c>
      <c r="H460" s="26" t="s">
        <v>57</v>
      </c>
      <c r="I460" s="26" t="s">
        <v>90</v>
      </c>
      <c r="J460" s="26" t="s">
        <v>57</v>
      </c>
      <c r="K460" s="27" t="s">
        <v>91</v>
      </c>
      <c r="L460" s="28" t="s">
        <v>56</v>
      </c>
      <c r="M460" s="29" t="str">
        <f t="shared" si="35"/>
        <v>⚠ Missing</v>
      </c>
      <c r="N460" s="42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70">
        <v>46248</v>
      </c>
      <c r="X460" s="30" t="s">
        <v>55</v>
      </c>
      <c r="Y460" s="30" t="s">
        <v>56</v>
      </c>
      <c r="Z460" s="30" t="s">
        <v>57</v>
      </c>
      <c r="AA460" s="30" t="s">
        <v>58</v>
      </c>
      <c r="AB460" s="30" t="s">
        <v>56</v>
      </c>
      <c r="AC460" s="27"/>
      <c r="AD460" s="31" t="s">
        <v>57</v>
      </c>
      <c r="AE460" s="32" t="str">
        <f t="shared" si="37"/>
        <v>✓ OK</v>
      </c>
      <c r="AF460" s="33" t="s">
        <v>61</v>
      </c>
      <c r="AG460" s="33" t="s">
        <v>55</v>
      </c>
      <c r="AH460" s="33" t="s">
        <v>56</v>
      </c>
      <c r="AI460" s="33" t="s">
        <v>57</v>
      </c>
      <c r="AJ460" s="33" t="s">
        <v>58</v>
      </c>
      <c r="AK460" s="33" t="s">
        <v>56</v>
      </c>
      <c r="AL460" s="27"/>
      <c r="AM460" s="34" t="s">
        <v>57</v>
      </c>
      <c r="AN460" s="35" t="str">
        <f t="shared" si="38"/>
        <v>✓ OK</v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2243</v>
      </c>
      <c r="C461" s="25" t="s">
        <v>2244</v>
      </c>
      <c r="D461" s="23" t="s">
        <v>1332</v>
      </c>
      <c r="E461" s="42">
        <v>46132</v>
      </c>
      <c r="F461" s="26" t="s">
        <v>55</v>
      </c>
      <c r="G461" s="26" t="s">
        <v>57</v>
      </c>
      <c r="H461" s="26" t="s">
        <v>57</v>
      </c>
      <c r="I461" s="26" t="s">
        <v>90</v>
      </c>
      <c r="J461" s="26" t="s">
        <v>57</v>
      </c>
      <c r="K461" s="27" t="s">
        <v>91</v>
      </c>
      <c r="L461" s="28" t="s">
        <v>56</v>
      </c>
      <c r="M461" s="29" t="str">
        <f t="shared" si="35"/>
        <v>⚠ Missing</v>
      </c>
      <c r="N461" s="42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70">
        <v>46248</v>
      </c>
      <c r="X461" s="30" t="s">
        <v>55</v>
      </c>
      <c r="Y461" s="30" t="s">
        <v>56</v>
      </c>
      <c r="Z461" s="30" t="s">
        <v>57</v>
      </c>
      <c r="AA461" s="30" t="s">
        <v>58</v>
      </c>
      <c r="AB461" s="30" t="s">
        <v>56</v>
      </c>
      <c r="AC461" s="27"/>
      <c r="AD461" s="31" t="s">
        <v>57</v>
      </c>
      <c r="AE461" s="32" t="str">
        <f t="shared" si="37"/>
        <v>✓ OK</v>
      </c>
      <c r="AF461" s="33" t="s">
        <v>61</v>
      </c>
      <c r="AG461" s="33" t="s">
        <v>55</v>
      </c>
      <c r="AH461" s="33" t="s">
        <v>56</v>
      </c>
      <c r="AI461" s="33" t="s">
        <v>57</v>
      </c>
      <c r="AJ461" s="33" t="s">
        <v>58</v>
      </c>
      <c r="AK461" s="33" t="s">
        <v>56</v>
      </c>
      <c r="AL461" s="27"/>
      <c r="AM461" s="34" t="s">
        <v>57</v>
      </c>
      <c r="AN461" s="35" t="str">
        <f t="shared" si="38"/>
        <v>✓ OK</v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2245</v>
      </c>
      <c r="C462" s="41" t="s">
        <v>2246</v>
      </c>
      <c r="D462" s="39" t="s">
        <v>1332</v>
      </c>
      <c r="E462" s="42">
        <v>46132</v>
      </c>
      <c r="F462" s="26" t="s">
        <v>55</v>
      </c>
      <c r="G462" s="26" t="s">
        <v>57</v>
      </c>
      <c r="H462" s="26" t="s">
        <v>57</v>
      </c>
      <c r="I462" s="26" t="s">
        <v>90</v>
      </c>
      <c r="J462" s="26" t="s">
        <v>57</v>
      </c>
      <c r="K462" s="27" t="s">
        <v>91</v>
      </c>
      <c r="L462" s="28" t="s">
        <v>56</v>
      </c>
      <c r="M462" s="29" t="str">
        <f t="shared" si="35"/>
        <v>⚠ Missing</v>
      </c>
      <c r="N462" s="42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70">
        <v>46248</v>
      </c>
      <c r="X462" s="30" t="s">
        <v>55</v>
      </c>
      <c r="Y462" s="30" t="s">
        <v>56</v>
      </c>
      <c r="Z462" s="30" t="s">
        <v>57</v>
      </c>
      <c r="AA462" s="30" t="s">
        <v>58</v>
      </c>
      <c r="AB462" s="30" t="s">
        <v>56</v>
      </c>
      <c r="AC462" s="27"/>
      <c r="AD462" s="31" t="s">
        <v>57</v>
      </c>
      <c r="AE462" s="32" t="str">
        <f t="shared" si="37"/>
        <v>✓ OK</v>
      </c>
      <c r="AF462" s="33" t="s">
        <v>61</v>
      </c>
      <c r="AG462" s="33" t="s">
        <v>55</v>
      </c>
      <c r="AH462" s="33" t="s">
        <v>56</v>
      </c>
      <c r="AI462" s="33" t="s">
        <v>57</v>
      </c>
      <c r="AJ462" s="33" t="s">
        <v>58</v>
      </c>
      <c r="AK462" s="33" t="s">
        <v>56</v>
      </c>
      <c r="AL462" s="27"/>
      <c r="AM462" s="34" t="s">
        <v>57</v>
      </c>
      <c r="AN462" s="35" t="str">
        <f t="shared" si="38"/>
        <v>✓ OK</v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2247</v>
      </c>
      <c r="C463" s="25" t="s">
        <v>2248</v>
      </c>
      <c r="D463" s="23" t="s">
        <v>1332</v>
      </c>
      <c r="E463" s="42">
        <v>46132</v>
      </c>
      <c r="F463" s="26" t="s">
        <v>55</v>
      </c>
      <c r="G463" s="26" t="s">
        <v>57</v>
      </c>
      <c r="H463" s="26" t="s">
        <v>57</v>
      </c>
      <c r="I463" s="26" t="s">
        <v>90</v>
      </c>
      <c r="J463" s="26" t="s">
        <v>57</v>
      </c>
      <c r="K463" s="27" t="s">
        <v>91</v>
      </c>
      <c r="L463" s="28" t="s">
        <v>56</v>
      </c>
      <c r="M463" s="29" t="str">
        <f t="shared" si="35"/>
        <v>⚠ Missing</v>
      </c>
      <c r="N463" s="42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70">
        <v>46248</v>
      </c>
      <c r="X463" s="30" t="s">
        <v>55</v>
      </c>
      <c r="Y463" s="30" t="s">
        <v>56</v>
      </c>
      <c r="Z463" s="30" t="s">
        <v>57</v>
      </c>
      <c r="AA463" s="30" t="s">
        <v>58</v>
      </c>
      <c r="AB463" s="30" t="s">
        <v>56</v>
      </c>
      <c r="AC463" s="27"/>
      <c r="AD463" s="31" t="s">
        <v>57</v>
      </c>
      <c r="AE463" s="32" t="str">
        <f t="shared" si="37"/>
        <v>✓ OK</v>
      </c>
      <c r="AF463" s="33" t="s">
        <v>61</v>
      </c>
      <c r="AG463" s="33" t="s">
        <v>55</v>
      </c>
      <c r="AH463" s="33" t="s">
        <v>56</v>
      </c>
      <c r="AI463" s="33" t="s">
        <v>57</v>
      </c>
      <c r="AJ463" s="33" t="s">
        <v>58</v>
      </c>
      <c r="AK463" s="33" t="s">
        <v>56</v>
      </c>
      <c r="AL463" s="27"/>
      <c r="AM463" s="34" t="s">
        <v>57</v>
      </c>
      <c r="AN463" s="35" t="str">
        <f t="shared" si="38"/>
        <v>✓ OK</v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2249</v>
      </c>
      <c r="C464" s="41" t="s">
        <v>2250</v>
      </c>
      <c r="D464" s="39" t="s">
        <v>1332</v>
      </c>
      <c r="E464" s="42">
        <v>46132</v>
      </c>
      <c r="F464" s="26" t="s">
        <v>55</v>
      </c>
      <c r="G464" s="26" t="s">
        <v>57</v>
      </c>
      <c r="H464" s="26" t="s">
        <v>57</v>
      </c>
      <c r="I464" s="26" t="s">
        <v>90</v>
      </c>
      <c r="J464" s="26" t="s">
        <v>57</v>
      </c>
      <c r="K464" s="27" t="s">
        <v>91</v>
      </c>
      <c r="L464" s="28" t="s">
        <v>56</v>
      </c>
      <c r="M464" s="29" t="str">
        <f t="shared" si="35"/>
        <v>⚠ Missing</v>
      </c>
      <c r="N464" s="42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70">
        <v>46248</v>
      </c>
      <c r="X464" s="30" t="s">
        <v>55</v>
      </c>
      <c r="Y464" s="30" t="s">
        <v>56</v>
      </c>
      <c r="Z464" s="30" t="s">
        <v>57</v>
      </c>
      <c r="AA464" s="30" t="s">
        <v>58</v>
      </c>
      <c r="AB464" s="30" t="s">
        <v>56</v>
      </c>
      <c r="AC464" s="27"/>
      <c r="AD464" s="31" t="s">
        <v>57</v>
      </c>
      <c r="AE464" s="32" t="str">
        <f t="shared" si="37"/>
        <v>✓ OK</v>
      </c>
      <c r="AF464" s="33" t="s">
        <v>61</v>
      </c>
      <c r="AG464" s="33" t="s">
        <v>55</v>
      </c>
      <c r="AH464" s="33" t="s">
        <v>56</v>
      </c>
      <c r="AI464" s="33" t="s">
        <v>57</v>
      </c>
      <c r="AJ464" s="33" t="s">
        <v>58</v>
      </c>
      <c r="AK464" s="33" t="s">
        <v>56</v>
      </c>
      <c r="AL464" s="27"/>
      <c r="AM464" s="34" t="s">
        <v>57</v>
      </c>
      <c r="AN464" s="35" t="str">
        <f t="shared" si="38"/>
        <v>✓ OK</v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2251</v>
      </c>
      <c r="C465" s="25" t="s">
        <v>2252</v>
      </c>
      <c r="D465" s="23" t="s">
        <v>1332</v>
      </c>
      <c r="E465" s="42">
        <v>46132</v>
      </c>
      <c r="F465" s="26" t="s">
        <v>55</v>
      </c>
      <c r="G465" s="26" t="s">
        <v>57</v>
      </c>
      <c r="H465" s="26" t="s">
        <v>57</v>
      </c>
      <c r="I465" s="26" t="s">
        <v>90</v>
      </c>
      <c r="J465" s="26" t="s">
        <v>57</v>
      </c>
      <c r="K465" s="27" t="s">
        <v>91</v>
      </c>
      <c r="L465" s="28" t="s">
        <v>56</v>
      </c>
      <c r="M465" s="29" t="str">
        <f t="shared" si="35"/>
        <v>⚠ Missing</v>
      </c>
      <c r="N465" s="42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70">
        <v>46248</v>
      </c>
      <c r="X465" s="30" t="s">
        <v>55</v>
      </c>
      <c r="Y465" s="30" t="s">
        <v>56</v>
      </c>
      <c r="Z465" s="30" t="s">
        <v>57</v>
      </c>
      <c r="AA465" s="30" t="s">
        <v>58</v>
      </c>
      <c r="AB465" s="30" t="s">
        <v>56</v>
      </c>
      <c r="AC465" s="27"/>
      <c r="AD465" s="31" t="s">
        <v>57</v>
      </c>
      <c r="AE465" s="32" t="str">
        <f t="shared" si="37"/>
        <v>✓ OK</v>
      </c>
      <c r="AF465" s="33" t="s">
        <v>61</v>
      </c>
      <c r="AG465" s="33" t="s">
        <v>55</v>
      </c>
      <c r="AH465" s="33" t="s">
        <v>56</v>
      </c>
      <c r="AI465" s="33" t="s">
        <v>57</v>
      </c>
      <c r="AJ465" s="33" t="s">
        <v>58</v>
      </c>
      <c r="AK465" s="33" t="s">
        <v>56</v>
      </c>
      <c r="AL465" s="27"/>
      <c r="AM465" s="34" t="s">
        <v>57</v>
      </c>
      <c r="AN465" s="35" t="str">
        <f t="shared" si="38"/>
        <v>✓ OK</v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2253</v>
      </c>
      <c r="C466" s="41" t="s">
        <v>2254</v>
      </c>
      <c r="D466" s="39" t="s">
        <v>1332</v>
      </c>
      <c r="E466" s="42">
        <v>46132</v>
      </c>
      <c r="F466" s="26" t="s">
        <v>55</v>
      </c>
      <c r="G466" s="26" t="s">
        <v>57</v>
      </c>
      <c r="H466" s="26" t="s">
        <v>57</v>
      </c>
      <c r="I466" s="26" t="s">
        <v>90</v>
      </c>
      <c r="J466" s="26" t="s">
        <v>57</v>
      </c>
      <c r="K466" s="27" t="s">
        <v>91</v>
      </c>
      <c r="L466" s="28" t="s">
        <v>56</v>
      </c>
      <c r="M466" s="29" t="str">
        <f t="shared" si="35"/>
        <v>⚠ Missing</v>
      </c>
      <c r="N466" s="42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70">
        <v>46248</v>
      </c>
      <c r="X466" s="30" t="s">
        <v>55</v>
      </c>
      <c r="Y466" s="30" t="s">
        <v>56</v>
      </c>
      <c r="Z466" s="30" t="s">
        <v>57</v>
      </c>
      <c r="AA466" s="30" t="s">
        <v>58</v>
      </c>
      <c r="AB466" s="30" t="s">
        <v>56</v>
      </c>
      <c r="AC466" s="27"/>
      <c r="AD466" s="31" t="s">
        <v>57</v>
      </c>
      <c r="AE466" s="32" t="str">
        <f t="shared" si="37"/>
        <v>✓ OK</v>
      </c>
      <c r="AF466" s="33" t="s">
        <v>61</v>
      </c>
      <c r="AG466" s="33" t="s">
        <v>55</v>
      </c>
      <c r="AH466" s="33" t="s">
        <v>56</v>
      </c>
      <c r="AI466" s="33" t="s">
        <v>57</v>
      </c>
      <c r="AJ466" s="33" t="s">
        <v>58</v>
      </c>
      <c r="AK466" s="33" t="s">
        <v>56</v>
      </c>
      <c r="AL466" s="27"/>
      <c r="AM466" s="34" t="s">
        <v>57</v>
      </c>
      <c r="AN466" s="35" t="str">
        <f t="shared" si="38"/>
        <v>✓ OK</v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2255</v>
      </c>
      <c r="C467" s="25" t="s">
        <v>2256</v>
      </c>
      <c r="D467" s="23" t="s">
        <v>1332</v>
      </c>
      <c r="E467" s="42">
        <v>46132</v>
      </c>
      <c r="F467" s="26" t="s">
        <v>55</v>
      </c>
      <c r="G467" s="26" t="s">
        <v>57</v>
      </c>
      <c r="H467" s="26" t="s">
        <v>57</v>
      </c>
      <c r="I467" s="26" t="s">
        <v>90</v>
      </c>
      <c r="J467" s="26" t="s">
        <v>57</v>
      </c>
      <c r="K467" s="27" t="s">
        <v>91</v>
      </c>
      <c r="L467" s="28" t="s">
        <v>56</v>
      </c>
      <c r="M467" s="29" t="str">
        <f t="shared" si="35"/>
        <v>⚠ Missing</v>
      </c>
      <c r="N467" s="42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70">
        <v>46248</v>
      </c>
      <c r="X467" s="30" t="s">
        <v>55</v>
      </c>
      <c r="Y467" s="30" t="s">
        <v>56</v>
      </c>
      <c r="Z467" s="30" t="s">
        <v>57</v>
      </c>
      <c r="AA467" s="30" t="s">
        <v>58</v>
      </c>
      <c r="AB467" s="30" t="s">
        <v>56</v>
      </c>
      <c r="AC467" s="27"/>
      <c r="AD467" s="31" t="s">
        <v>57</v>
      </c>
      <c r="AE467" s="32" t="str">
        <f t="shared" si="37"/>
        <v>✓ OK</v>
      </c>
      <c r="AF467" s="33" t="s">
        <v>61</v>
      </c>
      <c r="AG467" s="33" t="s">
        <v>55</v>
      </c>
      <c r="AH467" s="33" t="s">
        <v>56</v>
      </c>
      <c r="AI467" s="33" t="s">
        <v>57</v>
      </c>
      <c r="AJ467" s="33" t="s">
        <v>58</v>
      </c>
      <c r="AK467" s="33" t="s">
        <v>56</v>
      </c>
      <c r="AL467" s="27"/>
      <c r="AM467" s="34" t="s">
        <v>57</v>
      </c>
      <c r="AN467" s="35" t="str">
        <f t="shared" si="38"/>
        <v>✓ OK</v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2257</v>
      </c>
      <c r="C468" s="41" t="s">
        <v>2258</v>
      </c>
      <c r="D468" s="39" t="s">
        <v>1332</v>
      </c>
      <c r="E468" s="42">
        <v>46132</v>
      </c>
      <c r="F468" s="26" t="s">
        <v>55</v>
      </c>
      <c r="G468" s="26" t="s">
        <v>57</v>
      </c>
      <c r="H468" s="26" t="s">
        <v>57</v>
      </c>
      <c r="I468" s="26" t="s">
        <v>90</v>
      </c>
      <c r="J468" s="26" t="s">
        <v>57</v>
      </c>
      <c r="K468" s="27" t="s">
        <v>91</v>
      </c>
      <c r="L468" s="28" t="s">
        <v>56</v>
      </c>
      <c r="M468" s="29" t="str">
        <f t="shared" si="35"/>
        <v>⚠ Missing</v>
      </c>
      <c r="N468" s="42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70">
        <v>46248</v>
      </c>
      <c r="X468" s="30" t="s">
        <v>55</v>
      </c>
      <c r="Y468" s="30" t="s">
        <v>56</v>
      </c>
      <c r="Z468" s="30" t="s">
        <v>57</v>
      </c>
      <c r="AA468" s="30" t="s">
        <v>58</v>
      </c>
      <c r="AB468" s="30" t="s">
        <v>56</v>
      </c>
      <c r="AC468" s="27"/>
      <c r="AD468" s="31" t="s">
        <v>57</v>
      </c>
      <c r="AE468" s="32" t="str">
        <f t="shared" si="37"/>
        <v>✓ OK</v>
      </c>
      <c r="AF468" s="33" t="s">
        <v>61</v>
      </c>
      <c r="AG468" s="33" t="s">
        <v>55</v>
      </c>
      <c r="AH468" s="33" t="s">
        <v>56</v>
      </c>
      <c r="AI468" s="33" t="s">
        <v>57</v>
      </c>
      <c r="AJ468" s="33" t="s">
        <v>58</v>
      </c>
      <c r="AK468" s="33" t="s">
        <v>56</v>
      </c>
      <c r="AL468" s="27"/>
      <c r="AM468" s="34" t="s">
        <v>57</v>
      </c>
      <c r="AN468" s="35" t="str">
        <f t="shared" si="38"/>
        <v>✓ OK</v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2259</v>
      </c>
      <c r="C469" s="25" t="s">
        <v>2260</v>
      </c>
      <c r="D469" s="23" t="s">
        <v>1332</v>
      </c>
      <c r="E469" s="42">
        <v>46132</v>
      </c>
      <c r="F469" s="26" t="s">
        <v>55</v>
      </c>
      <c r="G469" s="26" t="s">
        <v>57</v>
      </c>
      <c r="H469" s="26" t="s">
        <v>57</v>
      </c>
      <c r="I469" s="26" t="s">
        <v>90</v>
      </c>
      <c r="J469" s="26" t="s">
        <v>57</v>
      </c>
      <c r="K469" s="27" t="s">
        <v>91</v>
      </c>
      <c r="L469" s="28" t="s">
        <v>56</v>
      </c>
      <c r="M469" s="29" t="str">
        <f t="shared" si="35"/>
        <v>⚠ Missing</v>
      </c>
      <c r="N469" s="42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70">
        <v>46248</v>
      </c>
      <c r="X469" s="30" t="s">
        <v>55</v>
      </c>
      <c r="Y469" s="30" t="s">
        <v>56</v>
      </c>
      <c r="Z469" s="30" t="s">
        <v>57</v>
      </c>
      <c r="AA469" s="30" t="s">
        <v>58</v>
      </c>
      <c r="AB469" s="30" t="s">
        <v>56</v>
      </c>
      <c r="AC469" s="27"/>
      <c r="AD469" s="31" t="s">
        <v>57</v>
      </c>
      <c r="AE469" s="32" t="str">
        <f t="shared" si="37"/>
        <v>✓ OK</v>
      </c>
      <c r="AF469" s="33" t="s">
        <v>61</v>
      </c>
      <c r="AG469" s="33" t="s">
        <v>55</v>
      </c>
      <c r="AH469" s="33" t="s">
        <v>56</v>
      </c>
      <c r="AI469" s="33" t="s">
        <v>57</v>
      </c>
      <c r="AJ469" s="33" t="s">
        <v>58</v>
      </c>
      <c r="AK469" s="33" t="s">
        <v>56</v>
      </c>
      <c r="AL469" s="27"/>
      <c r="AM469" s="34" t="s">
        <v>57</v>
      </c>
      <c r="AN469" s="35" t="str">
        <f t="shared" si="38"/>
        <v>✓ OK</v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2261</v>
      </c>
      <c r="C470" s="41" t="s">
        <v>2262</v>
      </c>
      <c r="D470" s="39" t="s">
        <v>1332</v>
      </c>
      <c r="E470" s="42">
        <v>46132</v>
      </c>
      <c r="F470" s="26" t="s">
        <v>55</v>
      </c>
      <c r="G470" s="26" t="s">
        <v>57</v>
      </c>
      <c r="H470" s="26" t="s">
        <v>57</v>
      </c>
      <c r="I470" s="26" t="s">
        <v>90</v>
      </c>
      <c r="J470" s="26" t="s">
        <v>57</v>
      </c>
      <c r="K470" s="27" t="s">
        <v>91</v>
      </c>
      <c r="L470" s="28" t="s">
        <v>56</v>
      </c>
      <c r="M470" s="29" t="str">
        <f t="shared" si="35"/>
        <v>⚠ Missing</v>
      </c>
      <c r="N470" s="42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70">
        <v>46248</v>
      </c>
      <c r="X470" s="30" t="s">
        <v>55</v>
      </c>
      <c r="Y470" s="30" t="s">
        <v>56</v>
      </c>
      <c r="Z470" s="30" t="s">
        <v>57</v>
      </c>
      <c r="AA470" s="30" t="s">
        <v>58</v>
      </c>
      <c r="AB470" s="30" t="s">
        <v>56</v>
      </c>
      <c r="AC470" s="27"/>
      <c r="AD470" s="31" t="s">
        <v>57</v>
      </c>
      <c r="AE470" s="32" t="str">
        <f t="shared" si="37"/>
        <v>✓ OK</v>
      </c>
      <c r="AF470" s="33" t="s">
        <v>61</v>
      </c>
      <c r="AG470" s="33" t="s">
        <v>55</v>
      </c>
      <c r="AH470" s="33" t="s">
        <v>56</v>
      </c>
      <c r="AI470" s="33" t="s">
        <v>57</v>
      </c>
      <c r="AJ470" s="33" t="s">
        <v>58</v>
      </c>
      <c r="AK470" s="33" t="s">
        <v>56</v>
      </c>
      <c r="AL470" s="27"/>
      <c r="AM470" s="34" t="s">
        <v>57</v>
      </c>
      <c r="AN470" s="35" t="str">
        <f t="shared" si="38"/>
        <v>✓ OK</v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2263</v>
      </c>
      <c r="C471" s="25" t="s">
        <v>2264</v>
      </c>
      <c r="D471" s="23" t="s">
        <v>1332</v>
      </c>
      <c r="E471" s="42">
        <v>46132</v>
      </c>
      <c r="F471" s="26" t="s">
        <v>55</v>
      </c>
      <c r="G471" s="26" t="s">
        <v>57</v>
      </c>
      <c r="H471" s="26" t="s">
        <v>57</v>
      </c>
      <c r="I471" s="26" t="s">
        <v>90</v>
      </c>
      <c r="J471" s="26" t="s">
        <v>57</v>
      </c>
      <c r="K471" s="27" t="s">
        <v>91</v>
      </c>
      <c r="L471" s="28" t="s">
        <v>56</v>
      </c>
      <c r="M471" s="29" t="str">
        <f t="shared" si="35"/>
        <v>⚠ Missing</v>
      </c>
      <c r="N471" s="42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70">
        <v>46248</v>
      </c>
      <c r="X471" s="30" t="s">
        <v>55</v>
      </c>
      <c r="Y471" s="30" t="s">
        <v>56</v>
      </c>
      <c r="Z471" s="30" t="s">
        <v>57</v>
      </c>
      <c r="AA471" s="30" t="s">
        <v>58</v>
      </c>
      <c r="AB471" s="30" t="s">
        <v>56</v>
      </c>
      <c r="AC471" s="27"/>
      <c r="AD471" s="31" t="s">
        <v>57</v>
      </c>
      <c r="AE471" s="32" t="str">
        <f t="shared" si="37"/>
        <v>✓ OK</v>
      </c>
      <c r="AF471" s="33" t="s">
        <v>61</v>
      </c>
      <c r="AG471" s="33" t="s">
        <v>55</v>
      </c>
      <c r="AH471" s="33" t="s">
        <v>56</v>
      </c>
      <c r="AI471" s="33" t="s">
        <v>57</v>
      </c>
      <c r="AJ471" s="33" t="s">
        <v>58</v>
      </c>
      <c r="AK471" s="33" t="s">
        <v>56</v>
      </c>
      <c r="AL471" s="27"/>
      <c r="AM471" s="34" t="s">
        <v>57</v>
      </c>
      <c r="AN471" s="35" t="str">
        <f t="shared" si="38"/>
        <v>✓ OK</v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2265</v>
      </c>
      <c r="C472" s="41" t="s">
        <v>2266</v>
      </c>
      <c r="D472" s="39" t="s">
        <v>1332</v>
      </c>
      <c r="E472" s="42">
        <v>46132</v>
      </c>
      <c r="F472" s="26" t="s">
        <v>55</v>
      </c>
      <c r="G472" s="26" t="s">
        <v>57</v>
      </c>
      <c r="H472" s="26" t="s">
        <v>57</v>
      </c>
      <c r="I472" s="26" t="s">
        <v>90</v>
      </c>
      <c r="J472" s="26" t="s">
        <v>57</v>
      </c>
      <c r="K472" s="27" t="s">
        <v>91</v>
      </c>
      <c r="L472" s="28" t="s">
        <v>56</v>
      </c>
      <c r="M472" s="29" t="str">
        <f t="shared" si="35"/>
        <v>⚠ Missing</v>
      </c>
      <c r="N472" s="42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70">
        <v>46248</v>
      </c>
      <c r="X472" s="30" t="s">
        <v>55</v>
      </c>
      <c r="Y472" s="30" t="s">
        <v>56</v>
      </c>
      <c r="Z472" s="30" t="s">
        <v>57</v>
      </c>
      <c r="AA472" s="30" t="s">
        <v>58</v>
      </c>
      <c r="AB472" s="30" t="s">
        <v>56</v>
      </c>
      <c r="AC472" s="27"/>
      <c r="AD472" s="31" t="s">
        <v>57</v>
      </c>
      <c r="AE472" s="32" t="str">
        <f t="shared" si="37"/>
        <v>✓ OK</v>
      </c>
      <c r="AF472" s="33" t="s">
        <v>61</v>
      </c>
      <c r="AG472" s="33" t="s">
        <v>55</v>
      </c>
      <c r="AH472" s="33" t="s">
        <v>56</v>
      </c>
      <c r="AI472" s="33" t="s">
        <v>57</v>
      </c>
      <c r="AJ472" s="33" t="s">
        <v>58</v>
      </c>
      <c r="AK472" s="33" t="s">
        <v>56</v>
      </c>
      <c r="AL472" s="27"/>
      <c r="AM472" s="34" t="s">
        <v>57</v>
      </c>
      <c r="AN472" s="35" t="str">
        <f t="shared" si="38"/>
        <v>✓ OK</v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2267</v>
      </c>
      <c r="C473" s="25" t="s">
        <v>2268</v>
      </c>
      <c r="D473" s="23" t="s">
        <v>1332</v>
      </c>
      <c r="E473" s="42">
        <v>46132</v>
      </c>
      <c r="F473" s="26" t="s">
        <v>55</v>
      </c>
      <c r="G473" s="26" t="s">
        <v>57</v>
      </c>
      <c r="H473" s="26" t="s">
        <v>57</v>
      </c>
      <c r="I473" s="26" t="s">
        <v>90</v>
      </c>
      <c r="J473" s="26" t="s">
        <v>57</v>
      </c>
      <c r="K473" s="27" t="s">
        <v>91</v>
      </c>
      <c r="L473" s="28" t="s">
        <v>56</v>
      </c>
      <c r="M473" s="29" t="str">
        <f t="shared" si="35"/>
        <v>⚠ Missing</v>
      </c>
      <c r="N473" s="42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70">
        <v>46248</v>
      </c>
      <c r="X473" s="30" t="s">
        <v>55</v>
      </c>
      <c r="Y473" s="30" t="s">
        <v>56</v>
      </c>
      <c r="Z473" s="30" t="s">
        <v>57</v>
      </c>
      <c r="AA473" s="30" t="s">
        <v>58</v>
      </c>
      <c r="AB473" s="30" t="s">
        <v>56</v>
      </c>
      <c r="AC473" s="27"/>
      <c r="AD473" s="31" t="s">
        <v>57</v>
      </c>
      <c r="AE473" s="32" t="str">
        <f t="shared" si="37"/>
        <v>✓ OK</v>
      </c>
      <c r="AF473" s="33" t="s">
        <v>61</v>
      </c>
      <c r="AG473" s="33" t="s">
        <v>55</v>
      </c>
      <c r="AH473" s="33" t="s">
        <v>56</v>
      </c>
      <c r="AI473" s="33" t="s">
        <v>57</v>
      </c>
      <c r="AJ473" s="33" t="s">
        <v>58</v>
      </c>
      <c r="AK473" s="33" t="s">
        <v>56</v>
      </c>
      <c r="AL473" s="27"/>
      <c r="AM473" s="34" t="s">
        <v>57</v>
      </c>
      <c r="AN473" s="35" t="str">
        <f t="shared" si="38"/>
        <v>✓ OK</v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2269</v>
      </c>
      <c r="C474" s="41" t="s">
        <v>2270</v>
      </c>
      <c r="D474" s="39" t="s">
        <v>1332</v>
      </c>
      <c r="E474" s="42">
        <v>46132</v>
      </c>
      <c r="F474" s="26" t="s">
        <v>55</v>
      </c>
      <c r="G474" s="26" t="s">
        <v>57</v>
      </c>
      <c r="H474" s="26" t="s">
        <v>57</v>
      </c>
      <c r="I474" s="26" t="s">
        <v>90</v>
      </c>
      <c r="J474" s="26" t="s">
        <v>57</v>
      </c>
      <c r="K474" s="27" t="s">
        <v>91</v>
      </c>
      <c r="L474" s="28" t="s">
        <v>56</v>
      </c>
      <c r="M474" s="29" t="str">
        <f t="shared" si="35"/>
        <v>⚠ Missing</v>
      </c>
      <c r="N474" s="42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70">
        <v>46248</v>
      </c>
      <c r="X474" s="30" t="s">
        <v>55</v>
      </c>
      <c r="Y474" s="30" t="s">
        <v>56</v>
      </c>
      <c r="Z474" s="30" t="s">
        <v>57</v>
      </c>
      <c r="AA474" s="30" t="s">
        <v>58</v>
      </c>
      <c r="AB474" s="30" t="s">
        <v>56</v>
      </c>
      <c r="AC474" s="27"/>
      <c r="AD474" s="31" t="s">
        <v>57</v>
      </c>
      <c r="AE474" s="32" t="str">
        <f t="shared" si="37"/>
        <v>✓ OK</v>
      </c>
      <c r="AF474" s="33" t="s">
        <v>61</v>
      </c>
      <c r="AG474" s="33" t="s">
        <v>55</v>
      </c>
      <c r="AH474" s="33" t="s">
        <v>56</v>
      </c>
      <c r="AI474" s="33" t="s">
        <v>57</v>
      </c>
      <c r="AJ474" s="33" t="s">
        <v>58</v>
      </c>
      <c r="AK474" s="33" t="s">
        <v>56</v>
      </c>
      <c r="AL474" s="27"/>
      <c r="AM474" s="34" t="s">
        <v>57</v>
      </c>
      <c r="AN474" s="35" t="str">
        <f t="shared" si="38"/>
        <v>✓ OK</v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2271</v>
      </c>
      <c r="C475" s="25" t="s">
        <v>2272</v>
      </c>
      <c r="D475" s="23" t="s">
        <v>1332</v>
      </c>
      <c r="E475" s="42">
        <v>46132</v>
      </c>
      <c r="F475" s="26" t="s">
        <v>55</v>
      </c>
      <c r="G475" s="26" t="s">
        <v>57</v>
      </c>
      <c r="H475" s="26" t="s">
        <v>57</v>
      </c>
      <c r="I475" s="26" t="s">
        <v>90</v>
      </c>
      <c r="J475" s="26" t="s">
        <v>57</v>
      </c>
      <c r="K475" s="27" t="s">
        <v>91</v>
      </c>
      <c r="L475" s="28" t="s">
        <v>56</v>
      </c>
      <c r="M475" s="29" t="str">
        <f t="shared" si="35"/>
        <v>⚠ Missing</v>
      </c>
      <c r="N475" s="42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70">
        <v>46248</v>
      </c>
      <c r="X475" s="30" t="s">
        <v>55</v>
      </c>
      <c r="Y475" s="30" t="s">
        <v>56</v>
      </c>
      <c r="Z475" s="30" t="s">
        <v>57</v>
      </c>
      <c r="AA475" s="30" t="s">
        <v>58</v>
      </c>
      <c r="AB475" s="30" t="s">
        <v>56</v>
      </c>
      <c r="AC475" s="27"/>
      <c r="AD475" s="31" t="s">
        <v>57</v>
      </c>
      <c r="AE475" s="32" t="str">
        <f t="shared" si="37"/>
        <v>✓ OK</v>
      </c>
      <c r="AF475" s="33" t="s">
        <v>61</v>
      </c>
      <c r="AG475" s="33" t="s">
        <v>55</v>
      </c>
      <c r="AH475" s="33" t="s">
        <v>56</v>
      </c>
      <c r="AI475" s="33" t="s">
        <v>57</v>
      </c>
      <c r="AJ475" s="33" t="s">
        <v>58</v>
      </c>
      <c r="AK475" s="33" t="s">
        <v>56</v>
      </c>
      <c r="AL475" s="27"/>
      <c r="AM475" s="34" t="s">
        <v>57</v>
      </c>
      <c r="AN475" s="35" t="str">
        <f t="shared" si="38"/>
        <v>✓ OK</v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2273</v>
      </c>
      <c r="C476" s="41" t="s">
        <v>2274</v>
      </c>
      <c r="D476" s="39" t="s">
        <v>1332</v>
      </c>
      <c r="E476" s="42">
        <v>46132</v>
      </c>
      <c r="F476" s="26" t="s">
        <v>55</v>
      </c>
      <c r="G476" s="26" t="s">
        <v>57</v>
      </c>
      <c r="H476" s="26" t="s">
        <v>57</v>
      </c>
      <c r="I476" s="26" t="s">
        <v>90</v>
      </c>
      <c r="J476" s="26" t="s">
        <v>57</v>
      </c>
      <c r="K476" s="27" t="s">
        <v>91</v>
      </c>
      <c r="L476" s="28" t="s">
        <v>56</v>
      </c>
      <c r="M476" s="29" t="str">
        <f t="shared" si="35"/>
        <v>⚠ Missing</v>
      </c>
      <c r="N476" s="42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70">
        <v>46248</v>
      </c>
      <c r="X476" s="30" t="s">
        <v>55</v>
      </c>
      <c r="Y476" s="30" t="s">
        <v>56</v>
      </c>
      <c r="Z476" s="30" t="s">
        <v>57</v>
      </c>
      <c r="AA476" s="30" t="s">
        <v>58</v>
      </c>
      <c r="AB476" s="30" t="s">
        <v>56</v>
      </c>
      <c r="AC476" s="27"/>
      <c r="AD476" s="31" t="s">
        <v>57</v>
      </c>
      <c r="AE476" s="32" t="str">
        <f t="shared" si="37"/>
        <v>✓ OK</v>
      </c>
      <c r="AF476" s="33" t="s">
        <v>61</v>
      </c>
      <c r="AG476" s="33" t="s">
        <v>55</v>
      </c>
      <c r="AH476" s="33" t="s">
        <v>56</v>
      </c>
      <c r="AI476" s="33" t="s">
        <v>57</v>
      </c>
      <c r="AJ476" s="33" t="s">
        <v>58</v>
      </c>
      <c r="AK476" s="33" t="s">
        <v>56</v>
      </c>
      <c r="AL476" s="27"/>
      <c r="AM476" s="34" t="s">
        <v>57</v>
      </c>
      <c r="AN476" s="35" t="str">
        <f t="shared" si="38"/>
        <v>✓ OK</v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2275</v>
      </c>
      <c r="C477" s="25" t="s">
        <v>2276</v>
      </c>
      <c r="D477" s="23" t="s">
        <v>1332</v>
      </c>
      <c r="E477" s="42">
        <v>46132</v>
      </c>
      <c r="F477" s="26" t="s">
        <v>55</v>
      </c>
      <c r="G477" s="26" t="s">
        <v>57</v>
      </c>
      <c r="H477" s="26" t="s">
        <v>57</v>
      </c>
      <c r="I477" s="26" t="s">
        <v>90</v>
      </c>
      <c r="J477" s="26" t="s">
        <v>57</v>
      </c>
      <c r="K477" s="27" t="s">
        <v>91</v>
      </c>
      <c r="L477" s="28" t="s">
        <v>56</v>
      </c>
      <c r="M477" s="29" t="str">
        <f t="shared" si="35"/>
        <v>⚠ Missing</v>
      </c>
      <c r="N477" s="42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70">
        <v>46248</v>
      </c>
      <c r="X477" s="30" t="s">
        <v>55</v>
      </c>
      <c r="Y477" s="30" t="s">
        <v>56</v>
      </c>
      <c r="Z477" s="30" t="s">
        <v>57</v>
      </c>
      <c r="AA477" s="30" t="s">
        <v>58</v>
      </c>
      <c r="AB477" s="30" t="s">
        <v>56</v>
      </c>
      <c r="AC477" s="27"/>
      <c r="AD477" s="31" t="s">
        <v>57</v>
      </c>
      <c r="AE477" s="32" t="str">
        <f t="shared" si="37"/>
        <v>✓ OK</v>
      </c>
      <c r="AF477" s="33" t="s">
        <v>61</v>
      </c>
      <c r="AG477" s="33" t="s">
        <v>55</v>
      </c>
      <c r="AH477" s="33" t="s">
        <v>56</v>
      </c>
      <c r="AI477" s="33" t="s">
        <v>57</v>
      </c>
      <c r="AJ477" s="33" t="s">
        <v>58</v>
      </c>
      <c r="AK477" s="33" t="s">
        <v>56</v>
      </c>
      <c r="AL477" s="27"/>
      <c r="AM477" s="34" t="s">
        <v>57</v>
      </c>
      <c r="AN477" s="35" t="str">
        <f t="shared" si="38"/>
        <v>✓ OK</v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2277</v>
      </c>
      <c r="C478" s="41" t="s">
        <v>2278</v>
      </c>
      <c r="D478" s="39" t="s">
        <v>1332</v>
      </c>
      <c r="E478" s="42">
        <v>46132</v>
      </c>
      <c r="F478" s="26" t="s">
        <v>55</v>
      </c>
      <c r="G478" s="26" t="s">
        <v>57</v>
      </c>
      <c r="H478" s="26" t="s">
        <v>57</v>
      </c>
      <c r="I478" s="26" t="s">
        <v>90</v>
      </c>
      <c r="J478" s="26" t="s">
        <v>57</v>
      </c>
      <c r="K478" s="27" t="s">
        <v>91</v>
      </c>
      <c r="L478" s="28" t="s">
        <v>56</v>
      </c>
      <c r="M478" s="29" t="str">
        <f t="shared" si="35"/>
        <v>⚠ Missing</v>
      </c>
      <c r="N478" s="42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70">
        <v>46248</v>
      </c>
      <c r="X478" s="30" t="s">
        <v>55</v>
      </c>
      <c r="Y478" s="30" t="s">
        <v>56</v>
      </c>
      <c r="Z478" s="30" t="s">
        <v>57</v>
      </c>
      <c r="AA478" s="30" t="s">
        <v>58</v>
      </c>
      <c r="AB478" s="30" t="s">
        <v>56</v>
      </c>
      <c r="AC478" s="27"/>
      <c r="AD478" s="31" t="s">
        <v>57</v>
      </c>
      <c r="AE478" s="32" t="str">
        <f t="shared" si="37"/>
        <v>✓ OK</v>
      </c>
      <c r="AF478" s="33" t="s">
        <v>61</v>
      </c>
      <c r="AG478" s="33" t="s">
        <v>55</v>
      </c>
      <c r="AH478" s="33" t="s">
        <v>56</v>
      </c>
      <c r="AI478" s="33" t="s">
        <v>57</v>
      </c>
      <c r="AJ478" s="33" t="s">
        <v>58</v>
      </c>
      <c r="AK478" s="33" t="s">
        <v>56</v>
      </c>
      <c r="AL478" s="27"/>
      <c r="AM478" s="34" t="s">
        <v>57</v>
      </c>
      <c r="AN478" s="35" t="str">
        <f t="shared" si="38"/>
        <v>✓ OK</v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2279</v>
      </c>
      <c r="C479" s="25" t="s">
        <v>2280</v>
      </c>
      <c r="D479" s="23" t="s">
        <v>1332</v>
      </c>
      <c r="E479" s="42">
        <v>46132</v>
      </c>
      <c r="F479" s="26" t="s">
        <v>55</v>
      </c>
      <c r="G479" s="26" t="s">
        <v>57</v>
      </c>
      <c r="H479" s="26" t="s">
        <v>57</v>
      </c>
      <c r="I479" s="26" t="s">
        <v>90</v>
      </c>
      <c r="J479" s="26" t="s">
        <v>57</v>
      </c>
      <c r="K479" s="27" t="s">
        <v>91</v>
      </c>
      <c r="L479" s="28" t="s">
        <v>56</v>
      </c>
      <c r="M479" s="29" t="str">
        <f t="shared" si="35"/>
        <v>⚠ Missing</v>
      </c>
      <c r="N479" s="42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70">
        <v>46248</v>
      </c>
      <c r="X479" s="30" t="s">
        <v>55</v>
      </c>
      <c r="Y479" s="30" t="s">
        <v>56</v>
      </c>
      <c r="Z479" s="30" t="s">
        <v>57</v>
      </c>
      <c r="AA479" s="30" t="s">
        <v>58</v>
      </c>
      <c r="AB479" s="30" t="s">
        <v>56</v>
      </c>
      <c r="AC479" s="27"/>
      <c r="AD479" s="31" t="s">
        <v>57</v>
      </c>
      <c r="AE479" s="32" t="str">
        <f t="shared" si="37"/>
        <v>✓ OK</v>
      </c>
      <c r="AF479" s="33" t="s">
        <v>61</v>
      </c>
      <c r="AG479" s="33" t="s">
        <v>55</v>
      </c>
      <c r="AH479" s="33" t="s">
        <v>56</v>
      </c>
      <c r="AI479" s="33" t="s">
        <v>57</v>
      </c>
      <c r="AJ479" s="33" t="s">
        <v>58</v>
      </c>
      <c r="AK479" s="33" t="s">
        <v>56</v>
      </c>
      <c r="AL479" s="27"/>
      <c r="AM479" s="34" t="s">
        <v>57</v>
      </c>
      <c r="AN479" s="35" t="str">
        <f t="shared" si="38"/>
        <v>✓ OK</v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2281</v>
      </c>
      <c r="C480" s="41" t="s">
        <v>2282</v>
      </c>
      <c r="D480" s="39" t="s">
        <v>1332</v>
      </c>
      <c r="E480" s="42">
        <v>46132</v>
      </c>
      <c r="F480" s="26" t="s">
        <v>55</v>
      </c>
      <c r="G480" s="26" t="s">
        <v>57</v>
      </c>
      <c r="H480" s="26" t="s">
        <v>57</v>
      </c>
      <c r="I480" s="26" t="s">
        <v>90</v>
      </c>
      <c r="J480" s="26" t="s">
        <v>57</v>
      </c>
      <c r="K480" s="27" t="s">
        <v>91</v>
      </c>
      <c r="L480" s="28" t="s">
        <v>56</v>
      </c>
      <c r="M480" s="29" t="str">
        <f t="shared" si="35"/>
        <v>⚠ Missing</v>
      </c>
      <c r="N480" s="42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70">
        <v>46248</v>
      </c>
      <c r="X480" s="30" t="s">
        <v>55</v>
      </c>
      <c r="Y480" s="30" t="s">
        <v>56</v>
      </c>
      <c r="Z480" s="30" t="s">
        <v>57</v>
      </c>
      <c r="AA480" s="30" t="s">
        <v>58</v>
      </c>
      <c r="AB480" s="30" t="s">
        <v>56</v>
      </c>
      <c r="AC480" s="27"/>
      <c r="AD480" s="31" t="s">
        <v>57</v>
      </c>
      <c r="AE480" s="32" t="str">
        <f t="shared" si="37"/>
        <v>✓ OK</v>
      </c>
      <c r="AF480" s="33" t="s">
        <v>61</v>
      </c>
      <c r="AG480" s="33" t="s">
        <v>55</v>
      </c>
      <c r="AH480" s="33" t="s">
        <v>56</v>
      </c>
      <c r="AI480" s="33" t="s">
        <v>57</v>
      </c>
      <c r="AJ480" s="33" t="s">
        <v>58</v>
      </c>
      <c r="AK480" s="33" t="s">
        <v>56</v>
      </c>
      <c r="AL480" s="27"/>
      <c r="AM480" s="34" t="s">
        <v>57</v>
      </c>
      <c r="AN480" s="35" t="str">
        <f t="shared" si="38"/>
        <v>✓ OK</v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2283</v>
      </c>
      <c r="C481" s="25" t="s">
        <v>2284</v>
      </c>
      <c r="D481" s="23" t="s">
        <v>1332</v>
      </c>
      <c r="E481" s="42">
        <v>46132</v>
      </c>
      <c r="F481" s="26" t="s">
        <v>55</v>
      </c>
      <c r="G481" s="26" t="s">
        <v>57</v>
      </c>
      <c r="H481" s="26" t="s">
        <v>57</v>
      </c>
      <c r="I481" s="26" t="s">
        <v>90</v>
      </c>
      <c r="J481" s="26" t="s">
        <v>57</v>
      </c>
      <c r="K481" s="27" t="s">
        <v>91</v>
      </c>
      <c r="L481" s="28" t="s">
        <v>56</v>
      </c>
      <c r="M481" s="29" t="str">
        <f t="shared" si="35"/>
        <v>⚠ Missing</v>
      </c>
      <c r="N481" s="42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70">
        <v>46248</v>
      </c>
      <c r="X481" s="30" t="s">
        <v>55</v>
      </c>
      <c r="Y481" s="30" t="s">
        <v>56</v>
      </c>
      <c r="Z481" s="30" t="s">
        <v>57</v>
      </c>
      <c r="AA481" s="30" t="s">
        <v>58</v>
      </c>
      <c r="AB481" s="30" t="s">
        <v>56</v>
      </c>
      <c r="AC481" s="27"/>
      <c r="AD481" s="31" t="s">
        <v>57</v>
      </c>
      <c r="AE481" s="32" t="str">
        <f t="shared" si="37"/>
        <v>✓ OK</v>
      </c>
      <c r="AF481" s="33" t="s">
        <v>61</v>
      </c>
      <c r="AG481" s="33" t="s">
        <v>55</v>
      </c>
      <c r="AH481" s="33" t="s">
        <v>56</v>
      </c>
      <c r="AI481" s="33" t="s">
        <v>57</v>
      </c>
      <c r="AJ481" s="33" t="s">
        <v>58</v>
      </c>
      <c r="AK481" s="33" t="s">
        <v>56</v>
      </c>
      <c r="AL481" s="27"/>
      <c r="AM481" s="34" t="s">
        <v>57</v>
      </c>
      <c r="AN481" s="35" t="str">
        <f t="shared" si="38"/>
        <v>✓ OK</v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2285</v>
      </c>
      <c r="C482" s="41" t="s">
        <v>2286</v>
      </c>
      <c r="D482" s="39" t="s">
        <v>1332</v>
      </c>
      <c r="E482" s="42">
        <v>46132</v>
      </c>
      <c r="F482" s="26" t="s">
        <v>55</v>
      </c>
      <c r="G482" s="26" t="s">
        <v>57</v>
      </c>
      <c r="H482" s="26" t="s">
        <v>57</v>
      </c>
      <c r="I482" s="26" t="s">
        <v>90</v>
      </c>
      <c r="J482" s="26" t="s">
        <v>57</v>
      </c>
      <c r="K482" s="27" t="s">
        <v>91</v>
      </c>
      <c r="L482" s="28" t="s">
        <v>56</v>
      </c>
      <c r="M482" s="29" t="str">
        <f t="shared" si="35"/>
        <v>⚠ Missing</v>
      </c>
      <c r="N482" s="42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70">
        <v>46248</v>
      </c>
      <c r="X482" s="30" t="s">
        <v>55</v>
      </c>
      <c r="Y482" s="30" t="s">
        <v>56</v>
      </c>
      <c r="Z482" s="30" t="s">
        <v>57</v>
      </c>
      <c r="AA482" s="30" t="s">
        <v>58</v>
      </c>
      <c r="AB482" s="30" t="s">
        <v>56</v>
      </c>
      <c r="AC482" s="27"/>
      <c r="AD482" s="31" t="s">
        <v>57</v>
      </c>
      <c r="AE482" s="32" t="str">
        <f t="shared" si="37"/>
        <v>✓ OK</v>
      </c>
      <c r="AF482" s="33" t="s">
        <v>61</v>
      </c>
      <c r="AG482" s="33" t="s">
        <v>55</v>
      </c>
      <c r="AH482" s="33" t="s">
        <v>56</v>
      </c>
      <c r="AI482" s="33" t="s">
        <v>57</v>
      </c>
      <c r="AJ482" s="33" t="s">
        <v>58</v>
      </c>
      <c r="AK482" s="33" t="s">
        <v>56</v>
      </c>
      <c r="AL482" s="27"/>
      <c r="AM482" s="34" t="s">
        <v>57</v>
      </c>
      <c r="AN482" s="35" t="str">
        <f t="shared" si="38"/>
        <v>✓ OK</v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2287</v>
      </c>
      <c r="C483" s="25" t="s">
        <v>2288</v>
      </c>
      <c r="D483" s="23" t="s">
        <v>1332</v>
      </c>
      <c r="E483" s="42">
        <v>46132</v>
      </c>
      <c r="F483" s="26" t="s">
        <v>55</v>
      </c>
      <c r="G483" s="26" t="s">
        <v>57</v>
      </c>
      <c r="H483" s="26" t="s">
        <v>57</v>
      </c>
      <c r="I483" s="26" t="s">
        <v>90</v>
      </c>
      <c r="J483" s="26" t="s">
        <v>57</v>
      </c>
      <c r="K483" s="27" t="s">
        <v>91</v>
      </c>
      <c r="L483" s="28" t="s">
        <v>56</v>
      </c>
      <c r="M483" s="29" t="str">
        <f t="shared" si="35"/>
        <v>⚠ Missing</v>
      </c>
      <c r="N483" s="42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70">
        <v>46248</v>
      </c>
      <c r="X483" s="30" t="s">
        <v>55</v>
      </c>
      <c r="Y483" s="30" t="s">
        <v>56</v>
      </c>
      <c r="Z483" s="30" t="s">
        <v>57</v>
      </c>
      <c r="AA483" s="30" t="s">
        <v>58</v>
      </c>
      <c r="AB483" s="30" t="s">
        <v>56</v>
      </c>
      <c r="AC483" s="27"/>
      <c r="AD483" s="31" t="s">
        <v>57</v>
      </c>
      <c r="AE483" s="32" t="str">
        <f t="shared" si="37"/>
        <v>✓ OK</v>
      </c>
      <c r="AF483" s="33" t="s">
        <v>61</v>
      </c>
      <c r="AG483" s="33" t="s">
        <v>55</v>
      </c>
      <c r="AH483" s="33" t="s">
        <v>56</v>
      </c>
      <c r="AI483" s="33" t="s">
        <v>57</v>
      </c>
      <c r="AJ483" s="33" t="s">
        <v>58</v>
      </c>
      <c r="AK483" s="33" t="s">
        <v>56</v>
      </c>
      <c r="AL483" s="27"/>
      <c r="AM483" s="34" t="s">
        <v>57</v>
      </c>
      <c r="AN483" s="35" t="str">
        <f t="shared" si="38"/>
        <v>✓ OK</v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2289</v>
      </c>
      <c r="C484" s="41" t="s">
        <v>2290</v>
      </c>
      <c r="D484" s="39" t="s">
        <v>1332</v>
      </c>
      <c r="E484" s="42">
        <v>46132</v>
      </c>
      <c r="F484" s="26" t="s">
        <v>55</v>
      </c>
      <c r="G484" s="26" t="s">
        <v>57</v>
      </c>
      <c r="H484" s="26" t="s">
        <v>57</v>
      </c>
      <c r="I484" s="26" t="s">
        <v>90</v>
      </c>
      <c r="J484" s="26" t="s">
        <v>57</v>
      </c>
      <c r="K484" s="27" t="s">
        <v>91</v>
      </c>
      <c r="L484" s="28" t="s">
        <v>56</v>
      </c>
      <c r="M484" s="29" t="str">
        <f t="shared" si="35"/>
        <v>⚠ Missing</v>
      </c>
      <c r="N484" s="42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70">
        <v>46248</v>
      </c>
      <c r="X484" s="30" t="s">
        <v>55</v>
      </c>
      <c r="Y484" s="30" t="s">
        <v>56</v>
      </c>
      <c r="Z484" s="30" t="s">
        <v>57</v>
      </c>
      <c r="AA484" s="30" t="s">
        <v>58</v>
      </c>
      <c r="AB484" s="30" t="s">
        <v>56</v>
      </c>
      <c r="AC484" s="27"/>
      <c r="AD484" s="31" t="s">
        <v>57</v>
      </c>
      <c r="AE484" s="32" t="str">
        <f t="shared" si="37"/>
        <v>✓ OK</v>
      </c>
      <c r="AF484" s="33" t="s">
        <v>61</v>
      </c>
      <c r="AG484" s="33" t="s">
        <v>55</v>
      </c>
      <c r="AH484" s="33" t="s">
        <v>56</v>
      </c>
      <c r="AI484" s="33" t="s">
        <v>57</v>
      </c>
      <c r="AJ484" s="33" t="s">
        <v>58</v>
      </c>
      <c r="AK484" s="33" t="s">
        <v>56</v>
      </c>
      <c r="AL484" s="27"/>
      <c r="AM484" s="34" t="s">
        <v>57</v>
      </c>
      <c r="AN484" s="35" t="str">
        <f t="shared" si="38"/>
        <v>✓ OK</v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2291</v>
      </c>
      <c r="C485" s="25" t="s">
        <v>2292</v>
      </c>
      <c r="D485" s="23" t="s">
        <v>1332</v>
      </c>
      <c r="E485" s="42">
        <v>46132</v>
      </c>
      <c r="F485" s="26" t="s">
        <v>55</v>
      </c>
      <c r="G485" s="26" t="s">
        <v>57</v>
      </c>
      <c r="H485" s="26" t="s">
        <v>57</v>
      </c>
      <c r="I485" s="26" t="s">
        <v>90</v>
      </c>
      <c r="J485" s="26" t="s">
        <v>57</v>
      </c>
      <c r="K485" s="27" t="s">
        <v>91</v>
      </c>
      <c r="L485" s="28" t="s">
        <v>56</v>
      </c>
      <c r="M485" s="29" t="str">
        <f t="shared" si="35"/>
        <v>⚠ Missing</v>
      </c>
      <c r="N485" s="42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70">
        <v>46248</v>
      </c>
      <c r="X485" s="30" t="s">
        <v>55</v>
      </c>
      <c r="Y485" s="30" t="s">
        <v>56</v>
      </c>
      <c r="Z485" s="30" t="s">
        <v>57</v>
      </c>
      <c r="AA485" s="30" t="s">
        <v>58</v>
      </c>
      <c r="AB485" s="30" t="s">
        <v>56</v>
      </c>
      <c r="AC485" s="27"/>
      <c r="AD485" s="31" t="s">
        <v>57</v>
      </c>
      <c r="AE485" s="32" t="str">
        <f t="shared" si="37"/>
        <v>✓ OK</v>
      </c>
      <c r="AF485" s="33" t="s">
        <v>61</v>
      </c>
      <c r="AG485" s="33" t="s">
        <v>55</v>
      </c>
      <c r="AH485" s="33" t="s">
        <v>56</v>
      </c>
      <c r="AI485" s="33" t="s">
        <v>57</v>
      </c>
      <c r="AJ485" s="33" t="s">
        <v>58</v>
      </c>
      <c r="AK485" s="33" t="s">
        <v>56</v>
      </c>
      <c r="AL485" s="27"/>
      <c r="AM485" s="34" t="s">
        <v>57</v>
      </c>
      <c r="AN485" s="35" t="str">
        <f t="shared" si="38"/>
        <v>✓ OK</v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2293</v>
      </c>
      <c r="C486" s="41" t="s">
        <v>2294</v>
      </c>
      <c r="D486" s="39" t="s">
        <v>1332</v>
      </c>
      <c r="E486" s="42">
        <v>46132</v>
      </c>
      <c r="F486" s="26" t="s">
        <v>55</v>
      </c>
      <c r="G486" s="26" t="s">
        <v>57</v>
      </c>
      <c r="H486" s="26" t="s">
        <v>57</v>
      </c>
      <c r="I486" s="26" t="s">
        <v>90</v>
      </c>
      <c r="J486" s="26" t="s">
        <v>57</v>
      </c>
      <c r="K486" s="27" t="s">
        <v>91</v>
      </c>
      <c r="L486" s="28" t="s">
        <v>56</v>
      </c>
      <c r="M486" s="29" t="str">
        <f t="shared" si="35"/>
        <v>⚠ Missing</v>
      </c>
      <c r="N486" s="42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70">
        <v>46248</v>
      </c>
      <c r="X486" s="30" t="s">
        <v>55</v>
      </c>
      <c r="Y486" s="30" t="s">
        <v>56</v>
      </c>
      <c r="Z486" s="30" t="s">
        <v>57</v>
      </c>
      <c r="AA486" s="30" t="s">
        <v>58</v>
      </c>
      <c r="AB486" s="30" t="s">
        <v>56</v>
      </c>
      <c r="AC486" s="27"/>
      <c r="AD486" s="31" t="s">
        <v>57</v>
      </c>
      <c r="AE486" s="32" t="str">
        <f t="shared" si="37"/>
        <v>✓ OK</v>
      </c>
      <c r="AF486" s="33" t="s">
        <v>61</v>
      </c>
      <c r="AG486" s="33" t="s">
        <v>55</v>
      </c>
      <c r="AH486" s="33" t="s">
        <v>56</v>
      </c>
      <c r="AI486" s="33" t="s">
        <v>57</v>
      </c>
      <c r="AJ486" s="33" t="s">
        <v>58</v>
      </c>
      <c r="AK486" s="33" t="s">
        <v>56</v>
      </c>
      <c r="AL486" s="27"/>
      <c r="AM486" s="34" t="s">
        <v>57</v>
      </c>
      <c r="AN486" s="35" t="str">
        <f t="shared" si="38"/>
        <v>✓ OK</v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2295</v>
      </c>
      <c r="C487" s="25" t="s">
        <v>2296</v>
      </c>
      <c r="D487" s="23" t="s">
        <v>1332</v>
      </c>
      <c r="E487" s="42">
        <v>46132</v>
      </c>
      <c r="F487" s="26" t="s">
        <v>55</v>
      </c>
      <c r="G487" s="26" t="s">
        <v>57</v>
      </c>
      <c r="H487" s="26" t="s">
        <v>57</v>
      </c>
      <c r="I487" s="26" t="s">
        <v>90</v>
      </c>
      <c r="J487" s="26" t="s">
        <v>57</v>
      </c>
      <c r="K487" s="27" t="s">
        <v>91</v>
      </c>
      <c r="L487" s="28" t="s">
        <v>56</v>
      </c>
      <c r="M487" s="29" t="str">
        <f t="shared" si="35"/>
        <v>⚠ Missing</v>
      </c>
      <c r="N487" s="42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70">
        <v>46248</v>
      </c>
      <c r="X487" s="30" t="s">
        <v>55</v>
      </c>
      <c r="Y487" s="30" t="s">
        <v>56</v>
      </c>
      <c r="Z487" s="30" t="s">
        <v>57</v>
      </c>
      <c r="AA487" s="30" t="s">
        <v>58</v>
      </c>
      <c r="AB487" s="30" t="s">
        <v>56</v>
      </c>
      <c r="AC487" s="27"/>
      <c r="AD487" s="31" t="s">
        <v>57</v>
      </c>
      <c r="AE487" s="32" t="str">
        <f t="shared" si="37"/>
        <v>✓ OK</v>
      </c>
      <c r="AF487" s="33" t="s">
        <v>61</v>
      </c>
      <c r="AG487" s="33" t="s">
        <v>55</v>
      </c>
      <c r="AH487" s="33" t="s">
        <v>56</v>
      </c>
      <c r="AI487" s="33" t="s">
        <v>57</v>
      </c>
      <c r="AJ487" s="33" t="s">
        <v>58</v>
      </c>
      <c r="AK487" s="33" t="s">
        <v>56</v>
      </c>
      <c r="AL487" s="27"/>
      <c r="AM487" s="34" t="s">
        <v>57</v>
      </c>
      <c r="AN487" s="35" t="str">
        <f t="shared" si="38"/>
        <v>✓ OK</v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2297</v>
      </c>
      <c r="C488" s="41" t="s">
        <v>2298</v>
      </c>
      <c r="D488" s="39" t="s">
        <v>1332</v>
      </c>
      <c r="E488" s="42">
        <v>46132</v>
      </c>
      <c r="F488" s="26" t="s">
        <v>55</v>
      </c>
      <c r="G488" s="26" t="s">
        <v>57</v>
      </c>
      <c r="H488" s="26" t="s">
        <v>57</v>
      </c>
      <c r="I488" s="26" t="s">
        <v>90</v>
      </c>
      <c r="J488" s="26" t="s">
        <v>57</v>
      </c>
      <c r="K488" s="27" t="s">
        <v>91</v>
      </c>
      <c r="L488" s="28" t="s">
        <v>56</v>
      </c>
      <c r="M488" s="29" t="str">
        <f t="shared" si="35"/>
        <v>⚠ Missing</v>
      </c>
      <c r="N488" s="42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70">
        <v>46248</v>
      </c>
      <c r="X488" s="30" t="s">
        <v>55</v>
      </c>
      <c r="Y488" s="30" t="s">
        <v>56</v>
      </c>
      <c r="Z488" s="30" t="s">
        <v>57</v>
      </c>
      <c r="AA488" s="30" t="s">
        <v>58</v>
      </c>
      <c r="AB488" s="30" t="s">
        <v>56</v>
      </c>
      <c r="AC488" s="27"/>
      <c r="AD488" s="31" t="s">
        <v>57</v>
      </c>
      <c r="AE488" s="32" t="str">
        <f t="shared" si="37"/>
        <v>✓ OK</v>
      </c>
      <c r="AF488" s="33" t="s">
        <v>61</v>
      </c>
      <c r="AG488" s="33" t="s">
        <v>55</v>
      </c>
      <c r="AH488" s="33" t="s">
        <v>56</v>
      </c>
      <c r="AI488" s="33" t="s">
        <v>57</v>
      </c>
      <c r="AJ488" s="33" t="s">
        <v>58</v>
      </c>
      <c r="AK488" s="33" t="s">
        <v>56</v>
      </c>
      <c r="AL488" s="27"/>
      <c r="AM488" s="34" t="s">
        <v>57</v>
      </c>
      <c r="AN488" s="35" t="str">
        <f t="shared" si="38"/>
        <v>✓ OK</v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2299</v>
      </c>
      <c r="C489" s="25" t="s">
        <v>2300</v>
      </c>
      <c r="D489" s="23" t="s">
        <v>2301</v>
      </c>
      <c r="E489" s="42">
        <v>46129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70">
        <v>46248</v>
      </c>
      <c r="X489" s="30" t="s">
        <v>55</v>
      </c>
      <c r="Y489" s="30" t="s">
        <v>56</v>
      </c>
      <c r="Z489" s="30" t="s">
        <v>57</v>
      </c>
      <c r="AA489" s="30" t="s">
        <v>58</v>
      </c>
      <c r="AB489" s="30" t="s">
        <v>56</v>
      </c>
      <c r="AC489" s="27"/>
      <c r="AD489" s="31" t="s">
        <v>57</v>
      </c>
      <c r="AE489" s="32" t="str">
        <f t="shared" si="37"/>
        <v>✓ OK</v>
      </c>
      <c r="AF489" s="33" t="s">
        <v>61</v>
      </c>
      <c r="AG489" s="33" t="s">
        <v>55</v>
      </c>
      <c r="AH489" s="33" t="s">
        <v>56</v>
      </c>
      <c r="AI489" s="33" t="s">
        <v>57</v>
      </c>
      <c r="AJ489" s="33" t="s">
        <v>58</v>
      </c>
      <c r="AK489" s="33" t="s">
        <v>56</v>
      </c>
      <c r="AL489" s="27"/>
      <c r="AM489" s="34" t="s">
        <v>57</v>
      </c>
      <c r="AN489" s="35" t="str">
        <f t="shared" si="38"/>
        <v>✓ OK</v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2302</v>
      </c>
      <c r="C490" s="41" t="s">
        <v>2303</v>
      </c>
      <c r="D490" s="39" t="s">
        <v>2301</v>
      </c>
      <c r="E490" s="42">
        <v>46129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70">
        <v>46248</v>
      </c>
      <c r="X490" s="30" t="s">
        <v>55</v>
      </c>
      <c r="Y490" s="30" t="s">
        <v>56</v>
      </c>
      <c r="Z490" s="30" t="s">
        <v>57</v>
      </c>
      <c r="AA490" s="30" t="s">
        <v>58</v>
      </c>
      <c r="AB490" s="30" t="s">
        <v>56</v>
      </c>
      <c r="AC490" s="27"/>
      <c r="AD490" s="31" t="s">
        <v>57</v>
      </c>
      <c r="AE490" s="32" t="str">
        <f t="shared" si="37"/>
        <v>✓ OK</v>
      </c>
      <c r="AF490" s="33" t="s">
        <v>61</v>
      </c>
      <c r="AG490" s="33" t="s">
        <v>55</v>
      </c>
      <c r="AH490" s="33" t="s">
        <v>56</v>
      </c>
      <c r="AI490" s="33" t="s">
        <v>57</v>
      </c>
      <c r="AJ490" s="33" t="s">
        <v>58</v>
      </c>
      <c r="AK490" s="33" t="s">
        <v>56</v>
      </c>
      <c r="AL490" s="27"/>
      <c r="AM490" s="34" t="s">
        <v>57</v>
      </c>
      <c r="AN490" s="35" t="str">
        <f t="shared" si="38"/>
        <v>✓ OK</v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2304</v>
      </c>
      <c r="C491" s="25" t="s">
        <v>2305</v>
      </c>
      <c r="D491" s="23" t="s">
        <v>2301</v>
      </c>
      <c r="E491" s="42">
        <v>46129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70">
        <v>46248</v>
      </c>
      <c r="X491" s="30" t="s">
        <v>55</v>
      </c>
      <c r="Y491" s="30" t="s">
        <v>56</v>
      </c>
      <c r="Z491" s="30" t="s">
        <v>57</v>
      </c>
      <c r="AA491" s="30" t="s">
        <v>58</v>
      </c>
      <c r="AB491" s="30" t="s">
        <v>56</v>
      </c>
      <c r="AC491" s="27"/>
      <c r="AD491" s="31" t="s">
        <v>57</v>
      </c>
      <c r="AE491" s="32" t="str">
        <f t="shared" si="37"/>
        <v>✓ OK</v>
      </c>
      <c r="AF491" s="33" t="s">
        <v>61</v>
      </c>
      <c r="AG491" s="33" t="s">
        <v>55</v>
      </c>
      <c r="AH491" s="33" t="s">
        <v>56</v>
      </c>
      <c r="AI491" s="33" t="s">
        <v>57</v>
      </c>
      <c r="AJ491" s="33" t="s">
        <v>58</v>
      </c>
      <c r="AK491" s="33" t="s">
        <v>56</v>
      </c>
      <c r="AL491" s="27"/>
      <c r="AM491" s="34" t="s">
        <v>57</v>
      </c>
      <c r="AN491" s="35" t="str">
        <f t="shared" si="38"/>
        <v>✓ OK</v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2306</v>
      </c>
      <c r="C492" s="41" t="s">
        <v>2307</v>
      </c>
      <c r="D492" s="39" t="s">
        <v>2301</v>
      </c>
      <c r="E492" s="42">
        <v>46129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70">
        <v>46248</v>
      </c>
      <c r="X492" s="30" t="s">
        <v>55</v>
      </c>
      <c r="Y492" s="30" t="s">
        <v>56</v>
      </c>
      <c r="Z492" s="30" t="s">
        <v>57</v>
      </c>
      <c r="AA492" s="30" t="s">
        <v>58</v>
      </c>
      <c r="AB492" s="30" t="s">
        <v>56</v>
      </c>
      <c r="AC492" s="27"/>
      <c r="AD492" s="31" t="s">
        <v>57</v>
      </c>
      <c r="AE492" s="32" t="str">
        <f t="shared" si="37"/>
        <v>✓ OK</v>
      </c>
      <c r="AF492" s="33" t="s">
        <v>61</v>
      </c>
      <c r="AG492" s="33" t="s">
        <v>55</v>
      </c>
      <c r="AH492" s="33" t="s">
        <v>56</v>
      </c>
      <c r="AI492" s="33" t="s">
        <v>57</v>
      </c>
      <c r="AJ492" s="33" t="s">
        <v>58</v>
      </c>
      <c r="AK492" s="33" t="s">
        <v>56</v>
      </c>
      <c r="AL492" s="27"/>
      <c r="AM492" s="34" t="s">
        <v>57</v>
      </c>
      <c r="AN492" s="35" t="str">
        <f t="shared" si="38"/>
        <v>✓ OK</v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2308</v>
      </c>
      <c r="C493" s="25" t="s">
        <v>2309</v>
      </c>
      <c r="D493" s="23" t="s">
        <v>2301</v>
      </c>
      <c r="E493" s="42">
        <v>46129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70">
        <v>46248</v>
      </c>
      <c r="X493" s="30" t="s">
        <v>55</v>
      </c>
      <c r="Y493" s="30" t="s">
        <v>56</v>
      </c>
      <c r="Z493" s="30" t="s">
        <v>57</v>
      </c>
      <c r="AA493" s="30" t="s">
        <v>58</v>
      </c>
      <c r="AB493" s="30" t="s">
        <v>56</v>
      </c>
      <c r="AC493" s="27"/>
      <c r="AD493" s="31" t="s">
        <v>57</v>
      </c>
      <c r="AE493" s="32" t="str">
        <f t="shared" si="37"/>
        <v>✓ OK</v>
      </c>
      <c r="AF493" s="33" t="s">
        <v>61</v>
      </c>
      <c r="AG493" s="33" t="s">
        <v>55</v>
      </c>
      <c r="AH493" s="33" t="s">
        <v>56</v>
      </c>
      <c r="AI493" s="33" t="s">
        <v>57</v>
      </c>
      <c r="AJ493" s="33" t="s">
        <v>58</v>
      </c>
      <c r="AK493" s="33" t="s">
        <v>56</v>
      </c>
      <c r="AL493" s="27"/>
      <c r="AM493" s="34" t="s">
        <v>57</v>
      </c>
      <c r="AN493" s="35" t="str">
        <f t="shared" si="38"/>
        <v>✓ OK</v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2310</v>
      </c>
      <c r="C494" s="41" t="s">
        <v>2311</v>
      </c>
      <c r="D494" s="39" t="s">
        <v>2301</v>
      </c>
      <c r="E494" s="42">
        <v>46129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70">
        <v>46248</v>
      </c>
      <c r="X494" s="30" t="s">
        <v>55</v>
      </c>
      <c r="Y494" s="30" t="s">
        <v>56</v>
      </c>
      <c r="Z494" s="30" t="s">
        <v>57</v>
      </c>
      <c r="AA494" s="30" t="s">
        <v>58</v>
      </c>
      <c r="AB494" s="30" t="s">
        <v>56</v>
      </c>
      <c r="AC494" s="27"/>
      <c r="AD494" s="31" t="s">
        <v>57</v>
      </c>
      <c r="AE494" s="32" t="str">
        <f t="shared" si="37"/>
        <v>✓ OK</v>
      </c>
      <c r="AF494" s="33" t="s">
        <v>61</v>
      </c>
      <c r="AG494" s="33" t="s">
        <v>55</v>
      </c>
      <c r="AH494" s="33" t="s">
        <v>56</v>
      </c>
      <c r="AI494" s="33" t="s">
        <v>57</v>
      </c>
      <c r="AJ494" s="33" t="s">
        <v>58</v>
      </c>
      <c r="AK494" s="33" t="s">
        <v>56</v>
      </c>
      <c r="AL494" s="27"/>
      <c r="AM494" s="34" t="s">
        <v>57</v>
      </c>
      <c r="AN494" s="35" t="str">
        <f t="shared" si="38"/>
        <v>✓ OK</v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2312</v>
      </c>
      <c r="C495" s="25" t="s">
        <v>2313</v>
      </c>
      <c r="D495" s="23" t="s">
        <v>2301</v>
      </c>
      <c r="E495" s="42">
        <v>46129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70">
        <v>46248</v>
      </c>
      <c r="X495" s="30" t="s">
        <v>55</v>
      </c>
      <c r="Y495" s="30" t="s">
        <v>56</v>
      </c>
      <c r="Z495" s="30" t="s">
        <v>57</v>
      </c>
      <c r="AA495" s="30" t="s">
        <v>58</v>
      </c>
      <c r="AB495" s="30" t="s">
        <v>56</v>
      </c>
      <c r="AC495" s="27"/>
      <c r="AD495" s="31" t="s">
        <v>57</v>
      </c>
      <c r="AE495" s="32" t="str">
        <f t="shared" si="37"/>
        <v>✓ OK</v>
      </c>
      <c r="AF495" s="33" t="s">
        <v>61</v>
      </c>
      <c r="AG495" s="33" t="s">
        <v>55</v>
      </c>
      <c r="AH495" s="33" t="s">
        <v>56</v>
      </c>
      <c r="AI495" s="33" t="s">
        <v>57</v>
      </c>
      <c r="AJ495" s="33" t="s">
        <v>58</v>
      </c>
      <c r="AK495" s="33" t="s">
        <v>56</v>
      </c>
      <c r="AL495" s="27"/>
      <c r="AM495" s="34" t="s">
        <v>57</v>
      </c>
      <c r="AN495" s="35" t="str">
        <f t="shared" si="38"/>
        <v>✓ OK</v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2314</v>
      </c>
      <c r="C496" s="41" t="s">
        <v>2315</v>
      </c>
      <c r="D496" s="39" t="s">
        <v>2301</v>
      </c>
      <c r="E496" s="42">
        <v>46129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70">
        <v>46248</v>
      </c>
      <c r="X496" s="30" t="s">
        <v>55</v>
      </c>
      <c r="Y496" s="30" t="s">
        <v>56</v>
      </c>
      <c r="Z496" s="30" t="s">
        <v>57</v>
      </c>
      <c r="AA496" s="30" t="s">
        <v>58</v>
      </c>
      <c r="AB496" s="30" t="s">
        <v>56</v>
      </c>
      <c r="AC496" s="27"/>
      <c r="AD496" s="31" t="s">
        <v>57</v>
      </c>
      <c r="AE496" s="32" t="str">
        <f t="shared" si="37"/>
        <v>✓ OK</v>
      </c>
      <c r="AF496" s="33" t="s">
        <v>61</v>
      </c>
      <c r="AG496" s="33" t="s">
        <v>55</v>
      </c>
      <c r="AH496" s="33" t="s">
        <v>56</v>
      </c>
      <c r="AI496" s="33" t="s">
        <v>57</v>
      </c>
      <c r="AJ496" s="33" t="s">
        <v>58</v>
      </c>
      <c r="AK496" s="33" t="s">
        <v>56</v>
      </c>
      <c r="AL496" s="27"/>
      <c r="AM496" s="34" t="s">
        <v>57</v>
      </c>
      <c r="AN496" s="35" t="str">
        <f t="shared" si="38"/>
        <v>✓ OK</v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2316</v>
      </c>
      <c r="C497" s="25" t="s">
        <v>2317</v>
      </c>
      <c r="D497" s="23" t="s">
        <v>2301</v>
      </c>
      <c r="E497" s="42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70">
        <v>46248</v>
      </c>
      <c r="X497" s="30" t="s">
        <v>55</v>
      </c>
      <c r="Y497" s="30" t="s">
        <v>56</v>
      </c>
      <c r="Z497" s="30" t="s">
        <v>57</v>
      </c>
      <c r="AA497" s="30" t="s">
        <v>58</v>
      </c>
      <c r="AB497" s="30" t="s">
        <v>56</v>
      </c>
      <c r="AC497" s="27"/>
      <c r="AD497" s="31" t="s">
        <v>57</v>
      </c>
      <c r="AE497" s="32" t="str">
        <f t="shared" si="37"/>
        <v>✓ OK</v>
      </c>
      <c r="AF497" s="33" t="s">
        <v>61</v>
      </c>
      <c r="AG497" s="33" t="s">
        <v>55</v>
      </c>
      <c r="AH497" s="33" t="s">
        <v>56</v>
      </c>
      <c r="AI497" s="33" t="s">
        <v>57</v>
      </c>
      <c r="AJ497" s="33" t="s">
        <v>58</v>
      </c>
      <c r="AK497" s="33" t="s">
        <v>56</v>
      </c>
      <c r="AL497" s="27"/>
      <c r="AM497" s="34" t="s">
        <v>57</v>
      </c>
      <c r="AN497" s="35" t="str">
        <f t="shared" si="38"/>
        <v>✓ OK</v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2318</v>
      </c>
      <c r="C498" s="41" t="s">
        <v>2319</v>
      </c>
      <c r="D498" s="39" t="s">
        <v>2301</v>
      </c>
      <c r="E498" s="42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70">
        <v>46248</v>
      </c>
      <c r="X498" s="30" t="s">
        <v>55</v>
      </c>
      <c r="Y498" s="30" t="s">
        <v>56</v>
      </c>
      <c r="Z498" s="30" t="s">
        <v>57</v>
      </c>
      <c r="AA498" s="30" t="s">
        <v>58</v>
      </c>
      <c r="AB498" s="30" t="s">
        <v>56</v>
      </c>
      <c r="AC498" s="27"/>
      <c r="AD498" s="31" t="s">
        <v>57</v>
      </c>
      <c r="AE498" s="32" t="str">
        <f t="shared" si="37"/>
        <v>✓ OK</v>
      </c>
      <c r="AF498" s="33" t="s">
        <v>61</v>
      </c>
      <c r="AG498" s="33" t="s">
        <v>55</v>
      </c>
      <c r="AH498" s="33" t="s">
        <v>56</v>
      </c>
      <c r="AI498" s="33" t="s">
        <v>57</v>
      </c>
      <c r="AJ498" s="33" t="s">
        <v>58</v>
      </c>
      <c r="AK498" s="33" t="s">
        <v>56</v>
      </c>
      <c r="AL498" s="27"/>
      <c r="AM498" s="34" t="s">
        <v>57</v>
      </c>
      <c r="AN498" s="35" t="str">
        <f t="shared" si="38"/>
        <v>✓ OK</v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2320</v>
      </c>
      <c r="C499" s="25" t="s">
        <v>2321</v>
      </c>
      <c r="D499" s="23" t="s">
        <v>2301</v>
      </c>
      <c r="E499" s="42">
        <v>46129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70">
        <v>46248</v>
      </c>
      <c r="X499" s="30" t="s">
        <v>55</v>
      </c>
      <c r="Y499" s="30" t="s">
        <v>56</v>
      </c>
      <c r="Z499" s="30" t="s">
        <v>57</v>
      </c>
      <c r="AA499" s="30" t="s">
        <v>58</v>
      </c>
      <c r="AB499" s="30" t="s">
        <v>56</v>
      </c>
      <c r="AC499" s="27"/>
      <c r="AD499" s="31" t="s">
        <v>57</v>
      </c>
      <c r="AE499" s="32" t="str">
        <f t="shared" si="37"/>
        <v>✓ OK</v>
      </c>
      <c r="AF499" s="33" t="s">
        <v>61</v>
      </c>
      <c r="AG499" s="33" t="s">
        <v>55</v>
      </c>
      <c r="AH499" s="33" t="s">
        <v>56</v>
      </c>
      <c r="AI499" s="33" t="s">
        <v>57</v>
      </c>
      <c r="AJ499" s="33" t="s">
        <v>58</v>
      </c>
      <c r="AK499" s="33" t="s">
        <v>56</v>
      </c>
      <c r="AL499" s="27"/>
      <c r="AM499" s="34" t="s">
        <v>57</v>
      </c>
      <c r="AN499" s="35" t="str">
        <f t="shared" si="38"/>
        <v>✓ OK</v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2322</v>
      </c>
      <c r="C500" s="41" t="s">
        <v>2323</v>
      </c>
      <c r="D500" s="39" t="s">
        <v>2301</v>
      </c>
      <c r="E500" s="42">
        <v>46129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70">
        <v>46248</v>
      </c>
      <c r="X500" s="30" t="s">
        <v>55</v>
      </c>
      <c r="Y500" s="30" t="s">
        <v>56</v>
      </c>
      <c r="Z500" s="30" t="s">
        <v>57</v>
      </c>
      <c r="AA500" s="30" t="s">
        <v>58</v>
      </c>
      <c r="AB500" s="30" t="s">
        <v>56</v>
      </c>
      <c r="AC500" s="27"/>
      <c r="AD500" s="31" t="s">
        <v>57</v>
      </c>
      <c r="AE500" s="32" t="str">
        <f t="shared" si="37"/>
        <v>✓ OK</v>
      </c>
      <c r="AF500" s="33" t="s">
        <v>61</v>
      </c>
      <c r="AG500" s="33" t="s">
        <v>55</v>
      </c>
      <c r="AH500" s="33" t="s">
        <v>56</v>
      </c>
      <c r="AI500" s="33" t="s">
        <v>57</v>
      </c>
      <c r="AJ500" s="33" t="s">
        <v>58</v>
      </c>
      <c r="AK500" s="33" t="s">
        <v>56</v>
      </c>
      <c r="AL500" s="27"/>
      <c r="AM500" s="34" t="s">
        <v>57</v>
      </c>
      <c r="AN500" s="35" t="str">
        <f t="shared" si="38"/>
        <v>✓ OK</v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2324</v>
      </c>
      <c r="C501" s="25" t="s">
        <v>2325</v>
      </c>
      <c r="D501" s="23" t="s">
        <v>2301</v>
      </c>
      <c r="E501" s="42">
        <v>46129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70">
        <v>46248</v>
      </c>
      <c r="X501" s="30" t="s">
        <v>55</v>
      </c>
      <c r="Y501" s="30" t="s">
        <v>56</v>
      </c>
      <c r="Z501" s="30" t="s">
        <v>57</v>
      </c>
      <c r="AA501" s="30" t="s">
        <v>58</v>
      </c>
      <c r="AB501" s="30" t="s">
        <v>56</v>
      </c>
      <c r="AC501" s="27"/>
      <c r="AD501" s="31" t="s">
        <v>57</v>
      </c>
      <c r="AE501" s="32" t="str">
        <f t="shared" si="37"/>
        <v>✓ OK</v>
      </c>
      <c r="AF501" s="33" t="s">
        <v>61</v>
      </c>
      <c r="AG501" s="33" t="s">
        <v>55</v>
      </c>
      <c r="AH501" s="33" t="s">
        <v>56</v>
      </c>
      <c r="AI501" s="33" t="s">
        <v>57</v>
      </c>
      <c r="AJ501" s="33" t="s">
        <v>58</v>
      </c>
      <c r="AK501" s="33" t="s">
        <v>56</v>
      </c>
      <c r="AL501" s="27"/>
      <c r="AM501" s="34" t="s">
        <v>57</v>
      </c>
      <c r="AN501" s="35" t="str">
        <f t="shared" si="38"/>
        <v>✓ OK</v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2326</v>
      </c>
      <c r="C502" s="41" t="s">
        <v>2327</v>
      </c>
      <c r="D502" s="39" t="s">
        <v>2301</v>
      </c>
      <c r="E502" s="42">
        <v>46129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70">
        <v>46248</v>
      </c>
      <c r="X502" s="30" t="s">
        <v>55</v>
      </c>
      <c r="Y502" s="30" t="s">
        <v>56</v>
      </c>
      <c r="Z502" s="30" t="s">
        <v>57</v>
      </c>
      <c r="AA502" s="30" t="s">
        <v>58</v>
      </c>
      <c r="AB502" s="30" t="s">
        <v>56</v>
      </c>
      <c r="AC502" s="27"/>
      <c r="AD502" s="31" t="s">
        <v>57</v>
      </c>
      <c r="AE502" s="32" t="str">
        <f t="shared" si="37"/>
        <v>✓ OK</v>
      </c>
      <c r="AF502" s="33" t="s">
        <v>61</v>
      </c>
      <c r="AG502" s="33" t="s">
        <v>55</v>
      </c>
      <c r="AH502" s="33" t="s">
        <v>56</v>
      </c>
      <c r="AI502" s="33" t="s">
        <v>57</v>
      </c>
      <c r="AJ502" s="33" t="s">
        <v>58</v>
      </c>
      <c r="AK502" s="33" t="s">
        <v>56</v>
      </c>
      <c r="AL502" s="27"/>
      <c r="AM502" s="34" t="s">
        <v>57</v>
      </c>
      <c r="AN502" s="35" t="str">
        <f t="shared" si="38"/>
        <v>✓ OK</v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2328</v>
      </c>
      <c r="C503" s="25" t="s">
        <v>2329</v>
      </c>
      <c r="D503" s="23" t="s">
        <v>2301</v>
      </c>
      <c r="E503" s="42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70">
        <v>46248</v>
      </c>
      <c r="X503" s="30" t="s">
        <v>55</v>
      </c>
      <c r="Y503" s="30" t="s">
        <v>56</v>
      </c>
      <c r="Z503" s="30" t="s">
        <v>57</v>
      </c>
      <c r="AA503" s="30" t="s">
        <v>58</v>
      </c>
      <c r="AB503" s="30" t="s">
        <v>56</v>
      </c>
      <c r="AC503" s="27"/>
      <c r="AD503" s="31" t="s">
        <v>57</v>
      </c>
      <c r="AE503" s="32" t="str">
        <f t="shared" si="37"/>
        <v>✓ OK</v>
      </c>
      <c r="AF503" s="33" t="s">
        <v>61</v>
      </c>
      <c r="AG503" s="33" t="s">
        <v>55</v>
      </c>
      <c r="AH503" s="33" t="s">
        <v>56</v>
      </c>
      <c r="AI503" s="33" t="s">
        <v>57</v>
      </c>
      <c r="AJ503" s="33" t="s">
        <v>58</v>
      </c>
      <c r="AK503" s="33" t="s">
        <v>56</v>
      </c>
      <c r="AL503" s="27"/>
      <c r="AM503" s="34" t="s">
        <v>57</v>
      </c>
      <c r="AN503" s="35" t="str">
        <f t="shared" si="38"/>
        <v>✓ OK</v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2330</v>
      </c>
      <c r="C504" s="41" t="s">
        <v>2331</v>
      </c>
      <c r="D504" s="39" t="s">
        <v>2301</v>
      </c>
      <c r="E504" s="42">
        <v>46129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70">
        <v>46248</v>
      </c>
      <c r="X504" s="30" t="s">
        <v>55</v>
      </c>
      <c r="Y504" s="30" t="s">
        <v>56</v>
      </c>
      <c r="Z504" s="30" t="s">
        <v>57</v>
      </c>
      <c r="AA504" s="30" t="s">
        <v>58</v>
      </c>
      <c r="AB504" s="30" t="s">
        <v>56</v>
      </c>
      <c r="AC504" s="27"/>
      <c r="AD504" s="31" t="s">
        <v>57</v>
      </c>
      <c r="AE504" s="32" t="str">
        <f t="shared" si="37"/>
        <v>✓ OK</v>
      </c>
      <c r="AF504" s="33" t="s">
        <v>61</v>
      </c>
      <c r="AG504" s="33" t="s">
        <v>55</v>
      </c>
      <c r="AH504" s="33" t="s">
        <v>56</v>
      </c>
      <c r="AI504" s="33" t="s">
        <v>57</v>
      </c>
      <c r="AJ504" s="33" t="s">
        <v>58</v>
      </c>
      <c r="AK504" s="33" t="s">
        <v>56</v>
      </c>
      <c r="AL504" s="27"/>
      <c r="AM504" s="34" t="s">
        <v>57</v>
      </c>
      <c r="AN504" s="35" t="str">
        <f t="shared" si="38"/>
        <v>✓ OK</v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2332</v>
      </c>
      <c r="C505" s="25" t="s">
        <v>2333</v>
      </c>
      <c r="D505" s="23" t="s">
        <v>2301</v>
      </c>
      <c r="E505" s="42">
        <v>46129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70">
        <v>46248</v>
      </c>
      <c r="X505" s="30" t="s">
        <v>55</v>
      </c>
      <c r="Y505" s="30" t="s">
        <v>56</v>
      </c>
      <c r="Z505" s="30" t="s">
        <v>57</v>
      </c>
      <c r="AA505" s="30" t="s">
        <v>58</v>
      </c>
      <c r="AB505" s="30" t="s">
        <v>56</v>
      </c>
      <c r="AC505" s="27"/>
      <c r="AD505" s="31" t="s">
        <v>57</v>
      </c>
      <c r="AE505" s="32" t="str">
        <f t="shared" si="37"/>
        <v>✓ OK</v>
      </c>
      <c r="AF505" s="33" t="s">
        <v>61</v>
      </c>
      <c r="AG505" s="33" t="s">
        <v>55</v>
      </c>
      <c r="AH505" s="33" t="s">
        <v>56</v>
      </c>
      <c r="AI505" s="33" t="s">
        <v>57</v>
      </c>
      <c r="AJ505" s="33" t="s">
        <v>58</v>
      </c>
      <c r="AK505" s="33" t="s">
        <v>56</v>
      </c>
      <c r="AL505" s="27"/>
      <c r="AM505" s="34" t="s">
        <v>57</v>
      </c>
      <c r="AN505" s="35" t="str">
        <f t="shared" si="38"/>
        <v>✓ OK</v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2334</v>
      </c>
      <c r="C506" s="41" t="s">
        <v>2335</v>
      </c>
      <c r="D506" s="39" t="s">
        <v>2301</v>
      </c>
      <c r="E506" s="42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70">
        <v>46248</v>
      </c>
      <c r="X506" s="30" t="s">
        <v>55</v>
      </c>
      <c r="Y506" s="30" t="s">
        <v>56</v>
      </c>
      <c r="Z506" s="30" t="s">
        <v>57</v>
      </c>
      <c r="AA506" s="30" t="s">
        <v>58</v>
      </c>
      <c r="AB506" s="30" t="s">
        <v>56</v>
      </c>
      <c r="AC506" s="27"/>
      <c r="AD506" s="31" t="s">
        <v>57</v>
      </c>
      <c r="AE506" s="32" t="str">
        <f t="shared" si="37"/>
        <v>✓ OK</v>
      </c>
      <c r="AF506" s="33" t="s">
        <v>61</v>
      </c>
      <c r="AG506" s="33" t="s">
        <v>55</v>
      </c>
      <c r="AH506" s="33" t="s">
        <v>56</v>
      </c>
      <c r="AI506" s="33" t="s">
        <v>57</v>
      </c>
      <c r="AJ506" s="33" t="s">
        <v>58</v>
      </c>
      <c r="AK506" s="33" t="s">
        <v>56</v>
      </c>
      <c r="AL506" s="27"/>
      <c r="AM506" s="34" t="s">
        <v>57</v>
      </c>
      <c r="AN506" s="35" t="str">
        <f t="shared" si="38"/>
        <v>✓ OK</v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2336</v>
      </c>
      <c r="C507" s="25" t="s">
        <v>2337</v>
      </c>
      <c r="D507" s="23" t="s">
        <v>2301</v>
      </c>
      <c r="E507" s="42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70">
        <v>46248</v>
      </c>
      <c r="X507" s="30" t="s">
        <v>55</v>
      </c>
      <c r="Y507" s="30" t="s">
        <v>56</v>
      </c>
      <c r="Z507" s="30" t="s">
        <v>57</v>
      </c>
      <c r="AA507" s="30" t="s">
        <v>58</v>
      </c>
      <c r="AB507" s="30" t="s">
        <v>56</v>
      </c>
      <c r="AC507" s="27"/>
      <c r="AD507" s="31" t="s">
        <v>57</v>
      </c>
      <c r="AE507" s="32" t="str">
        <f t="shared" si="37"/>
        <v>✓ OK</v>
      </c>
      <c r="AF507" s="33" t="s">
        <v>61</v>
      </c>
      <c r="AG507" s="33" t="s">
        <v>55</v>
      </c>
      <c r="AH507" s="33" t="s">
        <v>56</v>
      </c>
      <c r="AI507" s="33" t="s">
        <v>57</v>
      </c>
      <c r="AJ507" s="33" t="s">
        <v>58</v>
      </c>
      <c r="AK507" s="33" t="s">
        <v>56</v>
      </c>
      <c r="AL507" s="27"/>
      <c r="AM507" s="34" t="s">
        <v>57</v>
      </c>
      <c r="AN507" s="35" t="str">
        <f t="shared" si="38"/>
        <v>✓ OK</v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2338</v>
      </c>
      <c r="C508" s="41" t="s">
        <v>2339</v>
      </c>
      <c r="D508" s="39" t="s">
        <v>2301</v>
      </c>
      <c r="E508" s="42">
        <v>46129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70">
        <v>46248</v>
      </c>
      <c r="X508" s="30" t="s">
        <v>55</v>
      </c>
      <c r="Y508" s="30" t="s">
        <v>56</v>
      </c>
      <c r="Z508" s="30" t="s">
        <v>57</v>
      </c>
      <c r="AA508" s="30" t="s">
        <v>58</v>
      </c>
      <c r="AB508" s="30" t="s">
        <v>56</v>
      </c>
      <c r="AC508" s="27"/>
      <c r="AD508" s="31" t="s">
        <v>57</v>
      </c>
      <c r="AE508" s="32" t="str">
        <f t="shared" si="37"/>
        <v>✓ OK</v>
      </c>
      <c r="AF508" s="33" t="s">
        <v>61</v>
      </c>
      <c r="AG508" s="33" t="s">
        <v>55</v>
      </c>
      <c r="AH508" s="33" t="s">
        <v>56</v>
      </c>
      <c r="AI508" s="33" t="s">
        <v>57</v>
      </c>
      <c r="AJ508" s="33" t="s">
        <v>58</v>
      </c>
      <c r="AK508" s="33" t="s">
        <v>56</v>
      </c>
      <c r="AL508" s="27"/>
      <c r="AM508" s="34" t="s">
        <v>57</v>
      </c>
      <c r="AN508" s="35" t="str">
        <f t="shared" si="38"/>
        <v>✓ OK</v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2340</v>
      </c>
      <c r="C509" s="25" t="s">
        <v>2341</v>
      </c>
      <c r="D509" s="23" t="s">
        <v>2301</v>
      </c>
      <c r="E509" s="42">
        <v>46129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70">
        <v>46248</v>
      </c>
      <c r="X509" s="30" t="s">
        <v>55</v>
      </c>
      <c r="Y509" s="30" t="s">
        <v>56</v>
      </c>
      <c r="Z509" s="30" t="s">
        <v>57</v>
      </c>
      <c r="AA509" s="30" t="s">
        <v>58</v>
      </c>
      <c r="AB509" s="30" t="s">
        <v>56</v>
      </c>
      <c r="AC509" s="27"/>
      <c r="AD509" s="31" t="s">
        <v>57</v>
      </c>
      <c r="AE509" s="32" t="str">
        <f t="shared" si="37"/>
        <v>✓ OK</v>
      </c>
      <c r="AF509" s="33" t="s">
        <v>61</v>
      </c>
      <c r="AG509" s="33" t="s">
        <v>55</v>
      </c>
      <c r="AH509" s="33" t="s">
        <v>56</v>
      </c>
      <c r="AI509" s="33" t="s">
        <v>57</v>
      </c>
      <c r="AJ509" s="33" t="s">
        <v>58</v>
      </c>
      <c r="AK509" s="33" t="s">
        <v>56</v>
      </c>
      <c r="AL509" s="27"/>
      <c r="AM509" s="34" t="s">
        <v>57</v>
      </c>
      <c r="AN509" s="35" t="str">
        <f t="shared" si="38"/>
        <v>✓ OK</v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2342</v>
      </c>
      <c r="C510" s="41" t="s">
        <v>2343</v>
      </c>
      <c r="D510" s="39" t="s">
        <v>2301</v>
      </c>
      <c r="E510" s="42">
        <v>46129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70">
        <v>46248</v>
      </c>
      <c r="X510" s="30" t="s">
        <v>55</v>
      </c>
      <c r="Y510" s="30" t="s">
        <v>56</v>
      </c>
      <c r="Z510" s="30" t="s">
        <v>57</v>
      </c>
      <c r="AA510" s="30" t="s">
        <v>58</v>
      </c>
      <c r="AB510" s="30" t="s">
        <v>56</v>
      </c>
      <c r="AC510" s="27"/>
      <c r="AD510" s="31" t="s">
        <v>57</v>
      </c>
      <c r="AE510" s="32" t="str">
        <f t="shared" si="37"/>
        <v>✓ OK</v>
      </c>
      <c r="AF510" s="33" t="s">
        <v>61</v>
      </c>
      <c r="AG510" s="33" t="s">
        <v>55</v>
      </c>
      <c r="AH510" s="33" t="s">
        <v>56</v>
      </c>
      <c r="AI510" s="33" t="s">
        <v>57</v>
      </c>
      <c r="AJ510" s="33" t="s">
        <v>58</v>
      </c>
      <c r="AK510" s="33" t="s">
        <v>56</v>
      </c>
      <c r="AL510" s="27"/>
      <c r="AM510" s="34" t="s">
        <v>57</v>
      </c>
      <c r="AN510" s="35" t="str">
        <f t="shared" si="38"/>
        <v>✓ OK</v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2344</v>
      </c>
      <c r="C511" s="25" t="s">
        <v>2345</v>
      </c>
      <c r="D511" s="23" t="s">
        <v>2301</v>
      </c>
      <c r="E511" s="42">
        <v>46129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70">
        <v>46248</v>
      </c>
      <c r="X511" s="30" t="s">
        <v>55</v>
      </c>
      <c r="Y511" s="30" t="s">
        <v>56</v>
      </c>
      <c r="Z511" s="30" t="s">
        <v>57</v>
      </c>
      <c r="AA511" s="30" t="s">
        <v>58</v>
      </c>
      <c r="AB511" s="30" t="s">
        <v>56</v>
      </c>
      <c r="AC511" s="27"/>
      <c r="AD511" s="31" t="s">
        <v>57</v>
      </c>
      <c r="AE511" s="32" t="str">
        <f t="shared" si="37"/>
        <v>✓ OK</v>
      </c>
      <c r="AF511" s="33" t="s">
        <v>61</v>
      </c>
      <c r="AG511" s="33" t="s">
        <v>55</v>
      </c>
      <c r="AH511" s="33" t="s">
        <v>56</v>
      </c>
      <c r="AI511" s="33" t="s">
        <v>57</v>
      </c>
      <c r="AJ511" s="33" t="s">
        <v>58</v>
      </c>
      <c r="AK511" s="33" t="s">
        <v>56</v>
      </c>
      <c r="AL511" s="27"/>
      <c r="AM511" s="34" t="s">
        <v>57</v>
      </c>
      <c r="AN511" s="35" t="str">
        <f t="shared" si="38"/>
        <v>✓ OK</v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2346</v>
      </c>
      <c r="C512" s="41" t="s">
        <v>2347</v>
      </c>
      <c r="D512" s="39" t="s">
        <v>2301</v>
      </c>
      <c r="E512" s="42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70">
        <v>46248</v>
      </c>
      <c r="X512" s="30" t="s">
        <v>55</v>
      </c>
      <c r="Y512" s="30" t="s">
        <v>56</v>
      </c>
      <c r="Z512" s="30" t="s">
        <v>57</v>
      </c>
      <c r="AA512" s="30" t="s">
        <v>58</v>
      </c>
      <c r="AB512" s="30" t="s">
        <v>56</v>
      </c>
      <c r="AC512" s="27"/>
      <c r="AD512" s="31" t="s">
        <v>57</v>
      </c>
      <c r="AE512" s="32" t="str">
        <f t="shared" si="37"/>
        <v>✓ OK</v>
      </c>
      <c r="AF512" s="33" t="s">
        <v>61</v>
      </c>
      <c r="AG512" s="33" t="s">
        <v>55</v>
      </c>
      <c r="AH512" s="33" t="s">
        <v>56</v>
      </c>
      <c r="AI512" s="33" t="s">
        <v>57</v>
      </c>
      <c r="AJ512" s="33" t="s">
        <v>58</v>
      </c>
      <c r="AK512" s="33" t="s">
        <v>56</v>
      </c>
      <c r="AL512" s="27"/>
      <c r="AM512" s="34" t="s">
        <v>57</v>
      </c>
      <c r="AN512" s="35" t="str">
        <f t="shared" si="38"/>
        <v>✓ OK</v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2348</v>
      </c>
      <c r="C513" s="25" t="s">
        <v>2349</v>
      </c>
      <c r="D513" s="23" t="s">
        <v>2301</v>
      </c>
      <c r="E513" s="42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70">
        <v>46248</v>
      </c>
      <c r="X513" s="30" t="s">
        <v>55</v>
      </c>
      <c r="Y513" s="30" t="s">
        <v>56</v>
      </c>
      <c r="Z513" s="30" t="s">
        <v>57</v>
      </c>
      <c r="AA513" s="30" t="s">
        <v>58</v>
      </c>
      <c r="AB513" s="30" t="s">
        <v>56</v>
      </c>
      <c r="AC513" s="27"/>
      <c r="AD513" s="31" t="s">
        <v>57</v>
      </c>
      <c r="AE513" s="32" t="str">
        <f t="shared" si="37"/>
        <v>✓ OK</v>
      </c>
      <c r="AF513" s="33" t="s">
        <v>61</v>
      </c>
      <c r="AG513" s="33" t="s">
        <v>55</v>
      </c>
      <c r="AH513" s="33" t="s">
        <v>56</v>
      </c>
      <c r="AI513" s="33" t="s">
        <v>57</v>
      </c>
      <c r="AJ513" s="33" t="s">
        <v>58</v>
      </c>
      <c r="AK513" s="33" t="s">
        <v>56</v>
      </c>
      <c r="AL513" s="27"/>
      <c r="AM513" s="34" t="s">
        <v>57</v>
      </c>
      <c r="AN513" s="35" t="str">
        <f t="shared" si="38"/>
        <v>✓ OK</v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2350</v>
      </c>
      <c r="C514" s="41" t="s">
        <v>2351</v>
      </c>
      <c r="D514" s="39" t="s">
        <v>2301</v>
      </c>
      <c r="E514" s="42">
        <v>46129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70">
        <v>46248</v>
      </c>
      <c r="X514" s="30" t="s">
        <v>55</v>
      </c>
      <c r="Y514" s="30" t="s">
        <v>56</v>
      </c>
      <c r="Z514" s="30" t="s">
        <v>57</v>
      </c>
      <c r="AA514" s="30" t="s">
        <v>58</v>
      </c>
      <c r="AB514" s="30" t="s">
        <v>56</v>
      </c>
      <c r="AC514" s="27"/>
      <c r="AD514" s="31" t="s">
        <v>57</v>
      </c>
      <c r="AE514" s="32" t="str">
        <f t="shared" si="37"/>
        <v>✓ OK</v>
      </c>
      <c r="AF514" s="33" t="s">
        <v>61</v>
      </c>
      <c r="AG514" s="33" t="s">
        <v>55</v>
      </c>
      <c r="AH514" s="33" t="s">
        <v>56</v>
      </c>
      <c r="AI514" s="33" t="s">
        <v>57</v>
      </c>
      <c r="AJ514" s="33" t="s">
        <v>58</v>
      </c>
      <c r="AK514" s="33" t="s">
        <v>56</v>
      </c>
      <c r="AL514" s="27"/>
      <c r="AM514" s="34" t="s">
        <v>57</v>
      </c>
      <c r="AN514" s="35" t="str">
        <f t="shared" si="38"/>
        <v>✓ OK</v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2352</v>
      </c>
      <c r="C515" s="25" t="s">
        <v>2353</v>
      </c>
      <c r="D515" s="23" t="s">
        <v>2301</v>
      </c>
      <c r="E515" s="42">
        <v>46129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70">
        <v>46248</v>
      </c>
      <c r="X515" s="30" t="s">
        <v>55</v>
      </c>
      <c r="Y515" s="30" t="s">
        <v>56</v>
      </c>
      <c r="Z515" s="30" t="s">
        <v>57</v>
      </c>
      <c r="AA515" s="30" t="s">
        <v>58</v>
      </c>
      <c r="AB515" s="30" t="s">
        <v>56</v>
      </c>
      <c r="AC515" s="27"/>
      <c r="AD515" s="31" t="s">
        <v>57</v>
      </c>
      <c r="AE515" s="32" t="str">
        <f t="shared" si="37"/>
        <v>✓ OK</v>
      </c>
      <c r="AF515" s="33" t="s">
        <v>61</v>
      </c>
      <c r="AG515" s="33" t="s">
        <v>55</v>
      </c>
      <c r="AH515" s="33" t="s">
        <v>56</v>
      </c>
      <c r="AI515" s="33" t="s">
        <v>57</v>
      </c>
      <c r="AJ515" s="33" t="s">
        <v>58</v>
      </c>
      <c r="AK515" s="33" t="s">
        <v>56</v>
      </c>
      <c r="AL515" s="27"/>
      <c r="AM515" s="34" t="s">
        <v>57</v>
      </c>
      <c r="AN515" s="35" t="str">
        <f t="shared" si="38"/>
        <v>✓ OK</v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2354</v>
      </c>
      <c r="C516" s="41" t="s">
        <v>2355</v>
      </c>
      <c r="D516" s="39" t="s">
        <v>2301</v>
      </c>
      <c r="E516" s="42">
        <v>46129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70">
        <v>46248</v>
      </c>
      <c r="X516" s="30" t="s">
        <v>55</v>
      </c>
      <c r="Y516" s="30" t="s">
        <v>56</v>
      </c>
      <c r="Z516" s="30" t="s">
        <v>57</v>
      </c>
      <c r="AA516" s="30" t="s">
        <v>58</v>
      </c>
      <c r="AB516" s="30" t="s">
        <v>56</v>
      </c>
      <c r="AC516" s="27"/>
      <c r="AD516" s="31" t="s">
        <v>57</v>
      </c>
      <c r="AE516" s="32" t="str">
        <f t="shared" si="37"/>
        <v>✓ OK</v>
      </c>
      <c r="AF516" s="33" t="s">
        <v>61</v>
      </c>
      <c r="AG516" s="33" t="s">
        <v>55</v>
      </c>
      <c r="AH516" s="33" t="s">
        <v>56</v>
      </c>
      <c r="AI516" s="33" t="s">
        <v>57</v>
      </c>
      <c r="AJ516" s="33" t="s">
        <v>58</v>
      </c>
      <c r="AK516" s="33" t="s">
        <v>56</v>
      </c>
      <c r="AL516" s="27"/>
      <c r="AM516" s="34" t="s">
        <v>57</v>
      </c>
      <c r="AN516" s="35" t="str">
        <f t="shared" si="38"/>
        <v>✓ OK</v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2356</v>
      </c>
      <c r="C517" s="25" t="s">
        <v>2357</v>
      </c>
      <c r="D517" s="23" t="s">
        <v>2301</v>
      </c>
      <c r="E517" s="42">
        <v>46129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42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70">
        <v>46248</v>
      </c>
      <c r="X517" s="30" t="s">
        <v>55</v>
      </c>
      <c r="Y517" s="30" t="s">
        <v>56</v>
      </c>
      <c r="Z517" s="30" t="s">
        <v>57</v>
      </c>
      <c r="AA517" s="30" t="s">
        <v>58</v>
      </c>
      <c r="AB517" s="30" t="s">
        <v>56</v>
      </c>
      <c r="AC517" s="27"/>
      <c r="AD517" s="31" t="s">
        <v>57</v>
      </c>
      <c r="AE517" s="32" t="str">
        <f t="shared" ref="AE517:AE580" si="42">IF(W517="","",IF(Z517="Yes","❌ Disc",IF(Y517="No","⚠ Missing",IF(AB517="Yes","✓ OK","⚠ Check"))))</f>
        <v>✓ OK</v>
      </c>
      <c r="AF517" s="33" t="s">
        <v>61</v>
      </c>
      <c r="AG517" s="33" t="s">
        <v>55</v>
      </c>
      <c r="AH517" s="33" t="s">
        <v>56</v>
      </c>
      <c r="AI517" s="33" t="s">
        <v>57</v>
      </c>
      <c r="AJ517" s="33" t="s">
        <v>58</v>
      </c>
      <c r="AK517" s="33" t="s">
        <v>56</v>
      </c>
      <c r="AL517" s="27"/>
      <c r="AM517" s="34" t="s">
        <v>57</v>
      </c>
      <c r="AN517" s="35" t="str">
        <f t="shared" ref="AN517:AN580" si="43">IF(AF517="","",IF(AI517="Yes","❌ Disc",IF(AH517="No","⚠ Missing",IF(AK517="Yes","✓ OK","⚠ Check"))))</f>
        <v>✓ OK</v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2358</v>
      </c>
      <c r="C518" s="41" t="s">
        <v>2359</v>
      </c>
      <c r="D518" s="39" t="s">
        <v>2301</v>
      </c>
      <c r="E518" s="42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42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70">
        <v>46248</v>
      </c>
      <c r="X518" s="30" t="s">
        <v>55</v>
      </c>
      <c r="Y518" s="30" t="s">
        <v>56</v>
      </c>
      <c r="Z518" s="30" t="s">
        <v>57</v>
      </c>
      <c r="AA518" s="30" t="s">
        <v>58</v>
      </c>
      <c r="AB518" s="30" t="s">
        <v>56</v>
      </c>
      <c r="AC518" s="27"/>
      <c r="AD518" s="31" t="s">
        <v>57</v>
      </c>
      <c r="AE518" s="32" t="str">
        <f t="shared" si="42"/>
        <v>✓ OK</v>
      </c>
      <c r="AF518" s="33" t="s">
        <v>61</v>
      </c>
      <c r="AG518" s="33" t="s">
        <v>55</v>
      </c>
      <c r="AH518" s="33" t="s">
        <v>56</v>
      </c>
      <c r="AI518" s="33" t="s">
        <v>57</v>
      </c>
      <c r="AJ518" s="33" t="s">
        <v>58</v>
      </c>
      <c r="AK518" s="33" t="s">
        <v>56</v>
      </c>
      <c r="AL518" s="27"/>
      <c r="AM518" s="34" t="s">
        <v>57</v>
      </c>
      <c r="AN518" s="35" t="str">
        <f t="shared" si="43"/>
        <v>✓ OK</v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2360</v>
      </c>
      <c r="C519" s="25" t="s">
        <v>2361</v>
      </c>
      <c r="D519" s="23" t="s">
        <v>2301</v>
      </c>
      <c r="E519" s="42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42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70">
        <v>46248</v>
      </c>
      <c r="X519" s="30" t="s">
        <v>55</v>
      </c>
      <c r="Y519" s="30" t="s">
        <v>56</v>
      </c>
      <c r="Z519" s="30" t="s">
        <v>57</v>
      </c>
      <c r="AA519" s="30" t="s">
        <v>58</v>
      </c>
      <c r="AB519" s="30" t="s">
        <v>56</v>
      </c>
      <c r="AC519" s="27"/>
      <c r="AD519" s="31" t="s">
        <v>57</v>
      </c>
      <c r="AE519" s="32" t="str">
        <f t="shared" si="42"/>
        <v>✓ OK</v>
      </c>
      <c r="AF519" s="33" t="s">
        <v>61</v>
      </c>
      <c r="AG519" s="33" t="s">
        <v>55</v>
      </c>
      <c r="AH519" s="33" t="s">
        <v>56</v>
      </c>
      <c r="AI519" s="33" t="s">
        <v>57</v>
      </c>
      <c r="AJ519" s="33" t="s">
        <v>58</v>
      </c>
      <c r="AK519" s="33" t="s">
        <v>56</v>
      </c>
      <c r="AL519" s="27"/>
      <c r="AM519" s="34" t="s">
        <v>57</v>
      </c>
      <c r="AN519" s="35" t="str">
        <f t="shared" si="43"/>
        <v>✓ OK</v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2362</v>
      </c>
      <c r="C520" s="41" t="s">
        <v>2363</v>
      </c>
      <c r="D520" s="39" t="s">
        <v>2301</v>
      </c>
      <c r="E520" s="42">
        <v>46129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42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70">
        <v>46248</v>
      </c>
      <c r="X520" s="30" t="s">
        <v>55</v>
      </c>
      <c r="Y520" s="30" t="s">
        <v>56</v>
      </c>
      <c r="Z520" s="30" t="s">
        <v>57</v>
      </c>
      <c r="AA520" s="30" t="s">
        <v>58</v>
      </c>
      <c r="AB520" s="30" t="s">
        <v>56</v>
      </c>
      <c r="AC520" s="27"/>
      <c r="AD520" s="31" t="s">
        <v>57</v>
      </c>
      <c r="AE520" s="32" t="str">
        <f t="shared" si="42"/>
        <v>✓ OK</v>
      </c>
      <c r="AF520" s="33" t="s">
        <v>61</v>
      </c>
      <c r="AG520" s="33" t="s">
        <v>55</v>
      </c>
      <c r="AH520" s="33" t="s">
        <v>56</v>
      </c>
      <c r="AI520" s="33" t="s">
        <v>57</v>
      </c>
      <c r="AJ520" s="33" t="s">
        <v>58</v>
      </c>
      <c r="AK520" s="33" t="s">
        <v>56</v>
      </c>
      <c r="AL520" s="27"/>
      <c r="AM520" s="34" t="s">
        <v>57</v>
      </c>
      <c r="AN520" s="35" t="str">
        <f t="shared" si="43"/>
        <v>✓ OK</v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2364</v>
      </c>
      <c r="C521" s="25" t="s">
        <v>2365</v>
      </c>
      <c r="D521" s="23" t="s">
        <v>2301</v>
      </c>
      <c r="E521" s="42">
        <v>46129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42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70">
        <v>46248</v>
      </c>
      <c r="X521" s="30" t="s">
        <v>55</v>
      </c>
      <c r="Y521" s="30" t="s">
        <v>56</v>
      </c>
      <c r="Z521" s="30" t="s">
        <v>57</v>
      </c>
      <c r="AA521" s="30" t="s">
        <v>58</v>
      </c>
      <c r="AB521" s="30" t="s">
        <v>56</v>
      </c>
      <c r="AC521" s="27"/>
      <c r="AD521" s="31" t="s">
        <v>57</v>
      </c>
      <c r="AE521" s="32" t="str">
        <f t="shared" si="42"/>
        <v>✓ OK</v>
      </c>
      <c r="AF521" s="33" t="s">
        <v>61</v>
      </c>
      <c r="AG521" s="33" t="s">
        <v>55</v>
      </c>
      <c r="AH521" s="33" t="s">
        <v>56</v>
      </c>
      <c r="AI521" s="33" t="s">
        <v>57</v>
      </c>
      <c r="AJ521" s="33" t="s">
        <v>58</v>
      </c>
      <c r="AK521" s="33" t="s">
        <v>56</v>
      </c>
      <c r="AL521" s="27"/>
      <c r="AM521" s="34" t="s">
        <v>57</v>
      </c>
      <c r="AN521" s="35" t="str">
        <f t="shared" si="43"/>
        <v>✓ OK</v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2366</v>
      </c>
      <c r="C522" s="41" t="s">
        <v>2367</v>
      </c>
      <c r="D522" s="39" t="s">
        <v>2301</v>
      </c>
      <c r="E522" s="42">
        <v>46129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42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70">
        <v>46248</v>
      </c>
      <c r="X522" s="30" t="s">
        <v>55</v>
      </c>
      <c r="Y522" s="30" t="s">
        <v>56</v>
      </c>
      <c r="Z522" s="30" t="s">
        <v>57</v>
      </c>
      <c r="AA522" s="30" t="s">
        <v>58</v>
      </c>
      <c r="AB522" s="30" t="s">
        <v>56</v>
      </c>
      <c r="AC522" s="27"/>
      <c r="AD522" s="31" t="s">
        <v>57</v>
      </c>
      <c r="AE522" s="32" t="str">
        <f t="shared" si="42"/>
        <v>✓ OK</v>
      </c>
      <c r="AF522" s="33" t="s">
        <v>61</v>
      </c>
      <c r="AG522" s="33" t="s">
        <v>55</v>
      </c>
      <c r="AH522" s="33" t="s">
        <v>56</v>
      </c>
      <c r="AI522" s="33" t="s">
        <v>57</v>
      </c>
      <c r="AJ522" s="33" t="s">
        <v>58</v>
      </c>
      <c r="AK522" s="33" t="s">
        <v>56</v>
      </c>
      <c r="AL522" s="27"/>
      <c r="AM522" s="34" t="s">
        <v>57</v>
      </c>
      <c r="AN522" s="35" t="str">
        <f t="shared" si="43"/>
        <v>✓ OK</v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2368</v>
      </c>
      <c r="C523" s="25" t="s">
        <v>2369</v>
      </c>
      <c r="D523" s="23" t="s">
        <v>2301</v>
      </c>
      <c r="E523" s="42">
        <v>46129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42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70">
        <v>46248</v>
      </c>
      <c r="X523" s="30" t="s">
        <v>55</v>
      </c>
      <c r="Y523" s="30" t="s">
        <v>56</v>
      </c>
      <c r="Z523" s="30" t="s">
        <v>57</v>
      </c>
      <c r="AA523" s="30" t="s">
        <v>58</v>
      </c>
      <c r="AB523" s="30" t="s">
        <v>56</v>
      </c>
      <c r="AC523" s="27"/>
      <c r="AD523" s="31" t="s">
        <v>57</v>
      </c>
      <c r="AE523" s="32" t="str">
        <f t="shared" si="42"/>
        <v>✓ OK</v>
      </c>
      <c r="AF523" s="33" t="s">
        <v>61</v>
      </c>
      <c r="AG523" s="33" t="s">
        <v>55</v>
      </c>
      <c r="AH523" s="33" t="s">
        <v>56</v>
      </c>
      <c r="AI523" s="33" t="s">
        <v>57</v>
      </c>
      <c r="AJ523" s="33" t="s">
        <v>58</v>
      </c>
      <c r="AK523" s="33" t="s">
        <v>56</v>
      </c>
      <c r="AL523" s="27"/>
      <c r="AM523" s="34" t="s">
        <v>57</v>
      </c>
      <c r="AN523" s="35" t="str">
        <f t="shared" si="43"/>
        <v>✓ OK</v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2370</v>
      </c>
      <c r="C524" s="41" t="s">
        <v>2371</v>
      </c>
      <c r="D524" s="39" t="s">
        <v>2301</v>
      </c>
      <c r="E524" s="42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42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70">
        <v>46248</v>
      </c>
      <c r="X524" s="30" t="s">
        <v>55</v>
      </c>
      <c r="Y524" s="30" t="s">
        <v>56</v>
      </c>
      <c r="Z524" s="30" t="s">
        <v>57</v>
      </c>
      <c r="AA524" s="30" t="s">
        <v>58</v>
      </c>
      <c r="AB524" s="30" t="s">
        <v>56</v>
      </c>
      <c r="AC524" s="27"/>
      <c r="AD524" s="31" t="s">
        <v>57</v>
      </c>
      <c r="AE524" s="32" t="str">
        <f t="shared" si="42"/>
        <v>✓ OK</v>
      </c>
      <c r="AF524" s="33" t="s">
        <v>61</v>
      </c>
      <c r="AG524" s="33" t="s">
        <v>55</v>
      </c>
      <c r="AH524" s="33" t="s">
        <v>56</v>
      </c>
      <c r="AI524" s="33" t="s">
        <v>57</v>
      </c>
      <c r="AJ524" s="33" t="s">
        <v>58</v>
      </c>
      <c r="AK524" s="33" t="s">
        <v>56</v>
      </c>
      <c r="AL524" s="27"/>
      <c r="AM524" s="34" t="s">
        <v>57</v>
      </c>
      <c r="AN524" s="35" t="str">
        <f t="shared" si="43"/>
        <v>✓ OK</v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2372</v>
      </c>
      <c r="C525" s="25" t="s">
        <v>2373</v>
      </c>
      <c r="D525" s="23" t="s">
        <v>2301</v>
      </c>
      <c r="E525" s="42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42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70">
        <v>46248</v>
      </c>
      <c r="X525" s="30" t="s">
        <v>55</v>
      </c>
      <c r="Y525" s="30" t="s">
        <v>56</v>
      </c>
      <c r="Z525" s="30" t="s">
        <v>57</v>
      </c>
      <c r="AA525" s="30" t="s">
        <v>58</v>
      </c>
      <c r="AB525" s="30" t="s">
        <v>56</v>
      </c>
      <c r="AC525" s="27"/>
      <c r="AD525" s="31" t="s">
        <v>57</v>
      </c>
      <c r="AE525" s="32" t="str">
        <f t="shared" si="42"/>
        <v>✓ OK</v>
      </c>
      <c r="AF525" s="33" t="s">
        <v>61</v>
      </c>
      <c r="AG525" s="33" t="s">
        <v>55</v>
      </c>
      <c r="AH525" s="33" t="s">
        <v>56</v>
      </c>
      <c r="AI525" s="33" t="s">
        <v>57</v>
      </c>
      <c r="AJ525" s="33" t="s">
        <v>58</v>
      </c>
      <c r="AK525" s="33" t="s">
        <v>56</v>
      </c>
      <c r="AL525" s="27"/>
      <c r="AM525" s="34" t="s">
        <v>57</v>
      </c>
      <c r="AN525" s="35" t="str">
        <f t="shared" si="43"/>
        <v>✓ OK</v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2374</v>
      </c>
      <c r="C526" s="41" t="s">
        <v>2375</v>
      </c>
      <c r="D526" s="39" t="s">
        <v>2301</v>
      </c>
      <c r="E526" s="42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42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70">
        <v>46248</v>
      </c>
      <c r="X526" s="30" t="s">
        <v>55</v>
      </c>
      <c r="Y526" s="30" t="s">
        <v>56</v>
      </c>
      <c r="Z526" s="30" t="s">
        <v>57</v>
      </c>
      <c r="AA526" s="30" t="s">
        <v>58</v>
      </c>
      <c r="AB526" s="30" t="s">
        <v>56</v>
      </c>
      <c r="AC526" s="27"/>
      <c r="AD526" s="31" t="s">
        <v>57</v>
      </c>
      <c r="AE526" s="32" t="str">
        <f t="shared" si="42"/>
        <v>✓ OK</v>
      </c>
      <c r="AF526" s="33" t="s">
        <v>61</v>
      </c>
      <c r="AG526" s="33" t="s">
        <v>55</v>
      </c>
      <c r="AH526" s="33" t="s">
        <v>56</v>
      </c>
      <c r="AI526" s="33" t="s">
        <v>57</v>
      </c>
      <c r="AJ526" s="33" t="s">
        <v>58</v>
      </c>
      <c r="AK526" s="33" t="s">
        <v>56</v>
      </c>
      <c r="AL526" s="27"/>
      <c r="AM526" s="34" t="s">
        <v>57</v>
      </c>
      <c r="AN526" s="35" t="str">
        <f t="shared" si="43"/>
        <v>✓ OK</v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2376</v>
      </c>
      <c r="C527" s="25" t="s">
        <v>2377</v>
      </c>
      <c r="D527" s="23" t="s">
        <v>2301</v>
      </c>
      <c r="E527" s="42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42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70">
        <v>46248</v>
      </c>
      <c r="X527" s="30" t="s">
        <v>55</v>
      </c>
      <c r="Y527" s="30" t="s">
        <v>56</v>
      </c>
      <c r="Z527" s="30" t="s">
        <v>57</v>
      </c>
      <c r="AA527" s="30" t="s">
        <v>58</v>
      </c>
      <c r="AB527" s="30" t="s">
        <v>56</v>
      </c>
      <c r="AC527" s="27"/>
      <c r="AD527" s="31" t="s">
        <v>57</v>
      </c>
      <c r="AE527" s="32" t="str">
        <f t="shared" si="42"/>
        <v>✓ OK</v>
      </c>
      <c r="AF527" s="33" t="s">
        <v>61</v>
      </c>
      <c r="AG527" s="33" t="s">
        <v>55</v>
      </c>
      <c r="AH527" s="33" t="s">
        <v>56</v>
      </c>
      <c r="AI527" s="33" t="s">
        <v>57</v>
      </c>
      <c r="AJ527" s="33" t="s">
        <v>58</v>
      </c>
      <c r="AK527" s="33" t="s">
        <v>56</v>
      </c>
      <c r="AL527" s="27"/>
      <c r="AM527" s="34" t="s">
        <v>57</v>
      </c>
      <c r="AN527" s="35" t="str">
        <f t="shared" si="43"/>
        <v>✓ OK</v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2378</v>
      </c>
      <c r="C528" s="41" t="s">
        <v>2379</v>
      </c>
      <c r="D528" s="39" t="s">
        <v>2301</v>
      </c>
      <c r="E528" s="42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42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70">
        <v>46248</v>
      </c>
      <c r="X528" s="30" t="s">
        <v>55</v>
      </c>
      <c r="Y528" s="30" t="s">
        <v>56</v>
      </c>
      <c r="Z528" s="30" t="s">
        <v>57</v>
      </c>
      <c r="AA528" s="30" t="s">
        <v>58</v>
      </c>
      <c r="AB528" s="30" t="s">
        <v>56</v>
      </c>
      <c r="AC528" s="27"/>
      <c r="AD528" s="31" t="s">
        <v>57</v>
      </c>
      <c r="AE528" s="32" t="str">
        <f t="shared" si="42"/>
        <v>✓ OK</v>
      </c>
      <c r="AF528" s="33" t="s">
        <v>61</v>
      </c>
      <c r="AG528" s="33" t="s">
        <v>55</v>
      </c>
      <c r="AH528" s="33" t="s">
        <v>56</v>
      </c>
      <c r="AI528" s="33" t="s">
        <v>57</v>
      </c>
      <c r="AJ528" s="33" t="s">
        <v>58</v>
      </c>
      <c r="AK528" s="33" t="s">
        <v>56</v>
      </c>
      <c r="AL528" s="27"/>
      <c r="AM528" s="34" t="s">
        <v>57</v>
      </c>
      <c r="AN528" s="35" t="str">
        <f t="shared" si="43"/>
        <v>✓ OK</v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2380</v>
      </c>
      <c r="C529" s="25" t="s">
        <v>2381</v>
      </c>
      <c r="D529" s="23" t="s">
        <v>2301</v>
      </c>
      <c r="E529" s="42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42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70">
        <v>46248</v>
      </c>
      <c r="X529" s="30" t="s">
        <v>55</v>
      </c>
      <c r="Y529" s="30" t="s">
        <v>56</v>
      </c>
      <c r="Z529" s="30" t="s">
        <v>57</v>
      </c>
      <c r="AA529" s="30" t="s">
        <v>58</v>
      </c>
      <c r="AB529" s="30" t="s">
        <v>56</v>
      </c>
      <c r="AC529" s="27"/>
      <c r="AD529" s="31" t="s">
        <v>57</v>
      </c>
      <c r="AE529" s="32" t="str">
        <f t="shared" si="42"/>
        <v>✓ OK</v>
      </c>
      <c r="AF529" s="33" t="s">
        <v>61</v>
      </c>
      <c r="AG529" s="33" t="s">
        <v>55</v>
      </c>
      <c r="AH529" s="33" t="s">
        <v>56</v>
      </c>
      <c r="AI529" s="33" t="s">
        <v>57</v>
      </c>
      <c r="AJ529" s="33" t="s">
        <v>58</v>
      </c>
      <c r="AK529" s="33" t="s">
        <v>56</v>
      </c>
      <c r="AL529" s="27"/>
      <c r="AM529" s="34" t="s">
        <v>57</v>
      </c>
      <c r="AN529" s="35" t="str">
        <f t="shared" si="43"/>
        <v>✓ OK</v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2382</v>
      </c>
      <c r="C530" s="41" t="s">
        <v>2383</v>
      </c>
      <c r="D530" s="39" t="s">
        <v>2301</v>
      </c>
      <c r="E530" s="42">
        <v>46129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42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70">
        <v>46248</v>
      </c>
      <c r="X530" s="30" t="s">
        <v>55</v>
      </c>
      <c r="Y530" s="30" t="s">
        <v>56</v>
      </c>
      <c r="Z530" s="30" t="s">
        <v>57</v>
      </c>
      <c r="AA530" s="30" t="s">
        <v>58</v>
      </c>
      <c r="AB530" s="30" t="s">
        <v>56</v>
      </c>
      <c r="AC530" s="27"/>
      <c r="AD530" s="31" t="s">
        <v>57</v>
      </c>
      <c r="AE530" s="32" t="str">
        <f t="shared" si="42"/>
        <v>✓ OK</v>
      </c>
      <c r="AF530" s="33" t="s">
        <v>61</v>
      </c>
      <c r="AG530" s="33" t="s">
        <v>55</v>
      </c>
      <c r="AH530" s="33" t="s">
        <v>56</v>
      </c>
      <c r="AI530" s="33" t="s">
        <v>57</v>
      </c>
      <c r="AJ530" s="33" t="s">
        <v>58</v>
      </c>
      <c r="AK530" s="33" t="s">
        <v>56</v>
      </c>
      <c r="AL530" s="27"/>
      <c r="AM530" s="34" t="s">
        <v>57</v>
      </c>
      <c r="AN530" s="35" t="str">
        <f t="shared" si="43"/>
        <v>✓ OK</v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2384</v>
      </c>
      <c r="C531" s="25" t="s">
        <v>2385</v>
      </c>
      <c r="D531" s="23" t="s">
        <v>2301</v>
      </c>
      <c r="E531" s="42">
        <v>46129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42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70">
        <v>46248</v>
      </c>
      <c r="X531" s="30" t="s">
        <v>55</v>
      </c>
      <c r="Y531" s="30" t="s">
        <v>56</v>
      </c>
      <c r="Z531" s="30" t="s">
        <v>57</v>
      </c>
      <c r="AA531" s="30" t="s">
        <v>58</v>
      </c>
      <c r="AB531" s="30" t="s">
        <v>56</v>
      </c>
      <c r="AC531" s="27"/>
      <c r="AD531" s="31" t="s">
        <v>57</v>
      </c>
      <c r="AE531" s="32" t="str">
        <f t="shared" si="42"/>
        <v>✓ OK</v>
      </c>
      <c r="AF531" s="33" t="s">
        <v>61</v>
      </c>
      <c r="AG531" s="33" t="s">
        <v>55</v>
      </c>
      <c r="AH531" s="33" t="s">
        <v>56</v>
      </c>
      <c r="AI531" s="33" t="s">
        <v>57</v>
      </c>
      <c r="AJ531" s="33" t="s">
        <v>58</v>
      </c>
      <c r="AK531" s="33" t="s">
        <v>56</v>
      </c>
      <c r="AL531" s="27"/>
      <c r="AM531" s="34" t="s">
        <v>57</v>
      </c>
      <c r="AN531" s="35" t="str">
        <f t="shared" si="43"/>
        <v>✓ OK</v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2386</v>
      </c>
      <c r="C532" s="41" t="s">
        <v>2387</v>
      </c>
      <c r="D532" s="39" t="s">
        <v>2301</v>
      </c>
      <c r="E532" s="42">
        <v>46132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42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70">
        <v>46248</v>
      </c>
      <c r="X532" s="30" t="s">
        <v>55</v>
      </c>
      <c r="Y532" s="30" t="s">
        <v>56</v>
      </c>
      <c r="Z532" s="30" t="s">
        <v>57</v>
      </c>
      <c r="AA532" s="30" t="s">
        <v>58</v>
      </c>
      <c r="AB532" s="30" t="s">
        <v>56</v>
      </c>
      <c r="AC532" s="27"/>
      <c r="AD532" s="31" t="s">
        <v>57</v>
      </c>
      <c r="AE532" s="32" t="str">
        <f t="shared" si="42"/>
        <v>✓ OK</v>
      </c>
      <c r="AF532" s="33" t="s">
        <v>61</v>
      </c>
      <c r="AG532" s="33" t="s">
        <v>55</v>
      </c>
      <c r="AH532" s="33" t="s">
        <v>56</v>
      </c>
      <c r="AI532" s="33" t="s">
        <v>57</v>
      </c>
      <c r="AJ532" s="33" t="s">
        <v>58</v>
      </c>
      <c r="AK532" s="33" t="s">
        <v>56</v>
      </c>
      <c r="AL532" s="27"/>
      <c r="AM532" s="34" t="s">
        <v>57</v>
      </c>
      <c r="AN532" s="35" t="str">
        <f t="shared" si="43"/>
        <v>✓ OK</v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2388</v>
      </c>
      <c r="C533" s="25" t="s">
        <v>2389</v>
      </c>
      <c r="D533" s="23" t="s">
        <v>2301</v>
      </c>
      <c r="E533" s="42">
        <v>46132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42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70">
        <v>46248</v>
      </c>
      <c r="X533" s="30" t="s">
        <v>55</v>
      </c>
      <c r="Y533" s="30" t="s">
        <v>56</v>
      </c>
      <c r="Z533" s="30" t="s">
        <v>57</v>
      </c>
      <c r="AA533" s="30" t="s">
        <v>58</v>
      </c>
      <c r="AB533" s="30" t="s">
        <v>56</v>
      </c>
      <c r="AC533" s="27"/>
      <c r="AD533" s="31" t="s">
        <v>57</v>
      </c>
      <c r="AE533" s="32" t="str">
        <f t="shared" si="42"/>
        <v>✓ OK</v>
      </c>
      <c r="AF533" s="33" t="s">
        <v>61</v>
      </c>
      <c r="AG533" s="33" t="s">
        <v>55</v>
      </c>
      <c r="AH533" s="33" t="s">
        <v>56</v>
      </c>
      <c r="AI533" s="33" t="s">
        <v>57</v>
      </c>
      <c r="AJ533" s="33" t="s">
        <v>58</v>
      </c>
      <c r="AK533" s="33" t="s">
        <v>56</v>
      </c>
      <c r="AL533" s="27"/>
      <c r="AM533" s="34" t="s">
        <v>57</v>
      </c>
      <c r="AN533" s="35" t="str">
        <f t="shared" si="43"/>
        <v>✓ OK</v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2390</v>
      </c>
      <c r="C534" s="41" t="s">
        <v>2391</v>
      </c>
      <c r="D534" s="39" t="s">
        <v>2301</v>
      </c>
      <c r="E534" s="42">
        <v>46129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42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70">
        <v>46248</v>
      </c>
      <c r="X534" s="30" t="s">
        <v>55</v>
      </c>
      <c r="Y534" s="30" t="s">
        <v>56</v>
      </c>
      <c r="Z534" s="30" t="s">
        <v>57</v>
      </c>
      <c r="AA534" s="30" t="s">
        <v>58</v>
      </c>
      <c r="AB534" s="30" t="s">
        <v>56</v>
      </c>
      <c r="AC534" s="27"/>
      <c r="AD534" s="31" t="s">
        <v>57</v>
      </c>
      <c r="AE534" s="32" t="str">
        <f t="shared" si="42"/>
        <v>✓ OK</v>
      </c>
      <c r="AF534" s="33" t="s">
        <v>61</v>
      </c>
      <c r="AG534" s="33" t="s">
        <v>55</v>
      </c>
      <c r="AH534" s="33" t="s">
        <v>56</v>
      </c>
      <c r="AI534" s="33" t="s">
        <v>57</v>
      </c>
      <c r="AJ534" s="33" t="s">
        <v>58</v>
      </c>
      <c r="AK534" s="33" t="s">
        <v>56</v>
      </c>
      <c r="AL534" s="27"/>
      <c r="AM534" s="34" t="s">
        <v>57</v>
      </c>
      <c r="AN534" s="35" t="str">
        <f t="shared" si="43"/>
        <v>✓ OK</v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2392</v>
      </c>
      <c r="C535" s="25" t="s">
        <v>2393</v>
      </c>
      <c r="D535" s="23" t="s">
        <v>2301</v>
      </c>
      <c r="E535" s="42">
        <v>46129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42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70">
        <v>46248</v>
      </c>
      <c r="X535" s="30" t="s">
        <v>55</v>
      </c>
      <c r="Y535" s="30" t="s">
        <v>56</v>
      </c>
      <c r="Z535" s="30" t="s">
        <v>57</v>
      </c>
      <c r="AA535" s="30" t="s">
        <v>58</v>
      </c>
      <c r="AB535" s="30" t="s">
        <v>56</v>
      </c>
      <c r="AC535" s="27"/>
      <c r="AD535" s="31" t="s">
        <v>57</v>
      </c>
      <c r="AE535" s="32" t="str">
        <f t="shared" si="42"/>
        <v>✓ OK</v>
      </c>
      <c r="AF535" s="33" t="s">
        <v>61</v>
      </c>
      <c r="AG535" s="33" t="s">
        <v>55</v>
      </c>
      <c r="AH535" s="33" t="s">
        <v>56</v>
      </c>
      <c r="AI535" s="33" t="s">
        <v>57</v>
      </c>
      <c r="AJ535" s="33" t="s">
        <v>58</v>
      </c>
      <c r="AK535" s="33" t="s">
        <v>56</v>
      </c>
      <c r="AL535" s="27"/>
      <c r="AM535" s="34" t="s">
        <v>57</v>
      </c>
      <c r="AN535" s="35" t="str">
        <f t="shared" si="43"/>
        <v>✓ OK</v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2394</v>
      </c>
      <c r="C536" s="41" t="s">
        <v>2395</v>
      </c>
      <c r="D536" s="39" t="s">
        <v>2301</v>
      </c>
      <c r="E536" s="42">
        <v>46129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42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70">
        <v>46248</v>
      </c>
      <c r="X536" s="30" t="s">
        <v>55</v>
      </c>
      <c r="Y536" s="30" t="s">
        <v>56</v>
      </c>
      <c r="Z536" s="30" t="s">
        <v>57</v>
      </c>
      <c r="AA536" s="30" t="s">
        <v>58</v>
      </c>
      <c r="AB536" s="30" t="s">
        <v>56</v>
      </c>
      <c r="AC536" s="27"/>
      <c r="AD536" s="31" t="s">
        <v>57</v>
      </c>
      <c r="AE536" s="32" t="str">
        <f t="shared" si="42"/>
        <v>✓ OK</v>
      </c>
      <c r="AF536" s="33" t="s">
        <v>61</v>
      </c>
      <c r="AG536" s="33" t="s">
        <v>55</v>
      </c>
      <c r="AH536" s="33" t="s">
        <v>56</v>
      </c>
      <c r="AI536" s="33" t="s">
        <v>57</v>
      </c>
      <c r="AJ536" s="33" t="s">
        <v>58</v>
      </c>
      <c r="AK536" s="33" t="s">
        <v>56</v>
      </c>
      <c r="AL536" s="27"/>
      <c r="AM536" s="34" t="s">
        <v>57</v>
      </c>
      <c r="AN536" s="35" t="str">
        <f t="shared" si="43"/>
        <v>✓ OK</v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2396</v>
      </c>
      <c r="C537" s="25" t="s">
        <v>2397</v>
      </c>
      <c r="D537" s="23" t="s">
        <v>2301</v>
      </c>
      <c r="E537" s="42">
        <v>46129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42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70">
        <v>46248</v>
      </c>
      <c r="X537" s="30" t="s">
        <v>55</v>
      </c>
      <c r="Y537" s="30" t="s">
        <v>56</v>
      </c>
      <c r="Z537" s="30" t="s">
        <v>57</v>
      </c>
      <c r="AA537" s="30" t="s">
        <v>58</v>
      </c>
      <c r="AB537" s="30" t="s">
        <v>56</v>
      </c>
      <c r="AC537" s="27"/>
      <c r="AD537" s="31" t="s">
        <v>57</v>
      </c>
      <c r="AE537" s="32" t="str">
        <f t="shared" si="42"/>
        <v>✓ OK</v>
      </c>
      <c r="AF537" s="33" t="s">
        <v>61</v>
      </c>
      <c r="AG537" s="33" t="s">
        <v>55</v>
      </c>
      <c r="AH537" s="33" t="s">
        <v>56</v>
      </c>
      <c r="AI537" s="33" t="s">
        <v>57</v>
      </c>
      <c r="AJ537" s="33" t="s">
        <v>58</v>
      </c>
      <c r="AK537" s="33" t="s">
        <v>56</v>
      </c>
      <c r="AL537" s="27"/>
      <c r="AM537" s="34" t="s">
        <v>57</v>
      </c>
      <c r="AN537" s="35" t="str">
        <f t="shared" si="43"/>
        <v>✓ OK</v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2398</v>
      </c>
      <c r="C538" s="41" t="s">
        <v>2399</v>
      </c>
      <c r="D538" s="39" t="s">
        <v>2301</v>
      </c>
      <c r="E538" s="42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42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70">
        <v>46248</v>
      </c>
      <c r="X538" s="30" t="s">
        <v>55</v>
      </c>
      <c r="Y538" s="30" t="s">
        <v>56</v>
      </c>
      <c r="Z538" s="30" t="s">
        <v>57</v>
      </c>
      <c r="AA538" s="30" t="s">
        <v>58</v>
      </c>
      <c r="AB538" s="30" t="s">
        <v>56</v>
      </c>
      <c r="AC538" s="27"/>
      <c r="AD538" s="31" t="s">
        <v>57</v>
      </c>
      <c r="AE538" s="32" t="str">
        <f t="shared" si="42"/>
        <v>✓ OK</v>
      </c>
      <c r="AF538" s="33" t="s">
        <v>61</v>
      </c>
      <c r="AG538" s="33" t="s">
        <v>55</v>
      </c>
      <c r="AH538" s="33" t="s">
        <v>56</v>
      </c>
      <c r="AI538" s="33" t="s">
        <v>57</v>
      </c>
      <c r="AJ538" s="33" t="s">
        <v>58</v>
      </c>
      <c r="AK538" s="33" t="s">
        <v>56</v>
      </c>
      <c r="AL538" s="27"/>
      <c r="AM538" s="34" t="s">
        <v>57</v>
      </c>
      <c r="AN538" s="35" t="str">
        <f t="shared" si="43"/>
        <v>✓ OK</v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2400</v>
      </c>
      <c r="C539" s="25" t="s">
        <v>2401</v>
      </c>
      <c r="D539" s="23" t="s">
        <v>2301</v>
      </c>
      <c r="E539" s="42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42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70">
        <v>46248</v>
      </c>
      <c r="X539" s="30" t="s">
        <v>55</v>
      </c>
      <c r="Y539" s="30" t="s">
        <v>56</v>
      </c>
      <c r="Z539" s="30" t="s">
        <v>57</v>
      </c>
      <c r="AA539" s="30" t="s">
        <v>58</v>
      </c>
      <c r="AB539" s="30" t="s">
        <v>56</v>
      </c>
      <c r="AC539" s="27"/>
      <c r="AD539" s="31" t="s">
        <v>57</v>
      </c>
      <c r="AE539" s="32" t="str">
        <f t="shared" si="42"/>
        <v>✓ OK</v>
      </c>
      <c r="AF539" s="33" t="s">
        <v>61</v>
      </c>
      <c r="AG539" s="33" t="s">
        <v>55</v>
      </c>
      <c r="AH539" s="33" t="s">
        <v>56</v>
      </c>
      <c r="AI539" s="33" t="s">
        <v>57</v>
      </c>
      <c r="AJ539" s="33" t="s">
        <v>58</v>
      </c>
      <c r="AK539" s="33" t="s">
        <v>56</v>
      </c>
      <c r="AL539" s="27"/>
      <c r="AM539" s="34" t="s">
        <v>57</v>
      </c>
      <c r="AN539" s="35" t="str">
        <f t="shared" si="43"/>
        <v>✓ OK</v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2402</v>
      </c>
      <c r="C540" s="41" t="s">
        <v>2403</v>
      </c>
      <c r="D540" s="39" t="s">
        <v>2301</v>
      </c>
      <c r="E540" s="42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42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70">
        <v>46248</v>
      </c>
      <c r="X540" s="30" t="s">
        <v>55</v>
      </c>
      <c r="Y540" s="30" t="s">
        <v>56</v>
      </c>
      <c r="Z540" s="30" t="s">
        <v>57</v>
      </c>
      <c r="AA540" s="30" t="s">
        <v>58</v>
      </c>
      <c r="AB540" s="30" t="s">
        <v>56</v>
      </c>
      <c r="AC540" s="27"/>
      <c r="AD540" s="31" t="s">
        <v>57</v>
      </c>
      <c r="AE540" s="32" t="str">
        <f t="shared" si="42"/>
        <v>✓ OK</v>
      </c>
      <c r="AF540" s="33" t="s">
        <v>61</v>
      </c>
      <c r="AG540" s="33" t="s">
        <v>55</v>
      </c>
      <c r="AH540" s="33" t="s">
        <v>56</v>
      </c>
      <c r="AI540" s="33" t="s">
        <v>57</v>
      </c>
      <c r="AJ540" s="33" t="s">
        <v>58</v>
      </c>
      <c r="AK540" s="33" t="s">
        <v>56</v>
      </c>
      <c r="AL540" s="27"/>
      <c r="AM540" s="34" t="s">
        <v>57</v>
      </c>
      <c r="AN540" s="35" t="str">
        <f t="shared" si="43"/>
        <v>✓ OK</v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2404</v>
      </c>
      <c r="C541" s="25" t="s">
        <v>2405</v>
      </c>
      <c r="D541" s="23" t="s">
        <v>2301</v>
      </c>
      <c r="E541" s="42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42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70">
        <v>46248</v>
      </c>
      <c r="X541" s="30" t="s">
        <v>55</v>
      </c>
      <c r="Y541" s="30" t="s">
        <v>56</v>
      </c>
      <c r="Z541" s="30" t="s">
        <v>57</v>
      </c>
      <c r="AA541" s="30" t="s">
        <v>58</v>
      </c>
      <c r="AB541" s="30" t="s">
        <v>56</v>
      </c>
      <c r="AC541" s="27"/>
      <c r="AD541" s="31" t="s">
        <v>57</v>
      </c>
      <c r="AE541" s="32" t="str">
        <f t="shared" si="42"/>
        <v>✓ OK</v>
      </c>
      <c r="AF541" s="33" t="s">
        <v>61</v>
      </c>
      <c r="AG541" s="33" t="s">
        <v>55</v>
      </c>
      <c r="AH541" s="33" t="s">
        <v>56</v>
      </c>
      <c r="AI541" s="33" t="s">
        <v>57</v>
      </c>
      <c r="AJ541" s="33" t="s">
        <v>58</v>
      </c>
      <c r="AK541" s="33" t="s">
        <v>56</v>
      </c>
      <c r="AL541" s="27"/>
      <c r="AM541" s="34" t="s">
        <v>57</v>
      </c>
      <c r="AN541" s="35" t="str">
        <f t="shared" si="43"/>
        <v>✓ OK</v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2406</v>
      </c>
      <c r="C542" s="41" t="s">
        <v>2407</v>
      </c>
      <c r="D542" s="39" t="s">
        <v>2301</v>
      </c>
      <c r="E542" s="42">
        <v>46129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42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70">
        <v>46248</v>
      </c>
      <c r="X542" s="30" t="s">
        <v>55</v>
      </c>
      <c r="Y542" s="30" t="s">
        <v>56</v>
      </c>
      <c r="Z542" s="30" t="s">
        <v>57</v>
      </c>
      <c r="AA542" s="30" t="s">
        <v>58</v>
      </c>
      <c r="AB542" s="30" t="s">
        <v>56</v>
      </c>
      <c r="AC542" s="27"/>
      <c r="AD542" s="31" t="s">
        <v>57</v>
      </c>
      <c r="AE542" s="32" t="str">
        <f t="shared" si="42"/>
        <v>✓ OK</v>
      </c>
      <c r="AF542" s="33" t="s">
        <v>61</v>
      </c>
      <c r="AG542" s="33" t="s">
        <v>55</v>
      </c>
      <c r="AH542" s="33" t="s">
        <v>56</v>
      </c>
      <c r="AI542" s="33" t="s">
        <v>57</v>
      </c>
      <c r="AJ542" s="33" t="s">
        <v>58</v>
      </c>
      <c r="AK542" s="33" t="s">
        <v>56</v>
      </c>
      <c r="AL542" s="27"/>
      <c r="AM542" s="34" t="s">
        <v>57</v>
      </c>
      <c r="AN542" s="35" t="str">
        <f t="shared" si="43"/>
        <v>✓ OK</v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2408</v>
      </c>
      <c r="C543" s="25" t="s">
        <v>2409</v>
      </c>
      <c r="D543" s="23" t="s">
        <v>2301</v>
      </c>
      <c r="E543" s="42">
        <v>46129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42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70">
        <v>46248</v>
      </c>
      <c r="X543" s="30" t="s">
        <v>55</v>
      </c>
      <c r="Y543" s="30" t="s">
        <v>56</v>
      </c>
      <c r="Z543" s="30" t="s">
        <v>57</v>
      </c>
      <c r="AA543" s="30" t="s">
        <v>58</v>
      </c>
      <c r="AB543" s="30" t="s">
        <v>56</v>
      </c>
      <c r="AC543" s="27"/>
      <c r="AD543" s="31" t="s">
        <v>57</v>
      </c>
      <c r="AE543" s="32" t="str">
        <f t="shared" si="42"/>
        <v>✓ OK</v>
      </c>
      <c r="AF543" s="33" t="s">
        <v>61</v>
      </c>
      <c r="AG543" s="33" t="s">
        <v>55</v>
      </c>
      <c r="AH543" s="33" t="s">
        <v>56</v>
      </c>
      <c r="AI543" s="33" t="s">
        <v>57</v>
      </c>
      <c r="AJ543" s="33" t="s">
        <v>58</v>
      </c>
      <c r="AK543" s="33" t="s">
        <v>56</v>
      </c>
      <c r="AL543" s="27"/>
      <c r="AM543" s="34" t="s">
        <v>57</v>
      </c>
      <c r="AN543" s="35" t="str">
        <f t="shared" si="43"/>
        <v>✓ OK</v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2410</v>
      </c>
      <c r="C544" s="41" t="s">
        <v>2411</v>
      </c>
      <c r="D544" s="39" t="s">
        <v>2301</v>
      </c>
      <c r="E544" s="42">
        <v>46129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42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70">
        <v>46248</v>
      </c>
      <c r="X544" s="30" t="s">
        <v>55</v>
      </c>
      <c r="Y544" s="30" t="s">
        <v>56</v>
      </c>
      <c r="Z544" s="30" t="s">
        <v>57</v>
      </c>
      <c r="AA544" s="30" t="s">
        <v>58</v>
      </c>
      <c r="AB544" s="30" t="s">
        <v>56</v>
      </c>
      <c r="AC544" s="27"/>
      <c r="AD544" s="31" t="s">
        <v>57</v>
      </c>
      <c r="AE544" s="32" t="str">
        <f t="shared" si="42"/>
        <v>✓ OK</v>
      </c>
      <c r="AF544" s="33" t="s">
        <v>61</v>
      </c>
      <c r="AG544" s="33" t="s">
        <v>55</v>
      </c>
      <c r="AH544" s="33" t="s">
        <v>56</v>
      </c>
      <c r="AI544" s="33" t="s">
        <v>57</v>
      </c>
      <c r="AJ544" s="33" t="s">
        <v>58</v>
      </c>
      <c r="AK544" s="33" t="s">
        <v>56</v>
      </c>
      <c r="AL544" s="27"/>
      <c r="AM544" s="34" t="s">
        <v>57</v>
      </c>
      <c r="AN544" s="35" t="str">
        <f t="shared" si="43"/>
        <v>✓ OK</v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2412</v>
      </c>
      <c r="C545" s="25" t="s">
        <v>2413</v>
      </c>
      <c r="D545" s="23" t="s">
        <v>2301</v>
      </c>
      <c r="E545" s="42">
        <v>46129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42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70">
        <v>46248</v>
      </c>
      <c r="X545" s="30" t="s">
        <v>55</v>
      </c>
      <c r="Y545" s="30" t="s">
        <v>56</v>
      </c>
      <c r="Z545" s="30" t="s">
        <v>57</v>
      </c>
      <c r="AA545" s="30" t="s">
        <v>58</v>
      </c>
      <c r="AB545" s="30" t="s">
        <v>56</v>
      </c>
      <c r="AC545" s="27"/>
      <c r="AD545" s="31" t="s">
        <v>57</v>
      </c>
      <c r="AE545" s="32" t="str">
        <f t="shared" si="42"/>
        <v>✓ OK</v>
      </c>
      <c r="AF545" s="33" t="s">
        <v>61</v>
      </c>
      <c r="AG545" s="33" t="s">
        <v>55</v>
      </c>
      <c r="AH545" s="33" t="s">
        <v>56</v>
      </c>
      <c r="AI545" s="33" t="s">
        <v>57</v>
      </c>
      <c r="AJ545" s="33" t="s">
        <v>58</v>
      </c>
      <c r="AK545" s="33" t="s">
        <v>56</v>
      </c>
      <c r="AL545" s="27"/>
      <c r="AM545" s="34" t="s">
        <v>57</v>
      </c>
      <c r="AN545" s="35" t="str">
        <f t="shared" si="43"/>
        <v>✓ OK</v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2414</v>
      </c>
      <c r="C546" s="41" t="s">
        <v>2415</v>
      </c>
      <c r="D546" s="39" t="s">
        <v>2301</v>
      </c>
      <c r="E546" s="42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42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70">
        <v>46248</v>
      </c>
      <c r="X546" s="30" t="s">
        <v>55</v>
      </c>
      <c r="Y546" s="30" t="s">
        <v>56</v>
      </c>
      <c r="Z546" s="30" t="s">
        <v>57</v>
      </c>
      <c r="AA546" s="30" t="s">
        <v>58</v>
      </c>
      <c r="AB546" s="30" t="s">
        <v>56</v>
      </c>
      <c r="AC546" s="27"/>
      <c r="AD546" s="31" t="s">
        <v>57</v>
      </c>
      <c r="AE546" s="32" t="str">
        <f t="shared" si="42"/>
        <v>✓ OK</v>
      </c>
      <c r="AF546" s="33" t="s">
        <v>61</v>
      </c>
      <c r="AG546" s="33" t="s">
        <v>55</v>
      </c>
      <c r="AH546" s="33" t="s">
        <v>56</v>
      </c>
      <c r="AI546" s="33" t="s">
        <v>57</v>
      </c>
      <c r="AJ546" s="33" t="s">
        <v>58</v>
      </c>
      <c r="AK546" s="33" t="s">
        <v>56</v>
      </c>
      <c r="AL546" s="27"/>
      <c r="AM546" s="34" t="s">
        <v>57</v>
      </c>
      <c r="AN546" s="35" t="str">
        <f t="shared" si="43"/>
        <v>✓ OK</v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2416</v>
      </c>
      <c r="C547" s="25" t="s">
        <v>2417</v>
      </c>
      <c r="D547" s="23" t="s">
        <v>2301</v>
      </c>
      <c r="E547" s="42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42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70">
        <v>46248</v>
      </c>
      <c r="X547" s="30" t="s">
        <v>55</v>
      </c>
      <c r="Y547" s="30" t="s">
        <v>56</v>
      </c>
      <c r="Z547" s="30" t="s">
        <v>57</v>
      </c>
      <c r="AA547" s="30" t="s">
        <v>58</v>
      </c>
      <c r="AB547" s="30" t="s">
        <v>56</v>
      </c>
      <c r="AC547" s="27"/>
      <c r="AD547" s="31" t="s">
        <v>57</v>
      </c>
      <c r="AE547" s="32" t="str">
        <f t="shared" si="42"/>
        <v>✓ OK</v>
      </c>
      <c r="AF547" s="33" t="s">
        <v>61</v>
      </c>
      <c r="AG547" s="33" t="s">
        <v>55</v>
      </c>
      <c r="AH547" s="33" t="s">
        <v>56</v>
      </c>
      <c r="AI547" s="33" t="s">
        <v>57</v>
      </c>
      <c r="AJ547" s="33" t="s">
        <v>58</v>
      </c>
      <c r="AK547" s="33" t="s">
        <v>56</v>
      </c>
      <c r="AL547" s="27"/>
      <c r="AM547" s="34" t="s">
        <v>57</v>
      </c>
      <c r="AN547" s="35" t="str">
        <f t="shared" si="43"/>
        <v>✓ OK</v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2418</v>
      </c>
      <c r="C548" s="41" t="s">
        <v>2419</v>
      </c>
      <c r="D548" s="39" t="s">
        <v>2301</v>
      </c>
      <c r="E548" s="42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42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70">
        <v>46248</v>
      </c>
      <c r="X548" s="30" t="s">
        <v>55</v>
      </c>
      <c r="Y548" s="30" t="s">
        <v>56</v>
      </c>
      <c r="Z548" s="30" t="s">
        <v>57</v>
      </c>
      <c r="AA548" s="30" t="s">
        <v>58</v>
      </c>
      <c r="AB548" s="30" t="s">
        <v>56</v>
      </c>
      <c r="AC548" s="27"/>
      <c r="AD548" s="31" t="s">
        <v>57</v>
      </c>
      <c r="AE548" s="32" t="str">
        <f t="shared" si="42"/>
        <v>✓ OK</v>
      </c>
      <c r="AF548" s="33" t="s">
        <v>61</v>
      </c>
      <c r="AG548" s="33" t="s">
        <v>55</v>
      </c>
      <c r="AH548" s="33" t="s">
        <v>56</v>
      </c>
      <c r="AI548" s="33" t="s">
        <v>57</v>
      </c>
      <c r="AJ548" s="33" t="s">
        <v>58</v>
      </c>
      <c r="AK548" s="33" t="s">
        <v>56</v>
      </c>
      <c r="AL548" s="27"/>
      <c r="AM548" s="34" t="s">
        <v>57</v>
      </c>
      <c r="AN548" s="35" t="str">
        <f t="shared" si="43"/>
        <v>✓ OK</v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2420</v>
      </c>
      <c r="C549" s="25" t="s">
        <v>2421</v>
      </c>
      <c r="D549" s="23" t="s">
        <v>2301</v>
      </c>
      <c r="E549" s="42">
        <v>46129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42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70">
        <v>46248</v>
      </c>
      <c r="X549" s="30" t="s">
        <v>55</v>
      </c>
      <c r="Y549" s="30" t="s">
        <v>56</v>
      </c>
      <c r="Z549" s="30" t="s">
        <v>57</v>
      </c>
      <c r="AA549" s="30" t="s">
        <v>58</v>
      </c>
      <c r="AB549" s="30" t="s">
        <v>56</v>
      </c>
      <c r="AC549" s="27"/>
      <c r="AD549" s="31" t="s">
        <v>57</v>
      </c>
      <c r="AE549" s="32" t="str">
        <f t="shared" si="42"/>
        <v>✓ OK</v>
      </c>
      <c r="AF549" s="33" t="s">
        <v>61</v>
      </c>
      <c r="AG549" s="33" t="s">
        <v>55</v>
      </c>
      <c r="AH549" s="33" t="s">
        <v>56</v>
      </c>
      <c r="AI549" s="33" t="s">
        <v>57</v>
      </c>
      <c r="AJ549" s="33" t="s">
        <v>58</v>
      </c>
      <c r="AK549" s="33" t="s">
        <v>56</v>
      </c>
      <c r="AL549" s="27"/>
      <c r="AM549" s="34" t="s">
        <v>57</v>
      </c>
      <c r="AN549" s="35" t="str">
        <f t="shared" si="43"/>
        <v>✓ OK</v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2422</v>
      </c>
      <c r="C550" s="41" t="s">
        <v>2423</v>
      </c>
      <c r="D550" s="39" t="s">
        <v>2301</v>
      </c>
      <c r="E550" s="42">
        <v>46129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42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70">
        <v>46248</v>
      </c>
      <c r="X550" s="30" t="s">
        <v>55</v>
      </c>
      <c r="Y550" s="30" t="s">
        <v>56</v>
      </c>
      <c r="Z550" s="30" t="s">
        <v>57</v>
      </c>
      <c r="AA550" s="30" t="s">
        <v>58</v>
      </c>
      <c r="AB550" s="30" t="s">
        <v>56</v>
      </c>
      <c r="AC550" s="27"/>
      <c r="AD550" s="31" t="s">
        <v>57</v>
      </c>
      <c r="AE550" s="32" t="str">
        <f t="shared" si="42"/>
        <v>✓ OK</v>
      </c>
      <c r="AF550" s="33" t="s">
        <v>61</v>
      </c>
      <c r="AG550" s="33" t="s">
        <v>55</v>
      </c>
      <c r="AH550" s="33" t="s">
        <v>56</v>
      </c>
      <c r="AI550" s="33" t="s">
        <v>57</v>
      </c>
      <c r="AJ550" s="33" t="s">
        <v>58</v>
      </c>
      <c r="AK550" s="33" t="s">
        <v>56</v>
      </c>
      <c r="AL550" s="27"/>
      <c r="AM550" s="34" t="s">
        <v>57</v>
      </c>
      <c r="AN550" s="35" t="str">
        <f t="shared" si="43"/>
        <v>✓ OK</v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2424</v>
      </c>
      <c r="C551" s="25" t="s">
        <v>2425</v>
      </c>
      <c r="D551" s="23" t="s">
        <v>2301</v>
      </c>
      <c r="E551" s="42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42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70">
        <v>46248</v>
      </c>
      <c r="X551" s="30" t="s">
        <v>55</v>
      </c>
      <c r="Y551" s="30" t="s">
        <v>56</v>
      </c>
      <c r="Z551" s="30" t="s">
        <v>57</v>
      </c>
      <c r="AA551" s="30" t="s">
        <v>58</v>
      </c>
      <c r="AB551" s="30" t="s">
        <v>56</v>
      </c>
      <c r="AC551" s="27"/>
      <c r="AD551" s="31" t="s">
        <v>57</v>
      </c>
      <c r="AE551" s="32" t="str">
        <f t="shared" si="42"/>
        <v>✓ OK</v>
      </c>
      <c r="AF551" s="33" t="s">
        <v>61</v>
      </c>
      <c r="AG551" s="33" t="s">
        <v>55</v>
      </c>
      <c r="AH551" s="33" t="s">
        <v>56</v>
      </c>
      <c r="AI551" s="33" t="s">
        <v>57</v>
      </c>
      <c r="AJ551" s="33" t="s">
        <v>58</v>
      </c>
      <c r="AK551" s="33" t="s">
        <v>56</v>
      </c>
      <c r="AL551" s="27"/>
      <c r="AM551" s="34" t="s">
        <v>57</v>
      </c>
      <c r="AN551" s="35" t="str">
        <f t="shared" si="43"/>
        <v>✓ OK</v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2426</v>
      </c>
      <c r="C552" s="41" t="s">
        <v>2427</v>
      </c>
      <c r="D552" s="39" t="s">
        <v>2301</v>
      </c>
      <c r="E552" s="42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42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70">
        <v>46248</v>
      </c>
      <c r="X552" s="30" t="s">
        <v>55</v>
      </c>
      <c r="Y552" s="30" t="s">
        <v>56</v>
      </c>
      <c r="Z552" s="30" t="s">
        <v>57</v>
      </c>
      <c r="AA552" s="30" t="s">
        <v>58</v>
      </c>
      <c r="AB552" s="30" t="s">
        <v>56</v>
      </c>
      <c r="AC552" s="27"/>
      <c r="AD552" s="31" t="s">
        <v>57</v>
      </c>
      <c r="AE552" s="32" t="str">
        <f t="shared" si="42"/>
        <v>✓ OK</v>
      </c>
      <c r="AF552" s="33" t="s">
        <v>61</v>
      </c>
      <c r="AG552" s="33" t="s">
        <v>55</v>
      </c>
      <c r="AH552" s="33" t="s">
        <v>56</v>
      </c>
      <c r="AI552" s="33" t="s">
        <v>57</v>
      </c>
      <c r="AJ552" s="33" t="s">
        <v>58</v>
      </c>
      <c r="AK552" s="33" t="s">
        <v>56</v>
      </c>
      <c r="AL552" s="27"/>
      <c r="AM552" s="34" t="s">
        <v>57</v>
      </c>
      <c r="AN552" s="35" t="str">
        <f t="shared" si="43"/>
        <v>✓ OK</v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2428</v>
      </c>
      <c r="C553" s="25" t="s">
        <v>2429</v>
      </c>
      <c r="D553" s="23" t="s">
        <v>2301</v>
      </c>
      <c r="E553" s="42">
        <v>46129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42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70">
        <v>46248</v>
      </c>
      <c r="X553" s="30" t="s">
        <v>55</v>
      </c>
      <c r="Y553" s="30" t="s">
        <v>56</v>
      </c>
      <c r="Z553" s="30" t="s">
        <v>57</v>
      </c>
      <c r="AA553" s="30" t="s">
        <v>58</v>
      </c>
      <c r="AB553" s="30" t="s">
        <v>56</v>
      </c>
      <c r="AC553" s="27"/>
      <c r="AD553" s="31" t="s">
        <v>57</v>
      </c>
      <c r="AE553" s="32" t="str">
        <f t="shared" si="42"/>
        <v>✓ OK</v>
      </c>
      <c r="AF553" s="33" t="s">
        <v>61</v>
      </c>
      <c r="AG553" s="33" t="s">
        <v>55</v>
      </c>
      <c r="AH553" s="33" t="s">
        <v>56</v>
      </c>
      <c r="AI553" s="33" t="s">
        <v>57</v>
      </c>
      <c r="AJ553" s="33" t="s">
        <v>58</v>
      </c>
      <c r="AK553" s="33" t="s">
        <v>56</v>
      </c>
      <c r="AL553" s="27"/>
      <c r="AM553" s="34" t="s">
        <v>57</v>
      </c>
      <c r="AN553" s="35" t="str">
        <f t="shared" si="43"/>
        <v>✓ OK</v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2430</v>
      </c>
      <c r="C554" s="41" t="s">
        <v>2431</v>
      </c>
      <c r="D554" s="39" t="s">
        <v>2301</v>
      </c>
      <c r="E554" s="42">
        <v>46129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42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70">
        <v>46248</v>
      </c>
      <c r="X554" s="30" t="s">
        <v>55</v>
      </c>
      <c r="Y554" s="30" t="s">
        <v>56</v>
      </c>
      <c r="Z554" s="30" t="s">
        <v>57</v>
      </c>
      <c r="AA554" s="30" t="s">
        <v>58</v>
      </c>
      <c r="AB554" s="30" t="s">
        <v>56</v>
      </c>
      <c r="AC554" s="27"/>
      <c r="AD554" s="31" t="s">
        <v>57</v>
      </c>
      <c r="AE554" s="32" t="str">
        <f t="shared" si="42"/>
        <v>✓ OK</v>
      </c>
      <c r="AF554" s="33" t="s">
        <v>61</v>
      </c>
      <c r="AG554" s="33" t="s">
        <v>55</v>
      </c>
      <c r="AH554" s="33" t="s">
        <v>56</v>
      </c>
      <c r="AI554" s="33" t="s">
        <v>57</v>
      </c>
      <c r="AJ554" s="33" t="s">
        <v>58</v>
      </c>
      <c r="AK554" s="33" t="s">
        <v>56</v>
      </c>
      <c r="AL554" s="27"/>
      <c r="AM554" s="34" t="s">
        <v>57</v>
      </c>
      <c r="AN554" s="35" t="str">
        <f t="shared" si="43"/>
        <v>✓ OK</v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2432</v>
      </c>
      <c r="C555" s="25" t="s">
        <v>2433</v>
      </c>
      <c r="D555" s="23" t="s">
        <v>2301</v>
      </c>
      <c r="E555" s="42">
        <v>46132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42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70">
        <v>46248</v>
      </c>
      <c r="X555" s="30" t="s">
        <v>55</v>
      </c>
      <c r="Y555" s="30" t="s">
        <v>56</v>
      </c>
      <c r="Z555" s="30" t="s">
        <v>57</v>
      </c>
      <c r="AA555" s="30" t="s">
        <v>58</v>
      </c>
      <c r="AB555" s="30" t="s">
        <v>56</v>
      </c>
      <c r="AC555" s="27"/>
      <c r="AD555" s="31" t="s">
        <v>57</v>
      </c>
      <c r="AE555" s="32" t="str">
        <f t="shared" si="42"/>
        <v>✓ OK</v>
      </c>
      <c r="AF555" s="33" t="s">
        <v>61</v>
      </c>
      <c r="AG555" s="33" t="s">
        <v>55</v>
      </c>
      <c r="AH555" s="33" t="s">
        <v>56</v>
      </c>
      <c r="AI555" s="33" t="s">
        <v>57</v>
      </c>
      <c r="AJ555" s="33" t="s">
        <v>58</v>
      </c>
      <c r="AK555" s="33" t="s">
        <v>56</v>
      </c>
      <c r="AL555" s="27"/>
      <c r="AM555" s="34" t="s">
        <v>57</v>
      </c>
      <c r="AN555" s="35" t="str">
        <f t="shared" si="43"/>
        <v>✓ OK</v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2434</v>
      </c>
      <c r="C556" s="41" t="s">
        <v>2435</v>
      </c>
      <c r="D556" s="39" t="s">
        <v>2301</v>
      </c>
      <c r="E556" s="42">
        <v>46132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42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70">
        <v>46248</v>
      </c>
      <c r="X556" s="30" t="s">
        <v>55</v>
      </c>
      <c r="Y556" s="30" t="s">
        <v>56</v>
      </c>
      <c r="Z556" s="30" t="s">
        <v>57</v>
      </c>
      <c r="AA556" s="30" t="s">
        <v>58</v>
      </c>
      <c r="AB556" s="30" t="s">
        <v>56</v>
      </c>
      <c r="AC556" s="27"/>
      <c r="AD556" s="31" t="s">
        <v>57</v>
      </c>
      <c r="AE556" s="32" t="str">
        <f t="shared" si="42"/>
        <v>✓ OK</v>
      </c>
      <c r="AF556" s="33" t="s">
        <v>61</v>
      </c>
      <c r="AG556" s="33" t="s">
        <v>55</v>
      </c>
      <c r="AH556" s="33" t="s">
        <v>56</v>
      </c>
      <c r="AI556" s="33" t="s">
        <v>57</v>
      </c>
      <c r="AJ556" s="33" t="s">
        <v>58</v>
      </c>
      <c r="AK556" s="33" t="s">
        <v>56</v>
      </c>
      <c r="AL556" s="27"/>
      <c r="AM556" s="34" t="s">
        <v>57</v>
      </c>
      <c r="AN556" s="35" t="str">
        <f t="shared" si="43"/>
        <v>✓ OK</v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2436</v>
      </c>
      <c r="C557" s="25" t="s">
        <v>2437</v>
      </c>
      <c r="D557" s="23" t="s">
        <v>2301</v>
      </c>
      <c r="E557" s="42">
        <v>46129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42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70">
        <v>46248</v>
      </c>
      <c r="X557" s="30" t="s">
        <v>55</v>
      </c>
      <c r="Y557" s="30" t="s">
        <v>56</v>
      </c>
      <c r="Z557" s="30" t="s">
        <v>57</v>
      </c>
      <c r="AA557" s="30" t="s">
        <v>58</v>
      </c>
      <c r="AB557" s="30" t="s">
        <v>56</v>
      </c>
      <c r="AC557" s="27"/>
      <c r="AD557" s="31" t="s">
        <v>57</v>
      </c>
      <c r="AE557" s="32" t="str">
        <f t="shared" si="42"/>
        <v>✓ OK</v>
      </c>
      <c r="AF557" s="33" t="s">
        <v>61</v>
      </c>
      <c r="AG557" s="33" t="s">
        <v>55</v>
      </c>
      <c r="AH557" s="33" t="s">
        <v>56</v>
      </c>
      <c r="AI557" s="33" t="s">
        <v>57</v>
      </c>
      <c r="AJ557" s="33" t="s">
        <v>58</v>
      </c>
      <c r="AK557" s="33" t="s">
        <v>56</v>
      </c>
      <c r="AL557" s="27"/>
      <c r="AM557" s="34" t="s">
        <v>57</v>
      </c>
      <c r="AN557" s="35" t="str">
        <f t="shared" si="43"/>
        <v>✓ OK</v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2438</v>
      </c>
      <c r="C558" s="41" t="s">
        <v>2439</v>
      </c>
      <c r="D558" s="39" t="s">
        <v>2301</v>
      </c>
      <c r="E558" s="42">
        <v>46129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42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70">
        <v>46248</v>
      </c>
      <c r="X558" s="30" t="s">
        <v>55</v>
      </c>
      <c r="Y558" s="30" t="s">
        <v>56</v>
      </c>
      <c r="Z558" s="30" t="s">
        <v>57</v>
      </c>
      <c r="AA558" s="30" t="s">
        <v>58</v>
      </c>
      <c r="AB558" s="30" t="s">
        <v>56</v>
      </c>
      <c r="AC558" s="27"/>
      <c r="AD558" s="31" t="s">
        <v>57</v>
      </c>
      <c r="AE558" s="32" t="str">
        <f t="shared" si="42"/>
        <v>✓ OK</v>
      </c>
      <c r="AF558" s="33" t="s">
        <v>61</v>
      </c>
      <c r="AG558" s="33" t="s">
        <v>55</v>
      </c>
      <c r="AH558" s="33" t="s">
        <v>56</v>
      </c>
      <c r="AI558" s="33" t="s">
        <v>57</v>
      </c>
      <c r="AJ558" s="33" t="s">
        <v>58</v>
      </c>
      <c r="AK558" s="33" t="s">
        <v>56</v>
      </c>
      <c r="AL558" s="27"/>
      <c r="AM558" s="34" t="s">
        <v>57</v>
      </c>
      <c r="AN558" s="35" t="str">
        <f t="shared" si="43"/>
        <v>✓ OK</v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2440</v>
      </c>
      <c r="C559" s="25" t="s">
        <v>2441</v>
      </c>
      <c r="D559" s="23" t="s">
        <v>2301</v>
      </c>
      <c r="E559" s="42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42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70">
        <v>46248</v>
      </c>
      <c r="X559" s="30" t="s">
        <v>55</v>
      </c>
      <c r="Y559" s="30" t="s">
        <v>56</v>
      </c>
      <c r="Z559" s="30" t="s">
        <v>57</v>
      </c>
      <c r="AA559" s="30" t="s">
        <v>58</v>
      </c>
      <c r="AB559" s="30" t="s">
        <v>56</v>
      </c>
      <c r="AC559" s="27"/>
      <c r="AD559" s="31" t="s">
        <v>57</v>
      </c>
      <c r="AE559" s="32" t="str">
        <f t="shared" si="42"/>
        <v>✓ OK</v>
      </c>
      <c r="AF559" s="33" t="s">
        <v>61</v>
      </c>
      <c r="AG559" s="33" t="s">
        <v>55</v>
      </c>
      <c r="AH559" s="33" t="s">
        <v>56</v>
      </c>
      <c r="AI559" s="33" t="s">
        <v>57</v>
      </c>
      <c r="AJ559" s="33" t="s">
        <v>58</v>
      </c>
      <c r="AK559" s="33" t="s">
        <v>56</v>
      </c>
      <c r="AL559" s="27"/>
      <c r="AM559" s="34" t="s">
        <v>57</v>
      </c>
      <c r="AN559" s="35" t="str">
        <f t="shared" si="43"/>
        <v>✓ OK</v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2442</v>
      </c>
      <c r="C560" s="41" t="s">
        <v>2443</v>
      </c>
      <c r="D560" s="39" t="s">
        <v>2301</v>
      </c>
      <c r="E560" s="42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42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70">
        <v>46248</v>
      </c>
      <c r="X560" s="30" t="s">
        <v>55</v>
      </c>
      <c r="Y560" s="30" t="s">
        <v>56</v>
      </c>
      <c r="Z560" s="30" t="s">
        <v>57</v>
      </c>
      <c r="AA560" s="30" t="s">
        <v>58</v>
      </c>
      <c r="AB560" s="30" t="s">
        <v>56</v>
      </c>
      <c r="AC560" s="27"/>
      <c r="AD560" s="31" t="s">
        <v>57</v>
      </c>
      <c r="AE560" s="32" t="str">
        <f t="shared" si="42"/>
        <v>✓ OK</v>
      </c>
      <c r="AF560" s="33" t="s">
        <v>61</v>
      </c>
      <c r="AG560" s="33" t="s">
        <v>55</v>
      </c>
      <c r="AH560" s="33" t="s">
        <v>56</v>
      </c>
      <c r="AI560" s="33" t="s">
        <v>57</v>
      </c>
      <c r="AJ560" s="33" t="s">
        <v>58</v>
      </c>
      <c r="AK560" s="33" t="s">
        <v>56</v>
      </c>
      <c r="AL560" s="27"/>
      <c r="AM560" s="34" t="s">
        <v>57</v>
      </c>
      <c r="AN560" s="35" t="str">
        <f t="shared" si="43"/>
        <v>✓ OK</v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2444</v>
      </c>
      <c r="C561" s="25" t="s">
        <v>2445</v>
      </c>
      <c r="D561" s="23" t="s">
        <v>2301</v>
      </c>
      <c r="E561" s="42">
        <v>46129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42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70">
        <v>46248</v>
      </c>
      <c r="X561" s="30" t="s">
        <v>55</v>
      </c>
      <c r="Y561" s="30" t="s">
        <v>56</v>
      </c>
      <c r="Z561" s="30" t="s">
        <v>57</v>
      </c>
      <c r="AA561" s="30" t="s">
        <v>58</v>
      </c>
      <c r="AB561" s="30" t="s">
        <v>56</v>
      </c>
      <c r="AC561" s="27"/>
      <c r="AD561" s="31" t="s">
        <v>57</v>
      </c>
      <c r="AE561" s="32" t="str">
        <f t="shared" si="42"/>
        <v>✓ OK</v>
      </c>
      <c r="AF561" s="33" t="s">
        <v>61</v>
      </c>
      <c r="AG561" s="33" t="s">
        <v>55</v>
      </c>
      <c r="AH561" s="33" t="s">
        <v>56</v>
      </c>
      <c r="AI561" s="33" t="s">
        <v>57</v>
      </c>
      <c r="AJ561" s="33" t="s">
        <v>58</v>
      </c>
      <c r="AK561" s="33" t="s">
        <v>56</v>
      </c>
      <c r="AL561" s="27"/>
      <c r="AM561" s="34" t="s">
        <v>57</v>
      </c>
      <c r="AN561" s="35" t="str">
        <f t="shared" si="43"/>
        <v>✓ OK</v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2446</v>
      </c>
      <c r="C562" s="41" t="s">
        <v>2447</v>
      </c>
      <c r="D562" s="39" t="s">
        <v>2301</v>
      </c>
      <c r="E562" s="42">
        <v>46129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42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70">
        <v>46248</v>
      </c>
      <c r="X562" s="30" t="s">
        <v>55</v>
      </c>
      <c r="Y562" s="30" t="s">
        <v>56</v>
      </c>
      <c r="Z562" s="30" t="s">
        <v>57</v>
      </c>
      <c r="AA562" s="30" t="s">
        <v>58</v>
      </c>
      <c r="AB562" s="30" t="s">
        <v>56</v>
      </c>
      <c r="AC562" s="27"/>
      <c r="AD562" s="31" t="s">
        <v>57</v>
      </c>
      <c r="AE562" s="32" t="str">
        <f t="shared" si="42"/>
        <v>✓ OK</v>
      </c>
      <c r="AF562" s="33" t="s">
        <v>61</v>
      </c>
      <c r="AG562" s="33" t="s">
        <v>55</v>
      </c>
      <c r="AH562" s="33" t="s">
        <v>56</v>
      </c>
      <c r="AI562" s="33" t="s">
        <v>57</v>
      </c>
      <c r="AJ562" s="33" t="s">
        <v>58</v>
      </c>
      <c r="AK562" s="33" t="s">
        <v>56</v>
      </c>
      <c r="AL562" s="27"/>
      <c r="AM562" s="34" t="s">
        <v>57</v>
      </c>
      <c r="AN562" s="35" t="str">
        <f t="shared" si="43"/>
        <v>✓ OK</v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2448</v>
      </c>
      <c r="C563" s="25" t="s">
        <v>2449</v>
      </c>
      <c r="D563" s="23" t="s">
        <v>2301</v>
      </c>
      <c r="E563" s="42">
        <v>46129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42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70">
        <v>46248</v>
      </c>
      <c r="X563" s="30" t="s">
        <v>55</v>
      </c>
      <c r="Y563" s="30" t="s">
        <v>56</v>
      </c>
      <c r="Z563" s="30" t="s">
        <v>57</v>
      </c>
      <c r="AA563" s="30" t="s">
        <v>58</v>
      </c>
      <c r="AB563" s="30" t="s">
        <v>56</v>
      </c>
      <c r="AC563" s="27"/>
      <c r="AD563" s="31" t="s">
        <v>57</v>
      </c>
      <c r="AE563" s="32" t="str">
        <f t="shared" si="42"/>
        <v>✓ OK</v>
      </c>
      <c r="AF563" s="33" t="s">
        <v>61</v>
      </c>
      <c r="AG563" s="33" t="s">
        <v>55</v>
      </c>
      <c r="AH563" s="33" t="s">
        <v>56</v>
      </c>
      <c r="AI563" s="33" t="s">
        <v>57</v>
      </c>
      <c r="AJ563" s="33" t="s">
        <v>58</v>
      </c>
      <c r="AK563" s="33" t="s">
        <v>56</v>
      </c>
      <c r="AL563" s="27"/>
      <c r="AM563" s="34" t="s">
        <v>57</v>
      </c>
      <c r="AN563" s="35" t="str">
        <f t="shared" si="43"/>
        <v>✓ OK</v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2450</v>
      </c>
      <c r="C564" s="41" t="s">
        <v>2451</v>
      </c>
      <c r="D564" s="39" t="s">
        <v>2301</v>
      </c>
      <c r="E564" s="42">
        <v>46129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42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70">
        <v>46248</v>
      </c>
      <c r="X564" s="30" t="s">
        <v>55</v>
      </c>
      <c r="Y564" s="30" t="s">
        <v>56</v>
      </c>
      <c r="Z564" s="30" t="s">
        <v>57</v>
      </c>
      <c r="AA564" s="30" t="s">
        <v>58</v>
      </c>
      <c r="AB564" s="30" t="s">
        <v>56</v>
      </c>
      <c r="AC564" s="27"/>
      <c r="AD564" s="31" t="s">
        <v>57</v>
      </c>
      <c r="AE564" s="32" t="str">
        <f t="shared" si="42"/>
        <v>✓ OK</v>
      </c>
      <c r="AF564" s="33" t="s">
        <v>61</v>
      </c>
      <c r="AG564" s="33" t="s">
        <v>55</v>
      </c>
      <c r="AH564" s="33" t="s">
        <v>56</v>
      </c>
      <c r="AI564" s="33" t="s">
        <v>57</v>
      </c>
      <c r="AJ564" s="33" t="s">
        <v>58</v>
      </c>
      <c r="AK564" s="33" t="s">
        <v>56</v>
      </c>
      <c r="AL564" s="27"/>
      <c r="AM564" s="34" t="s">
        <v>57</v>
      </c>
      <c r="AN564" s="35" t="str">
        <f t="shared" si="43"/>
        <v>✓ OK</v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2452</v>
      </c>
      <c r="C565" s="25" t="s">
        <v>2453</v>
      </c>
      <c r="D565" s="23" t="s">
        <v>2301</v>
      </c>
      <c r="E565" s="42">
        <v>46129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42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70">
        <v>46248</v>
      </c>
      <c r="X565" s="30" t="s">
        <v>55</v>
      </c>
      <c r="Y565" s="30" t="s">
        <v>56</v>
      </c>
      <c r="Z565" s="30" t="s">
        <v>57</v>
      </c>
      <c r="AA565" s="30" t="s">
        <v>58</v>
      </c>
      <c r="AB565" s="30" t="s">
        <v>56</v>
      </c>
      <c r="AC565" s="27"/>
      <c r="AD565" s="31" t="s">
        <v>57</v>
      </c>
      <c r="AE565" s="32" t="str">
        <f t="shared" si="42"/>
        <v>✓ OK</v>
      </c>
      <c r="AF565" s="33" t="s">
        <v>61</v>
      </c>
      <c r="AG565" s="33" t="s">
        <v>55</v>
      </c>
      <c r="AH565" s="33" t="s">
        <v>56</v>
      </c>
      <c r="AI565" s="33" t="s">
        <v>57</v>
      </c>
      <c r="AJ565" s="33" t="s">
        <v>58</v>
      </c>
      <c r="AK565" s="33" t="s">
        <v>56</v>
      </c>
      <c r="AL565" s="27"/>
      <c r="AM565" s="34" t="s">
        <v>57</v>
      </c>
      <c r="AN565" s="35" t="str">
        <f t="shared" si="43"/>
        <v>✓ OK</v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2454</v>
      </c>
      <c r="C566" s="41" t="s">
        <v>2455</v>
      </c>
      <c r="D566" s="39" t="s">
        <v>2301</v>
      </c>
      <c r="E566" s="42">
        <v>46129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42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70">
        <v>46248</v>
      </c>
      <c r="X566" s="30" t="s">
        <v>55</v>
      </c>
      <c r="Y566" s="30" t="s">
        <v>56</v>
      </c>
      <c r="Z566" s="30" t="s">
        <v>57</v>
      </c>
      <c r="AA566" s="30" t="s">
        <v>58</v>
      </c>
      <c r="AB566" s="30" t="s">
        <v>56</v>
      </c>
      <c r="AC566" s="27"/>
      <c r="AD566" s="31" t="s">
        <v>57</v>
      </c>
      <c r="AE566" s="32" t="str">
        <f t="shared" si="42"/>
        <v>✓ OK</v>
      </c>
      <c r="AF566" s="33" t="s">
        <v>61</v>
      </c>
      <c r="AG566" s="33" t="s">
        <v>55</v>
      </c>
      <c r="AH566" s="33" t="s">
        <v>56</v>
      </c>
      <c r="AI566" s="33" t="s">
        <v>57</v>
      </c>
      <c r="AJ566" s="33" t="s">
        <v>58</v>
      </c>
      <c r="AK566" s="33" t="s">
        <v>56</v>
      </c>
      <c r="AL566" s="27"/>
      <c r="AM566" s="34" t="s">
        <v>57</v>
      </c>
      <c r="AN566" s="35" t="str">
        <f t="shared" si="43"/>
        <v>✓ OK</v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2456</v>
      </c>
      <c r="C567" s="25" t="s">
        <v>2457</v>
      </c>
      <c r="D567" s="23" t="s">
        <v>2301</v>
      </c>
      <c r="E567" s="42">
        <v>46129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42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70">
        <v>46248</v>
      </c>
      <c r="X567" s="30" t="s">
        <v>55</v>
      </c>
      <c r="Y567" s="30" t="s">
        <v>56</v>
      </c>
      <c r="Z567" s="30" t="s">
        <v>57</v>
      </c>
      <c r="AA567" s="30" t="s">
        <v>58</v>
      </c>
      <c r="AB567" s="30" t="s">
        <v>56</v>
      </c>
      <c r="AC567" s="27"/>
      <c r="AD567" s="31" t="s">
        <v>57</v>
      </c>
      <c r="AE567" s="32" t="str">
        <f t="shared" si="42"/>
        <v>✓ OK</v>
      </c>
      <c r="AF567" s="33" t="s">
        <v>61</v>
      </c>
      <c r="AG567" s="33" t="s">
        <v>55</v>
      </c>
      <c r="AH567" s="33" t="s">
        <v>56</v>
      </c>
      <c r="AI567" s="33" t="s">
        <v>57</v>
      </c>
      <c r="AJ567" s="33" t="s">
        <v>58</v>
      </c>
      <c r="AK567" s="33" t="s">
        <v>56</v>
      </c>
      <c r="AL567" s="27"/>
      <c r="AM567" s="34" t="s">
        <v>57</v>
      </c>
      <c r="AN567" s="35" t="str">
        <f t="shared" si="43"/>
        <v>✓ OK</v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2458</v>
      </c>
      <c r="C568" s="41" t="s">
        <v>2459</v>
      </c>
      <c r="D568" s="39" t="s">
        <v>2301</v>
      </c>
      <c r="E568" s="42">
        <v>46129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42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70">
        <v>46248</v>
      </c>
      <c r="X568" s="30" t="s">
        <v>55</v>
      </c>
      <c r="Y568" s="30" t="s">
        <v>56</v>
      </c>
      <c r="Z568" s="30" t="s">
        <v>57</v>
      </c>
      <c r="AA568" s="30" t="s">
        <v>58</v>
      </c>
      <c r="AB568" s="30" t="s">
        <v>56</v>
      </c>
      <c r="AC568" s="27"/>
      <c r="AD568" s="31" t="s">
        <v>57</v>
      </c>
      <c r="AE568" s="32" t="str">
        <f t="shared" si="42"/>
        <v>✓ OK</v>
      </c>
      <c r="AF568" s="33" t="s">
        <v>61</v>
      </c>
      <c r="AG568" s="33" t="s">
        <v>55</v>
      </c>
      <c r="AH568" s="33" t="s">
        <v>56</v>
      </c>
      <c r="AI568" s="33" t="s">
        <v>57</v>
      </c>
      <c r="AJ568" s="33" t="s">
        <v>58</v>
      </c>
      <c r="AK568" s="33" t="s">
        <v>56</v>
      </c>
      <c r="AL568" s="27"/>
      <c r="AM568" s="34" t="s">
        <v>57</v>
      </c>
      <c r="AN568" s="35" t="str">
        <f t="shared" si="43"/>
        <v>✓ OK</v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2460</v>
      </c>
      <c r="C569" s="25" t="s">
        <v>2461</v>
      </c>
      <c r="D569" s="23" t="s">
        <v>2301</v>
      </c>
      <c r="E569" s="42">
        <v>46129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42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70">
        <v>46248</v>
      </c>
      <c r="X569" s="30" t="s">
        <v>55</v>
      </c>
      <c r="Y569" s="30" t="s">
        <v>56</v>
      </c>
      <c r="Z569" s="30" t="s">
        <v>57</v>
      </c>
      <c r="AA569" s="30" t="s">
        <v>58</v>
      </c>
      <c r="AB569" s="30" t="s">
        <v>56</v>
      </c>
      <c r="AC569" s="27"/>
      <c r="AD569" s="31" t="s">
        <v>57</v>
      </c>
      <c r="AE569" s="32" t="str">
        <f t="shared" si="42"/>
        <v>✓ OK</v>
      </c>
      <c r="AF569" s="33" t="s">
        <v>61</v>
      </c>
      <c r="AG569" s="33" t="s">
        <v>55</v>
      </c>
      <c r="AH569" s="33" t="s">
        <v>56</v>
      </c>
      <c r="AI569" s="33" t="s">
        <v>57</v>
      </c>
      <c r="AJ569" s="33" t="s">
        <v>58</v>
      </c>
      <c r="AK569" s="33" t="s">
        <v>56</v>
      </c>
      <c r="AL569" s="27"/>
      <c r="AM569" s="34" t="s">
        <v>57</v>
      </c>
      <c r="AN569" s="35" t="str">
        <f t="shared" si="43"/>
        <v>✓ OK</v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2462</v>
      </c>
      <c r="C570" s="41" t="s">
        <v>2463</v>
      </c>
      <c r="D570" s="39" t="s">
        <v>2301</v>
      </c>
      <c r="E570" s="42">
        <v>46129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42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70">
        <v>46248</v>
      </c>
      <c r="X570" s="30" t="s">
        <v>55</v>
      </c>
      <c r="Y570" s="30" t="s">
        <v>56</v>
      </c>
      <c r="Z570" s="30" t="s">
        <v>57</v>
      </c>
      <c r="AA570" s="30" t="s">
        <v>58</v>
      </c>
      <c r="AB570" s="30" t="s">
        <v>56</v>
      </c>
      <c r="AC570" s="27"/>
      <c r="AD570" s="31" t="s">
        <v>57</v>
      </c>
      <c r="AE570" s="32" t="str">
        <f t="shared" si="42"/>
        <v>✓ OK</v>
      </c>
      <c r="AF570" s="33" t="s">
        <v>61</v>
      </c>
      <c r="AG570" s="33" t="s">
        <v>55</v>
      </c>
      <c r="AH570" s="33" t="s">
        <v>56</v>
      </c>
      <c r="AI570" s="33" t="s">
        <v>57</v>
      </c>
      <c r="AJ570" s="33" t="s">
        <v>58</v>
      </c>
      <c r="AK570" s="33" t="s">
        <v>56</v>
      </c>
      <c r="AL570" s="27"/>
      <c r="AM570" s="34" t="s">
        <v>57</v>
      </c>
      <c r="AN570" s="35" t="str">
        <f t="shared" si="43"/>
        <v>✓ OK</v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2464</v>
      </c>
      <c r="C571" s="25" t="s">
        <v>2465</v>
      </c>
      <c r="D571" s="23" t="s">
        <v>2301</v>
      </c>
      <c r="E571" s="42">
        <v>46129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42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70">
        <v>46248</v>
      </c>
      <c r="X571" s="30" t="s">
        <v>55</v>
      </c>
      <c r="Y571" s="30" t="s">
        <v>56</v>
      </c>
      <c r="Z571" s="30" t="s">
        <v>57</v>
      </c>
      <c r="AA571" s="30" t="s">
        <v>58</v>
      </c>
      <c r="AB571" s="30" t="s">
        <v>56</v>
      </c>
      <c r="AC571" s="27"/>
      <c r="AD571" s="31" t="s">
        <v>57</v>
      </c>
      <c r="AE571" s="32" t="str">
        <f t="shared" si="42"/>
        <v>✓ OK</v>
      </c>
      <c r="AF571" s="33" t="s">
        <v>61</v>
      </c>
      <c r="AG571" s="33" t="s">
        <v>55</v>
      </c>
      <c r="AH571" s="33" t="s">
        <v>56</v>
      </c>
      <c r="AI571" s="33" t="s">
        <v>57</v>
      </c>
      <c r="AJ571" s="33" t="s">
        <v>58</v>
      </c>
      <c r="AK571" s="33" t="s">
        <v>56</v>
      </c>
      <c r="AL571" s="27"/>
      <c r="AM571" s="34" t="s">
        <v>57</v>
      </c>
      <c r="AN571" s="35" t="str">
        <f t="shared" si="43"/>
        <v>✓ OK</v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2466</v>
      </c>
      <c r="C572" s="41" t="s">
        <v>2467</v>
      </c>
      <c r="D572" s="39" t="s">
        <v>2301</v>
      </c>
      <c r="E572" s="42">
        <v>46129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42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70">
        <v>46248</v>
      </c>
      <c r="X572" s="30" t="s">
        <v>55</v>
      </c>
      <c r="Y572" s="30" t="s">
        <v>56</v>
      </c>
      <c r="Z572" s="30" t="s">
        <v>57</v>
      </c>
      <c r="AA572" s="30" t="s">
        <v>58</v>
      </c>
      <c r="AB572" s="30" t="s">
        <v>56</v>
      </c>
      <c r="AC572" s="27"/>
      <c r="AD572" s="31" t="s">
        <v>57</v>
      </c>
      <c r="AE572" s="32" t="str">
        <f t="shared" si="42"/>
        <v>✓ OK</v>
      </c>
      <c r="AF572" s="33" t="s">
        <v>61</v>
      </c>
      <c r="AG572" s="33" t="s">
        <v>55</v>
      </c>
      <c r="AH572" s="33" t="s">
        <v>56</v>
      </c>
      <c r="AI572" s="33" t="s">
        <v>57</v>
      </c>
      <c r="AJ572" s="33" t="s">
        <v>58</v>
      </c>
      <c r="AK572" s="33" t="s">
        <v>56</v>
      </c>
      <c r="AL572" s="27"/>
      <c r="AM572" s="34" t="s">
        <v>57</v>
      </c>
      <c r="AN572" s="35" t="str">
        <f t="shared" si="43"/>
        <v>✓ OK</v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2468</v>
      </c>
      <c r="C573" s="25" t="s">
        <v>2469</v>
      </c>
      <c r="D573" s="23" t="s">
        <v>2301</v>
      </c>
      <c r="E573" s="42">
        <v>46129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42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70">
        <v>46248</v>
      </c>
      <c r="X573" s="30" t="s">
        <v>55</v>
      </c>
      <c r="Y573" s="30" t="s">
        <v>56</v>
      </c>
      <c r="Z573" s="30" t="s">
        <v>57</v>
      </c>
      <c r="AA573" s="30" t="s">
        <v>58</v>
      </c>
      <c r="AB573" s="30" t="s">
        <v>56</v>
      </c>
      <c r="AC573" s="27"/>
      <c r="AD573" s="31" t="s">
        <v>57</v>
      </c>
      <c r="AE573" s="32" t="str">
        <f t="shared" si="42"/>
        <v>✓ OK</v>
      </c>
      <c r="AF573" s="33" t="s">
        <v>61</v>
      </c>
      <c r="AG573" s="33" t="s">
        <v>55</v>
      </c>
      <c r="AH573" s="33" t="s">
        <v>56</v>
      </c>
      <c r="AI573" s="33" t="s">
        <v>57</v>
      </c>
      <c r="AJ573" s="33" t="s">
        <v>58</v>
      </c>
      <c r="AK573" s="33" t="s">
        <v>56</v>
      </c>
      <c r="AL573" s="27"/>
      <c r="AM573" s="34" t="s">
        <v>57</v>
      </c>
      <c r="AN573" s="35" t="str">
        <f t="shared" si="43"/>
        <v>✓ OK</v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2470</v>
      </c>
      <c r="C574" s="41" t="s">
        <v>2471</v>
      </c>
      <c r="D574" s="39" t="s">
        <v>2301</v>
      </c>
      <c r="E574" s="42">
        <v>46129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42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70">
        <v>46248</v>
      </c>
      <c r="X574" s="30" t="s">
        <v>55</v>
      </c>
      <c r="Y574" s="30" t="s">
        <v>56</v>
      </c>
      <c r="Z574" s="30" t="s">
        <v>57</v>
      </c>
      <c r="AA574" s="30" t="s">
        <v>58</v>
      </c>
      <c r="AB574" s="30" t="s">
        <v>56</v>
      </c>
      <c r="AC574" s="27"/>
      <c r="AD574" s="31" t="s">
        <v>57</v>
      </c>
      <c r="AE574" s="32" t="str">
        <f t="shared" si="42"/>
        <v>✓ OK</v>
      </c>
      <c r="AF574" s="33" t="s">
        <v>61</v>
      </c>
      <c r="AG574" s="33" t="s">
        <v>55</v>
      </c>
      <c r="AH574" s="33" t="s">
        <v>56</v>
      </c>
      <c r="AI574" s="33" t="s">
        <v>57</v>
      </c>
      <c r="AJ574" s="33" t="s">
        <v>58</v>
      </c>
      <c r="AK574" s="33" t="s">
        <v>56</v>
      </c>
      <c r="AL574" s="27"/>
      <c r="AM574" s="34" t="s">
        <v>57</v>
      </c>
      <c r="AN574" s="35" t="str">
        <f t="shared" si="43"/>
        <v>✓ OK</v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2472</v>
      </c>
      <c r="C575" s="25" t="s">
        <v>2473</v>
      </c>
      <c r="D575" s="23" t="s">
        <v>2301</v>
      </c>
      <c r="E575" s="42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42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70">
        <v>46248</v>
      </c>
      <c r="X575" s="30" t="s">
        <v>55</v>
      </c>
      <c r="Y575" s="30" t="s">
        <v>56</v>
      </c>
      <c r="Z575" s="30" t="s">
        <v>57</v>
      </c>
      <c r="AA575" s="30" t="s">
        <v>58</v>
      </c>
      <c r="AB575" s="30" t="s">
        <v>56</v>
      </c>
      <c r="AC575" s="27"/>
      <c r="AD575" s="31" t="s">
        <v>57</v>
      </c>
      <c r="AE575" s="32" t="str">
        <f t="shared" si="42"/>
        <v>✓ OK</v>
      </c>
      <c r="AF575" s="33" t="s">
        <v>61</v>
      </c>
      <c r="AG575" s="33" t="s">
        <v>55</v>
      </c>
      <c r="AH575" s="33" t="s">
        <v>56</v>
      </c>
      <c r="AI575" s="33" t="s">
        <v>57</v>
      </c>
      <c r="AJ575" s="33" t="s">
        <v>58</v>
      </c>
      <c r="AK575" s="33" t="s">
        <v>56</v>
      </c>
      <c r="AL575" s="27"/>
      <c r="AM575" s="34" t="s">
        <v>57</v>
      </c>
      <c r="AN575" s="35" t="str">
        <f t="shared" si="43"/>
        <v>✓ OK</v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2474</v>
      </c>
      <c r="C576" s="41" t="s">
        <v>2475</v>
      </c>
      <c r="D576" s="39" t="s">
        <v>2301</v>
      </c>
      <c r="E576" s="42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42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70">
        <v>46248</v>
      </c>
      <c r="X576" s="30" t="s">
        <v>55</v>
      </c>
      <c r="Y576" s="30" t="s">
        <v>56</v>
      </c>
      <c r="Z576" s="30" t="s">
        <v>57</v>
      </c>
      <c r="AA576" s="30" t="s">
        <v>58</v>
      </c>
      <c r="AB576" s="30" t="s">
        <v>56</v>
      </c>
      <c r="AC576" s="27"/>
      <c r="AD576" s="31" t="s">
        <v>57</v>
      </c>
      <c r="AE576" s="32" t="str">
        <f t="shared" si="42"/>
        <v>✓ OK</v>
      </c>
      <c r="AF576" s="33" t="s">
        <v>61</v>
      </c>
      <c r="AG576" s="33" t="s">
        <v>55</v>
      </c>
      <c r="AH576" s="33" t="s">
        <v>56</v>
      </c>
      <c r="AI576" s="33" t="s">
        <v>57</v>
      </c>
      <c r="AJ576" s="33" t="s">
        <v>58</v>
      </c>
      <c r="AK576" s="33" t="s">
        <v>56</v>
      </c>
      <c r="AL576" s="27"/>
      <c r="AM576" s="34" t="s">
        <v>57</v>
      </c>
      <c r="AN576" s="35" t="str">
        <f t="shared" si="43"/>
        <v>✓ OK</v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2476</v>
      </c>
      <c r="C577" s="25" t="s">
        <v>2477</v>
      </c>
      <c r="D577" s="23" t="s">
        <v>2301</v>
      </c>
      <c r="E577" s="42">
        <v>46129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42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70">
        <v>46248</v>
      </c>
      <c r="X577" s="30" t="s">
        <v>55</v>
      </c>
      <c r="Y577" s="30" t="s">
        <v>56</v>
      </c>
      <c r="Z577" s="30" t="s">
        <v>57</v>
      </c>
      <c r="AA577" s="30" t="s">
        <v>58</v>
      </c>
      <c r="AB577" s="30" t="s">
        <v>56</v>
      </c>
      <c r="AC577" s="27"/>
      <c r="AD577" s="31" t="s">
        <v>57</v>
      </c>
      <c r="AE577" s="32" t="str">
        <f t="shared" si="42"/>
        <v>✓ OK</v>
      </c>
      <c r="AF577" s="33" t="s">
        <v>61</v>
      </c>
      <c r="AG577" s="33" t="s">
        <v>55</v>
      </c>
      <c r="AH577" s="33" t="s">
        <v>56</v>
      </c>
      <c r="AI577" s="33" t="s">
        <v>57</v>
      </c>
      <c r="AJ577" s="33" t="s">
        <v>58</v>
      </c>
      <c r="AK577" s="33" t="s">
        <v>56</v>
      </c>
      <c r="AL577" s="27"/>
      <c r="AM577" s="34" t="s">
        <v>57</v>
      </c>
      <c r="AN577" s="35" t="str">
        <f t="shared" si="43"/>
        <v>✓ OK</v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2478</v>
      </c>
      <c r="C578" s="41" t="s">
        <v>2479</v>
      </c>
      <c r="D578" s="39" t="s">
        <v>2301</v>
      </c>
      <c r="E578" s="42">
        <v>46129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42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70">
        <v>46248</v>
      </c>
      <c r="X578" s="30" t="s">
        <v>55</v>
      </c>
      <c r="Y578" s="30" t="s">
        <v>56</v>
      </c>
      <c r="Z578" s="30" t="s">
        <v>57</v>
      </c>
      <c r="AA578" s="30" t="s">
        <v>58</v>
      </c>
      <c r="AB578" s="30" t="s">
        <v>56</v>
      </c>
      <c r="AC578" s="27"/>
      <c r="AD578" s="31" t="s">
        <v>57</v>
      </c>
      <c r="AE578" s="32" t="str">
        <f t="shared" si="42"/>
        <v>✓ OK</v>
      </c>
      <c r="AF578" s="33" t="s">
        <v>61</v>
      </c>
      <c r="AG578" s="33" t="s">
        <v>55</v>
      </c>
      <c r="AH578" s="33" t="s">
        <v>56</v>
      </c>
      <c r="AI578" s="33" t="s">
        <v>57</v>
      </c>
      <c r="AJ578" s="33" t="s">
        <v>58</v>
      </c>
      <c r="AK578" s="33" t="s">
        <v>56</v>
      </c>
      <c r="AL578" s="27"/>
      <c r="AM578" s="34" t="s">
        <v>57</v>
      </c>
      <c r="AN578" s="35" t="str">
        <f t="shared" si="43"/>
        <v>✓ OK</v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2480</v>
      </c>
      <c r="C579" s="25" t="s">
        <v>2481</v>
      </c>
      <c r="D579" s="23" t="s">
        <v>2301</v>
      </c>
      <c r="E579" s="42">
        <v>46129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42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70">
        <v>46248</v>
      </c>
      <c r="X579" s="30" t="s">
        <v>55</v>
      </c>
      <c r="Y579" s="30" t="s">
        <v>56</v>
      </c>
      <c r="Z579" s="30" t="s">
        <v>57</v>
      </c>
      <c r="AA579" s="30" t="s">
        <v>58</v>
      </c>
      <c r="AB579" s="30" t="s">
        <v>56</v>
      </c>
      <c r="AC579" s="27"/>
      <c r="AD579" s="31" t="s">
        <v>57</v>
      </c>
      <c r="AE579" s="32" t="str">
        <f t="shared" si="42"/>
        <v>✓ OK</v>
      </c>
      <c r="AF579" s="33" t="s">
        <v>61</v>
      </c>
      <c r="AG579" s="33" t="s">
        <v>55</v>
      </c>
      <c r="AH579" s="33" t="s">
        <v>56</v>
      </c>
      <c r="AI579" s="33" t="s">
        <v>57</v>
      </c>
      <c r="AJ579" s="33" t="s">
        <v>58</v>
      </c>
      <c r="AK579" s="33" t="s">
        <v>56</v>
      </c>
      <c r="AL579" s="27"/>
      <c r="AM579" s="34" t="s">
        <v>57</v>
      </c>
      <c r="AN579" s="35" t="str">
        <f t="shared" si="43"/>
        <v>✓ OK</v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2482</v>
      </c>
      <c r="C580" s="41" t="s">
        <v>2483</v>
      </c>
      <c r="D580" s="39" t="s">
        <v>2301</v>
      </c>
      <c r="E580" s="42">
        <v>46129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42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70">
        <v>46248</v>
      </c>
      <c r="X580" s="30" t="s">
        <v>55</v>
      </c>
      <c r="Y580" s="30" t="s">
        <v>56</v>
      </c>
      <c r="Z580" s="30" t="s">
        <v>57</v>
      </c>
      <c r="AA580" s="30" t="s">
        <v>58</v>
      </c>
      <c r="AB580" s="30" t="s">
        <v>56</v>
      </c>
      <c r="AC580" s="27"/>
      <c r="AD580" s="31" t="s">
        <v>57</v>
      </c>
      <c r="AE580" s="32" t="str">
        <f t="shared" si="42"/>
        <v>✓ OK</v>
      </c>
      <c r="AF580" s="33" t="s">
        <v>61</v>
      </c>
      <c r="AG580" s="33" t="s">
        <v>55</v>
      </c>
      <c r="AH580" s="33" t="s">
        <v>56</v>
      </c>
      <c r="AI580" s="33" t="s">
        <v>57</v>
      </c>
      <c r="AJ580" s="33" t="s">
        <v>58</v>
      </c>
      <c r="AK580" s="33" t="s">
        <v>56</v>
      </c>
      <c r="AL580" s="27"/>
      <c r="AM580" s="34" t="s">
        <v>57</v>
      </c>
      <c r="AN580" s="35" t="str">
        <f t="shared" si="43"/>
        <v>✓ OK</v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2484</v>
      </c>
      <c r="C581" s="25" t="s">
        <v>2485</v>
      </c>
      <c r="D581" s="23" t="s">
        <v>2301</v>
      </c>
      <c r="E581" s="42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42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70">
        <v>46248</v>
      </c>
      <c r="X581" s="30" t="s">
        <v>55</v>
      </c>
      <c r="Y581" s="30" t="s">
        <v>56</v>
      </c>
      <c r="Z581" s="30" t="s">
        <v>57</v>
      </c>
      <c r="AA581" s="30" t="s">
        <v>58</v>
      </c>
      <c r="AB581" s="30" t="s">
        <v>56</v>
      </c>
      <c r="AC581" s="27"/>
      <c r="AD581" s="31" t="s">
        <v>57</v>
      </c>
      <c r="AE581" s="32" t="str">
        <f t="shared" ref="AE581:AE644" si="47">IF(W581="","",IF(Z581="Yes","❌ Disc",IF(Y581="No","⚠ Missing",IF(AB581="Yes","✓ OK","⚠ Check"))))</f>
        <v>✓ OK</v>
      </c>
      <c r="AF581" s="33" t="s">
        <v>61</v>
      </c>
      <c r="AG581" s="33" t="s">
        <v>55</v>
      </c>
      <c r="AH581" s="33" t="s">
        <v>56</v>
      </c>
      <c r="AI581" s="33" t="s">
        <v>57</v>
      </c>
      <c r="AJ581" s="33" t="s">
        <v>58</v>
      </c>
      <c r="AK581" s="33" t="s">
        <v>56</v>
      </c>
      <c r="AL581" s="27"/>
      <c r="AM581" s="34" t="s">
        <v>57</v>
      </c>
      <c r="AN581" s="35" t="str">
        <f t="shared" ref="AN581:AN644" si="48">IF(AF581="","",IF(AI581="Yes","❌ Disc",IF(AH581="No","⚠ Missing",IF(AK581="Yes","✓ OK","⚠ Check"))))</f>
        <v>✓ OK</v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2486</v>
      </c>
      <c r="C582" s="41" t="s">
        <v>2487</v>
      </c>
      <c r="D582" s="39" t="s">
        <v>2301</v>
      </c>
      <c r="E582" s="42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42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70">
        <v>46248</v>
      </c>
      <c r="X582" s="30" t="s">
        <v>55</v>
      </c>
      <c r="Y582" s="30" t="s">
        <v>56</v>
      </c>
      <c r="Z582" s="30" t="s">
        <v>57</v>
      </c>
      <c r="AA582" s="30" t="s">
        <v>58</v>
      </c>
      <c r="AB582" s="30" t="s">
        <v>56</v>
      </c>
      <c r="AC582" s="27"/>
      <c r="AD582" s="31" t="s">
        <v>57</v>
      </c>
      <c r="AE582" s="32" t="str">
        <f t="shared" si="47"/>
        <v>✓ OK</v>
      </c>
      <c r="AF582" s="33" t="s">
        <v>61</v>
      </c>
      <c r="AG582" s="33" t="s">
        <v>55</v>
      </c>
      <c r="AH582" s="33" t="s">
        <v>56</v>
      </c>
      <c r="AI582" s="33" t="s">
        <v>57</v>
      </c>
      <c r="AJ582" s="33" t="s">
        <v>58</v>
      </c>
      <c r="AK582" s="33" t="s">
        <v>56</v>
      </c>
      <c r="AL582" s="27"/>
      <c r="AM582" s="34" t="s">
        <v>57</v>
      </c>
      <c r="AN582" s="35" t="str">
        <f t="shared" si="48"/>
        <v>✓ OK</v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2488</v>
      </c>
      <c r="C583" s="25" t="s">
        <v>2489</v>
      </c>
      <c r="D583" s="23" t="s">
        <v>2301</v>
      </c>
      <c r="E583" s="42">
        <v>46132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42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70">
        <v>46248</v>
      </c>
      <c r="X583" s="30" t="s">
        <v>55</v>
      </c>
      <c r="Y583" s="30" t="s">
        <v>56</v>
      </c>
      <c r="Z583" s="30" t="s">
        <v>57</v>
      </c>
      <c r="AA583" s="30" t="s">
        <v>58</v>
      </c>
      <c r="AB583" s="30" t="s">
        <v>56</v>
      </c>
      <c r="AC583" s="27"/>
      <c r="AD583" s="31" t="s">
        <v>57</v>
      </c>
      <c r="AE583" s="32" t="str">
        <f t="shared" si="47"/>
        <v>✓ OK</v>
      </c>
      <c r="AF583" s="33" t="s">
        <v>61</v>
      </c>
      <c r="AG583" s="33" t="s">
        <v>55</v>
      </c>
      <c r="AH583" s="33" t="s">
        <v>56</v>
      </c>
      <c r="AI583" s="33" t="s">
        <v>57</v>
      </c>
      <c r="AJ583" s="33" t="s">
        <v>58</v>
      </c>
      <c r="AK583" s="33" t="s">
        <v>56</v>
      </c>
      <c r="AL583" s="27"/>
      <c r="AM583" s="34" t="s">
        <v>57</v>
      </c>
      <c r="AN583" s="35" t="str">
        <f t="shared" si="48"/>
        <v>✓ OK</v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2490</v>
      </c>
      <c r="C584" s="41" t="s">
        <v>2491</v>
      </c>
      <c r="D584" s="39" t="s">
        <v>2301</v>
      </c>
      <c r="E584" s="42">
        <v>46132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42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70">
        <v>46248</v>
      </c>
      <c r="X584" s="30" t="s">
        <v>55</v>
      </c>
      <c r="Y584" s="30" t="s">
        <v>56</v>
      </c>
      <c r="Z584" s="30" t="s">
        <v>57</v>
      </c>
      <c r="AA584" s="30" t="s">
        <v>58</v>
      </c>
      <c r="AB584" s="30" t="s">
        <v>56</v>
      </c>
      <c r="AC584" s="27"/>
      <c r="AD584" s="31" t="s">
        <v>57</v>
      </c>
      <c r="AE584" s="32" t="str">
        <f t="shared" si="47"/>
        <v>✓ OK</v>
      </c>
      <c r="AF584" s="33" t="s">
        <v>61</v>
      </c>
      <c r="AG584" s="33" t="s">
        <v>55</v>
      </c>
      <c r="AH584" s="33" t="s">
        <v>56</v>
      </c>
      <c r="AI584" s="33" t="s">
        <v>57</v>
      </c>
      <c r="AJ584" s="33" t="s">
        <v>58</v>
      </c>
      <c r="AK584" s="33" t="s">
        <v>56</v>
      </c>
      <c r="AL584" s="27"/>
      <c r="AM584" s="34" t="s">
        <v>57</v>
      </c>
      <c r="AN584" s="35" t="str">
        <f t="shared" si="48"/>
        <v>✓ OK</v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2492</v>
      </c>
      <c r="C585" s="25" t="s">
        <v>2493</v>
      </c>
      <c r="D585" s="23" t="s">
        <v>2301</v>
      </c>
      <c r="E585" s="42">
        <v>46129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42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70">
        <v>46248</v>
      </c>
      <c r="X585" s="30" t="s">
        <v>55</v>
      </c>
      <c r="Y585" s="30" t="s">
        <v>56</v>
      </c>
      <c r="Z585" s="30" t="s">
        <v>57</v>
      </c>
      <c r="AA585" s="30" t="s">
        <v>58</v>
      </c>
      <c r="AB585" s="30" t="s">
        <v>56</v>
      </c>
      <c r="AC585" s="27"/>
      <c r="AD585" s="31" t="s">
        <v>57</v>
      </c>
      <c r="AE585" s="32" t="str">
        <f t="shared" si="47"/>
        <v>✓ OK</v>
      </c>
      <c r="AF585" s="33" t="s">
        <v>61</v>
      </c>
      <c r="AG585" s="33" t="s">
        <v>55</v>
      </c>
      <c r="AH585" s="33" t="s">
        <v>56</v>
      </c>
      <c r="AI585" s="33" t="s">
        <v>57</v>
      </c>
      <c r="AJ585" s="33" t="s">
        <v>58</v>
      </c>
      <c r="AK585" s="33" t="s">
        <v>56</v>
      </c>
      <c r="AL585" s="27"/>
      <c r="AM585" s="34" t="s">
        <v>57</v>
      </c>
      <c r="AN585" s="35" t="str">
        <f t="shared" si="48"/>
        <v>✓ OK</v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2494</v>
      </c>
      <c r="C586" s="41" t="s">
        <v>2495</v>
      </c>
      <c r="D586" s="39" t="s">
        <v>2301</v>
      </c>
      <c r="E586" s="42">
        <v>46129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42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70">
        <v>46248</v>
      </c>
      <c r="X586" s="30" t="s">
        <v>55</v>
      </c>
      <c r="Y586" s="30" t="s">
        <v>56</v>
      </c>
      <c r="Z586" s="30" t="s">
        <v>57</v>
      </c>
      <c r="AA586" s="30" t="s">
        <v>58</v>
      </c>
      <c r="AB586" s="30" t="s">
        <v>56</v>
      </c>
      <c r="AC586" s="27"/>
      <c r="AD586" s="31" t="s">
        <v>57</v>
      </c>
      <c r="AE586" s="32" t="str">
        <f t="shared" si="47"/>
        <v>✓ OK</v>
      </c>
      <c r="AF586" s="33" t="s">
        <v>61</v>
      </c>
      <c r="AG586" s="33" t="s">
        <v>55</v>
      </c>
      <c r="AH586" s="33" t="s">
        <v>56</v>
      </c>
      <c r="AI586" s="33" t="s">
        <v>57</v>
      </c>
      <c r="AJ586" s="33" t="s">
        <v>58</v>
      </c>
      <c r="AK586" s="33" t="s">
        <v>56</v>
      </c>
      <c r="AL586" s="27"/>
      <c r="AM586" s="34" t="s">
        <v>57</v>
      </c>
      <c r="AN586" s="35" t="str">
        <f t="shared" si="48"/>
        <v>✓ OK</v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2496</v>
      </c>
      <c r="C587" s="25" t="s">
        <v>2497</v>
      </c>
      <c r="D587" s="23" t="s">
        <v>2301</v>
      </c>
      <c r="E587" s="42">
        <v>46132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42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70">
        <v>46248</v>
      </c>
      <c r="X587" s="30" t="s">
        <v>55</v>
      </c>
      <c r="Y587" s="30" t="s">
        <v>56</v>
      </c>
      <c r="Z587" s="30" t="s">
        <v>57</v>
      </c>
      <c r="AA587" s="30" t="s">
        <v>58</v>
      </c>
      <c r="AB587" s="30" t="s">
        <v>56</v>
      </c>
      <c r="AC587" s="27"/>
      <c r="AD587" s="31" t="s">
        <v>57</v>
      </c>
      <c r="AE587" s="32" t="str">
        <f t="shared" si="47"/>
        <v>✓ OK</v>
      </c>
      <c r="AF587" s="33" t="s">
        <v>61</v>
      </c>
      <c r="AG587" s="33" t="s">
        <v>55</v>
      </c>
      <c r="AH587" s="33" t="s">
        <v>56</v>
      </c>
      <c r="AI587" s="33" t="s">
        <v>57</v>
      </c>
      <c r="AJ587" s="33" t="s">
        <v>58</v>
      </c>
      <c r="AK587" s="33" t="s">
        <v>56</v>
      </c>
      <c r="AL587" s="27"/>
      <c r="AM587" s="34" t="s">
        <v>57</v>
      </c>
      <c r="AN587" s="35" t="str">
        <f t="shared" si="48"/>
        <v>✓ OK</v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2498</v>
      </c>
      <c r="C588" s="41" t="s">
        <v>2499</v>
      </c>
      <c r="D588" s="39" t="s">
        <v>2301</v>
      </c>
      <c r="E588" s="42">
        <v>46132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42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70">
        <v>46248</v>
      </c>
      <c r="X588" s="30" t="s">
        <v>55</v>
      </c>
      <c r="Y588" s="30" t="s">
        <v>56</v>
      </c>
      <c r="Z588" s="30" t="s">
        <v>57</v>
      </c>
      <c r="AA588" s="30" t="s">
        <v>58</v>
      </c>
      <c r="AB588" s="30" t="s">
        <v>56</v>
      </c>
      <c r="AC588" s="27"/>
      <c r="AD588" s="31" t="s">
        <v>57</v>
      </c>
      <c r="AE588" s="32" t="str">
        <f t="shared" si="47"/>
        <v>✓ OK</v>
      </c>
      <c r="AF588" s="33" t="s">
        <v>61</v>
      </c>
      <c r="AG588" s="33" t="s">
        <v>55</v>
      </c>
      <c r="AH588" s="33" t="s">
        <v>56</v>
      </c>
      <c r="AI588" s="33" t="s">
        <v>57</v>
      </c>
      <c r="AJ588" s="33" t="s">
        <v>58</v>
      </c>
      <c r="AK588" s="33" t="s">
        <v>56</v>
      </c>
      <c r="AL588" s="27"/>
      <c r="AM588" s="34" t="s">
        <v>57</v>
      </c>
      <c r="AN588" s="35" t="str">
        <f t="shared" si="48"/>
        <v>✓ OK</v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2500</v>
      </c>
      <c r="C589" s="25" t="s">
        <v>2501</v>
      </c>
      <c r="D589" s="23" t="s">
        <v>2301</v>
      </c>
      <c r="E589" s="42">
        <v>46132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42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70">
        <v>46248</v>
      </c>
      <c r="X589" s="30" t="s">
        <v>55</v>
      </c>
      <c r="Y589" s="30" t="s">
        <v>56</v>
      </c>
      <c r="Z589" s="30" t="s">
        <v>57</v>
      </c>
      <c r="AA589" s="30" t="s">
        <v>58</v>
      </c>
      <c r="AB589" s="30" t="s">
        <v>56</v>
      </c>
      <c r="AC589" s="27"/>
      <c r="AD589" s="31" t="s">
        <v>57</v>
      </c>
      <c r="AE589" s="32" t="str">
        <f t="shared" si="47"/>
        <v>✓ OK</v>
      </c>
      <c r="AF589" s="33" t="s">
        <v>61</v>
      </c>
      <c r="AG589" s="33" t="s">
        <v>55</v>
      </c>
      <c r="AH589" s="33" t="s">
        <v>56</v>
      </c>
      <c r="AI589" s="33" t="s">
        <v>57</v>
      </c>
      <c r="AJ589" s="33" t="s">
        <v>58</v>
      </c>
      <c r="AK589" s="33" t="s">
        <v>56</v>
      </c>
      <c r="AL589" s="27"/>
      <c r="AM589" s="34" t="s">
        <v>57</v>
      </c>
      <c r="AN589" s="35" t="str">
        <f t="shared" si="48"/>
        <v>✓ OK</v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2502</v>
      </c>
      <c r="C590" s="41" t="s">
        <v>2503</v>
      </c>
      <c r="D590" s="39" t="s">
        <v>2301</v>
      </c>
      <c r="E590" s="42">
        <v>46132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42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70">
        <v>46248</v>
      </c>
      <c r="X590" s="30" t="s">
        <v>55</v>
      </c>
      <c r="Y590" s="30" t="s">
        <v>56</v>
      </c>
      <c r="Z590" s="30" t="s">
        <v>57</v>
      </c>
      <c r="AA590" s="30" t="s">
        <v>58</v>
      </c>
      <c r="AB590" s="30" t="s">
        <v>56</v>
      </c>
      <c r="AC590" s="27"/>
      <c r="AD590" s="31" t="s">
        <v>57</v>
      </c>
      <c r="AE590" s="32" t="str">
        <f t="shared" si="47"/>
        <v>✓ OK</v>
      </c>
      <c r="AF590" s="33" t="s">
        <v>61</v>
      </c>
      <c r="AG590" s="33" t="s">
        <v>55</v>
      </c>
      <c r="AH590" s="33" t="s">
        <v>56</v>
      </c>
      <c r="AI590" s="33" t="s">
        <v>57</v>
      </c>
      <c r="AJ590" s="33" t="s">
        <v>58</v>
      </c>
      <c r="AK590" s="33" t="s">
        <v>56</v>
      </c>
      <c r="AL590" s="27"/>
      <c r="AM590" s="34" t="s">
        <v>57</v>
      </c>
      <c r="AN590" s="35" t="str">
        <f t="shared" si="48"/>
        <v>✓ OK</v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2504</v>
      </c>
      <c r="C591" s="25" t="s">
        <v>2505</v>
      </c>
      <c r="D591" s="23" t="s">
        <v>2301</v>
      </c>
      <c r="E591" s="42">
        <v>46129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42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70">
        <v>46248</v>
      </c>
      <c r="X591" s="30" t="s">
        <v>55</v>
      </c>
      <c r="Y591" s="30" t="s">
        <v>56</v>
      </c>
      <c r="Z591" s="30" t="s">
        <v>57</v>
      </c>
      <c r="AA591" s="30" t="s">
        <v>58</v>
      </c>
      <c r="AB591" s="30" t="s">
        <v>56</v>
      </c>
      <c r="AC591" s="27"/>
      <c r="AD591" s="31" t="s">
        <v>57</v>
      </c>
      <c r="AE591" s="32" t="str">
        <f t="shared" si="47"/>
        <v>✓ OK</v>
      </c>
      <c r="AF591" s="33" t="s">
        <v>61</v>
      </c>
      <c r="AG591" s="33" t="s">
        <v>55</v>
      </c>
      <c r="AH591" s="33" t="s">
        <v>56</v>
      </c>
      <c r="AI591" s="33" t="s">
        <v>57</v>
      </c>
      <c r="AJ591" s="33" t="s">
        <v>58</v>
      </c>
      <c r="AK591" s="33" t="s">
        <v>56</v>
      </c>
      <c r="AL591" s="27"/>
      <c r="AM591" s="34" t="s">
        <v>57</v>
      </c>
      <c r="AN591" s="35" t="str">
        <f t="shared" si="48"/>
        <v>✓ OK</v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2506</v>
      </c>
      <c r="C592" s="41" t="s">
        <v>2507</v>
      </c>
      <c r="D592" s="39" t="s">
        <v>2301</v>
      </c>
      <c r="E592" s="42">
        <v>46129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42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70">
        <v>46248</v>
      </c>
      <c r="X592" s="30" t="s">
        <v>55</v>
      </c>
      <c r="Y592" s="30" t="s">
        <v>56</v>
      </c>
      <c r="Z592" s="30" t="s">
        <v>57</v>
      </c>
      <c r="AA592" s="30" t="s">
        <v>58</v>
      </c>
      <c r="AB592" s="30" t="s">
        <v>56</v>
      </c>
      <c r="AC592" s="27"/>
      <c r="AD592" s="31" t="s">
        <v>57</v>
      </c>
      <c r="AE592" s="32" t="str">
        <f t="shared" si="47"/>
        <v>✓ OK</v>
      </c>
      <c r="AF592" s="33" t="s">
        <v>61</v>
      </c>
      <c r="AG592" s="33" t="s">
        <v>55</v>
      </c>
      <c r="AH592" s="33" t="s">
        <v>56</v>
      </c>
      <c r="AI592" s="33" t="s">
        <v>57</v>
      </c>
      <c r="AJ592" s="33" t="s">
        <v>58</v>
      </c>
      <c r="AK592" s="33" t="s">
        <v>56</v>
      </c>
      <c r="AL592" s="27"/>
      <c r="AM592" s="34" t="s">
        <v>57</v>
      </c>
      <c r="AN592" s="35" t="str">
        <f t="shared" si="48"/>
        <v>✓ OK</v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2508</v>
      </c>
      <c r="C593" s="25" t="s">
        <v>2509</v>
      </c>
      <c r="D593" s="23" t="s">
        <v>2301</v>
      </c>
      <c r="E593" s="42">
        <v>46129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42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70">
        <v>46248</v>
      </c>
      <c r="X593" s="30" t="s">
        <v>55</v>
      </c>
      <c r="Y593" s="30" t="s">
        <v>56</v>
      </c>
      <c r="Z593" s="30" t="s">
        <v>57</v>
      </c>
      <c r="AA593" s="30" t="s">
        <v>58</v>
      </c>
      <c r="AB593" s="30" t="s">
        <v>56</v>
      </c>
      <c r="AC593" s="27"/>
      <c r="AD593" s="31" t="s">
        <v>57</v>
      </c>
      <c r="AE593" s="32" t="str">
        <f t="shared" si="47"/>
        <v>✓ OK</v>
      </c>
      <c r="AF593" s="33" t="s">
        <v>61</v>
      </c>
      <c r="AG593" s="33" t="s">
        <v>55</v>
      </c>
      <c r="AH593" s="33" t="s">
        <v>56</v>
      </c>
      <c r="AI593" s="33" t="s">
        <v>57</v>
      </c>
      <c r="AJ593" s="33" t="s">
        <v>58</v>
      </c>
      <c r="AK593" s="33" t="s">
        <v>56</v>
      </c>
      <c r="AL593" s="27"/>
      <c r="AM593" s="34" t="s">
        <v>57</v>
      </c>
      <c r="AN593" s="35" t="str">
        <f t="shared" si="48"/>
        <v>✓ OK</v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2510</v>
      </c>
      <c r="C594" s="41" t="s">
        <v>2511</v>
      </c>
      <c r="D594" s="39" t="s">
        <v>2301</v>
      </c>
      <c r="E594" s="42">
        <v>46129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42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70">
        <v>46248</v>
      </c>
      <c r="X594" s="30" t="s">
        <v>55</v>
      </c>
      <c r="Y594" s="30" t="s">
        <v>56</v>
      </c>
      <c r="Z594" s="30" t="s">
        <v>57</v>
      </c>
      <c r="AA594" s="30" t="s">
        <v>58</v>
      </c>
      <c r="AB594" s="30" t="s">
        <v>56</v>
      </c>
      <c r="AC594" s="27"/>
      <c r="AD594" s="31" t="s">
        <v>57</v>
      </c>
      <c r="AE594" s="32" t="str">
        <f t="shared" si="47"/>
        <v>✓ OK</v>
      </c>
      <c r="AF594" s="33" t="s">
        <v>61</v>
      </c>
      <c r="AG594" s="33" t="s">
        <v>55</v>
      </c>
      <c r="AH594" s="33" t="s">
        <v>56</v>
      </c>
      <c r="AI594" s="33" t="s">
        <v>57</v>
      </c>
      <c r="AJ594" s="33" t="s">
        <v>58</v>
      </c>
      <c r="AK594" s="33" t="s">
        <v>56</v>
      </c>
      <c r="AL594" s="27"/>
      <c r="AM594" s="34" t="s">
        <v>57</v>
      </c>
      <c r="AN594" s="35" t="str">
        <f t="shared" si="48"/>
        <v>✓ OK</v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2512</v>
      </c>
      <c r="C595" s="25" t="s">
        <v>2513</v>
      </c>
      <c r="D595" s="23" t="s">
        <v>2301</v>
      </c>
      <c r="E595" s="42">
        <v>46129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42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70">
        <v>46248</v>
      </c>
      <c r="X595" s="30" t="s">
        <v>55</v>
      </c>
      <c r="Y595" s="30" t="s">
        <v>56</v>
      </c>
      <c r="Z595" s="30" t="s">
        <v>57</v>
      </c>
      <c r="AA595" s="30" t="s">
        <v>58</v>
      </c>
      <c r="AB595" s="30" t="s">
        <v>56</v>
      </c>
      <c r="AC595" s="27"/>
      <c r="AD595" s="31" t="s">
        <v>57</v>
      </c>
      <c r="AE595" s="32" t="str">
        <f t="shared" si="47"/>
        <v>✓ OK</v>
      </c>
      <c r="AF595" s="33" t="s">
        <v>61</v>
      </c>
      <c r="AG595" s="33" t="s">
        <v>55</v>
      </c>
      <c r="AH595" s="33" t="s">
        <v>56</v>
      </c>
      <c r="AI595" s="33" t="s">
        <v>57</v>
      </c>
      <c r="AJ595" s="33" t="s">
        <v>58</v>
      </c>
      <c r="AK595" s="33" t="s">
        <v>56</v>
      </c>
      <c r="AL595" s="27"/>
      <c r="AM595" s="34" t="s">
        <v>57</v>
      </c>
      <c r="AN595" s="35" t="str">
        <f t="shared" si="48"/>
        <v>✓ OK</v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2514</v>
      </c>
      <c r="C596" s="41" t="s">
        <v>2515</v>
      </c>
      <c r="D596" s="39" t="s">
        <v>2301</v>
      </c>
      <c r="E596" s="42">
        <v>46129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42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70">
        <v>46248</v>
      </c>
      <c r="X596" s="30" t="s">
        <v>55</v>
      </c>
      <c r="Y596" s="30" t="s">
        <v>56</v>
      </c>
      <c r="Z596" s="30" t="s">
        <v>57</v>
      </c>
      <c r="AA596" s="30" t="s">
        <v>58</v>
      </c>
      <c r="AB596" s="30" t="s">
        <v>56</v>
      </c>
      <c r="AC596" s="27"/>
      <c r="AD596" s="31" t="s">
        <v>57</v>
      </c>
      <c r="AE596" s="32" t="str">
        <f t="shared" si="47"/>
        <v>✓ OK</v>
      </c>
      <c r="AF596" s="33" t="s">
        <v>61</v>
      </c>
      <c r="AG596" s="33" t="s">
        <v>55</v>
      </c>
      <c r="AH596" s="33" t="s">
        <v>56</v>
      </c>
      <c r="AI596" s="33" t="s">
        <v>57</v>
      </c>
      <c r="AJ596" s="33" t="s">
        <v>58</v>
      </c>
      <c r="AK596" s="33" t="s">
        <v>56</v>
      </c>
      <c r="AL596" s="27"/>
      <c r="AM596" s="34" t="s">
        <v>57</v>
      </c>
      <c r="AN596" s="35" t="str">
        <f t="shared" si="48"/>
        <v>✓ OK</v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2516</v>
      </c>
      <c r="C597" s="25" t="s">
        <v>2517</v>
      </c>
      <c r="D597" s="23" t="s">
        <v>2301</v>
      </c>
      <c r="E597" s="42">
        <v>46129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42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70">
        <v>46248</v>
      </c>
      <c r="X597" s="30" t="s">
        <v>55</v>
      </c>
      <c r="Y597" s="30" t="s">
        <v>56</v>
      </c>
      <c r="Z597" s="30" t="s">
        <v>57</v>
      </c>
      <c r="AA597" s="30" t="s">
        <v>58</v>
      </c>
      <c r="AB597" s="30" t="s">
        <v>56</v>
      </c>
      <c r="AC597" s="27"/>
      <c r="AD597" s="31" t="s">
        <v>57</v>
      </c>
      <c r="AE597" s="32" t="str">
        <f t="shared" si="47"/>
        <v>✓ OK</v>
      </c>
      <c r="AF597" s="33" t="s">
        <v>61</v>
      </c>
      <c r="AG597" s="33" t="s">
        <v>55</v>
      </c>
      <c r="AH597" s="33" t="s">
        <v>56</v>
      </c>
      <c r="AI597" s="33" t="s">
        <v>57</v>
      </c>
      <c r="AJ597" s="33" t="s">
        <v>58</v>
      </c>
      <c r="AK597" s="33" t="s">
        <v>56</v>
      </c>
      <c r="AL597" s="27"/>
      <c r="AM597" s="34" t="s">
        <v>57</v>
      </c>
      <c r="AN597" s="35" t="str">
        <f t="shared" si="48"/>
        <v>✓ OK</v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2518</v>
      </c>
      <c r="C598" s="41" t="s">
        <v>2519</v>
      </c>
      <c r="D598" s="39" t="s">
        <v>2301</v>
      </c>
      <c r="E598" s="42">
        <v>46129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42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70">
        <v>46248</v>
      </c>
      <c r="X598" s="30" t="s">
        <v>55</v>
      </c>
      <c r="Y598" s="30" t="s">
        <v>56</v>
      </c>
      <c r="Z598" s="30" t="s">
        <v>57</v>
      </c>
      <c r="AA598" s="30" t="s">
        <v>58</v>
      </c>
      <c r="AB598" s="30" t="s">
        <v>56</v>
      </c>
      <c r="AC598" s="27"/>
      <c r="AD598" s="31" t="s">
        <v>57</v>
      </c>
      <c r="AE598" s="32" t="str">
        <f t="shared" si="47"/>
        <v>✓ OK</v>
      </c>
      <c r="AF598" s="33" t="s">
        <v>61</v>
      </c>
      <c r="AG598" s="33" t="s">
        <v>55</v>
      </c>
      <c r="AH598" s="33" t="s">
        <v>56</v>
      </c>
      <c r="AI598" s="33" t="s">
        <v>57</v>
      </c>
      <c r="AJ598" s="33" t="s">
        <v>58</v>
      </c>
      <c r="AK598" s="33" t="s">
        <v>56</v>
      </c>
      <c r="AL598" s="27"/>
      <c r="AM598" s="34" t="s">
        <v>57</v>
      </c>
      <c r="AN598" s="35" t="str">
        <f t="shared" si="48"/>
        <v>✓ OK</v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2520</v>
      </c>
      <c r="C599" s="25" t="s">
        <v>2521</v>
      </c>
      <c r="D599" s="23" t="s">
        <v>2301</v>
      </c>
      <c r="E599" s="42">
        <v>46129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42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70">
        <v>46248</v>
      </c>
      <c r="X599" s="30" t="s">
        <v>55</v>
      </c>
      <c r="Y599" s="30" t="s">
        <v>56</v>
      </c>
      <c r="Z599" s="30" t="s">
        <v>57</v>
      </c>
      <c r="AA599" s="30" t="s">
        <v>58</v>
      </c>
      <c r="AB599" s="30" t="s">
        <v>56</v>
      </c>
      <c r="AC599" s="27"/>
      <c r="AD599" s="31" t="s">
        <v>57</v>
      </c>
      <c r="AE599" s="32" t="str">
        <f t="shared" si="47"/>
        <v>✓ OK</v>
      </c>
      <c r="AF599" s="33" t="s">
        <v>61</v>
      </c>
      <c r="AG599" s="33" t="s">
        <v>55</v>
      </c>
      <c r="AH599" s="33" t="s">
        <v>56</v>
      </c>
      <c r="AI599" s="33" t="s">
        <v>57</v>
      </c>
      <c r="AJ599" s="33" t="s">
        <v>58</v>
      </c>
      <c r="AK599" s="33" t="s">
        <v>56</v>
      </c>
      <c r="AL599" s="27"/>
      <c r="AM599" s="34" t="s">
        <v>57</v>
      </c>
      <c r="AN599" s="35" t="str">
        <f t="shared" si="48"/>
        <v>✓ OK</v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2522</v>
      </c>
      <c r="C600" s="41" t="s">
        <v>2523</v>
      </c>
      <c r="D600" s="39" t="s">
        <v>2301</v>
      </c>
      <c r="E600" s="42">
        <v>46129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42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70">
        <v>46248</v>
      </c>
      <c r="X600" s="30" t="s">
        <v>55</v>
      </c>
      <c r="Y600" s="30" t="s">
        <v>56</v>
      </c>
      <c r="Z600" s="30" t="s">
        <v>57</v>
      </c>
      <c r="AA600" s="30" t="s">
        <v>58</v>
      </c>
      <c r="AB600" s="30" t="s">
        <v>56</v>
      </c>
      <c r="AC600" s="27"/>
      <c r="AD600" s="31" t="s">
        <v>57</v>
      </c>
      <c r="AE600" s="32" t="str">
        <f t="shared" si="47"/>
        <v>✓ OK</v>
      </c>
      <c r="AF600" s="33" t="s">
        <v>61</v>
      </c>
      <c r="AG600" s="33" t="s">
        <v>55</v>
      </c>
      <c r="AH600" s="33" t="s">
        <v>56</v>
      </c>
      <c r="AI600" s="33" t="s">
        <v>57</v>
      </c>
      <c r="AJ600" s="33" t="s">
        <v>58</v>
      </c>
      <c r="AK600" s="33" t="s">
        <v>56</v>
      </c>
      <c r="AL600" s="27"/>
      <c r="AM600" s="34" t="s">
        <v>57</v>
      </c>
      <c r="AN600" s="35" t="str">
        <f t="shared" si="48"/>
        <v>✓ OK</v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2524</v>
      </c>
      <c r="C601" s="25" t="s">
        <v>2525</v>
      </c>
      <c r="D601" s="23" t="s">
        <v>2301</v>
      </c>
      <c r="E601" s="42">
        <v>46129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42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70">
        <v>46248</v>
      </c>
      <c r="X601" s="30" t="s">
        <v>55</v>
      </c>
      <c r="Y601" s="30" t="s">
        <v>56</v>
      </c>
      <c r="Z601" s="30" t="s">
        <v>57</v>
      </c>
      <c r="AA601" s="30" t="s">
        <v>58</v>
      </c>
      <c r="AB601" s="30" t="s">
        <v>56</v>
      </c>
      <c r="AC601" s="27"/>
      <c r="AD601" s="31" t="s">
        <v>57</v>
      </c>
      <c r="AE601" s="32" t="str">
        <f t="shared" si="47"/>
        <v>✓ OK</v>
      </c>
      <c r="AF601" s="33" t="s">
        <v>61</v>
      </c>
      <c r="AG601" s="33" t="s">
        <v>55</v>
      </c>
      <c r="AH601" s="33" t="s">
        <v>56</v>
      </c>
      <c r="AI601" s="33" t="s">
        <v>57</v>
      </c>
      <c r="AJ601" s="33" t="s">
        <v>58</v>
      </c>
      <c r="AK601" s="33" t="s">
        <v>56</v>
      </c>
      <c r="AL601" s="27"/>
      <c r="AM601" s="34" t="s">
        <v>57</v>
      </c>
      <c r="AN601" s="35" t="str">
        <f t="shared" si="48"/>
        <v>✓ OK</v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2526</v>
      </c>
      <c r="C602" s="41" t="s">
        <v>2527</v>
      </c>
      <c r="D602" s="39" t="s">
        <v>2301</v>
      </c>
      <c r="E602" s="42">
        <v>46129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42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70">
        <v>46248</v>
      </c>
      <c r="X602" s="30" t="s">
        <v>55</v>
      </c>
      <c r="Y602" s="30" t="s">
        <v>56</v>
      </c>
      <c r="Z602" s="30" t="s">
        <v>57</v>
      </c>
      <c r="AA602" s="30" t="s">
        <v>58</v>
      </c>
      <c r="AB602" s="30" t="s">
        <v>56</v>
      </c>
      <c r="AC602" s="27"/>
      <c r="AD602" s="31" t="s">
        <v>57</v>
      </c>
      <c r="AE602" s="32" t="str">
        <f t="shared" si="47"/>
        <v>✓ OK</v>
      </c>
      <c r="AF602" s="33" t="s">
        <v>61</v>
      </c>
      <c r="AG602" s="33" t="s">
        <v>55</v>
      </c>
      <c r="AH602" s="33" t="s">
        <v>56</v>
      </c>
      <c r="AI602" s="33" t="s">
        <v>57</v>
      </c>
      <c r="AJ602" s="33" t="s">
        <v>58</v>
      </c>
      <c r="AK602" s="33" t="s">
        <v>56</v>
      </c>
      <c r="AL602" s="27"/>
      <c r="AM602" s="34" t="s">
        <v>57</v>
      </c>
      <c r="AN602" s="35" t="str">
        <f t="shared" si="48"/>
        <v>✓ OK</v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2528</v>
      </c>
      <c r="C603" s="25" t="s">
        <v>2529</v>
      </c>
      <c r="D603" s="23" t="s">
        <v>2301</v>
      </c>
      <c r="E603" s="42">
        <v>46129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42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70">
        <v>46248</v>
      </c>
      <c r="X603" s="30" t="s">
        <v>55</v>
      </c>
      <c r="Y603" s="30" t="s">
        <v>56</v>
      </c>
      <c r="Z603" s="30" t="s">
        <v>57</v>
      </c>
      <c r="AA603" s="30" t="s">
        <v>58</v>
      </c>
      <c r="AB603" s="30" t="s">
        <v>56</v>
      </c>
      <c r="AC603" s="27"/>
      <c r="AD603" s="31" t="s">
        <v>57</v>
      </c>
      <c r="AE603" s="32" t="str">
        <f t="shared" si="47"/>
        <v>✓ OK</v>
      </c>
      <c r="AF603" s="33" t="s">
        <v>61</v>
      </c>
      <c r="AG603" s="33" t="s">
        <v>55</v>
      </c>
      <c r="AH603" s="33" t="s">
        <v>56</v>
      </c>
      <c r="AI603" s="33" t="s">
        <v>57</v>
      </c>
      <c r="AJ603" s="33" t="s">
        <v>58</v>
      </c>
      <c r="AK603" s="33" t="s">
        <v>56</v>
      </c>
      <c r="AL603" s="27"/>
      <c r="AM603" s="34" t="s">
        <v>57</v>
      </c>
      <c r="AN603" s="35" t="str">
        <f t="shared" si="48"/>
        <v>✓ OK</v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2530</v>
      </c>
      <c r="C604" s="41" t="s">
        <v>2531</v>
      </c>
      <c r="D604" s="39" t="s">
        <v>2301</v>
      </c>
      <c r="E604" s="42">
        <v>46129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42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70">
        <v>46248</v>
      </c>
      <c r="X604" s="30" t="s">
        <v>55</v>
      </c>
      <c r="Y604" s="30" t="s">
        <v>56</v>
      </c>
      <c r="Z604" s="30" t="s">
        <v>57</v>
      </c>
      <c r="AA604" s="30" t="s">
        <v>58</v>
      </c>
      <c r="AB604" s="30" t="s">
        <v>56</v>
      </c>
      <c r="AC604" s="27"/>
      <c r="AD604" s="31" t="s">
        <v>57</v>
      </c>
      <c r="AE604" s="32" t="str">
        <f t="shared" si="47"/>
        <v>✓ OK</v>
      </c>
      <c r="AF604" s="33" t="s">
        <v>61</v>
      </c>
      <c r="AG604" s="33" t="s">
        <v>55</v>
      </c>
      <c r="AH604" s="33" t="s">
        <v>56</v>
      </c>
      <c r="AI604" s="33" t="s">
        <v>57</v>
      </c>
      <c r="AJ604" s="33" t="s">
        <v>58</v>
      </c>
      <c r="AK604" s="33" t="s">
        <v>56</v>
      </c>
      <c r="AL604" s="27"/>
      <c r="AM604" s="34" t="s">
        <v>57</v>
      </c>
      <c r="AN604" s="35" t="str">
        <f t="shared" si="48"/>
        <v>✓ OK</v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2532</v>
      </c>
      <c r="C605" s="25" t="s">
        <v>2533</v>
      </c>
      <c r="D605" s="23" t="s">
        <v>2301</v>
      </c>
      <c r="E605" s="42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42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70">
        <v>46248</v>
      </c>
      <c r="X605" s="30" t="s">
        <v>55</v>
      </c>
      <c r="Y605" s="30" t="s">
        <v>56</v>
      </c>
      <c r="Z605" s="30" t="s">
        <v>57</v>
      </c>
      <c r="AA605" s="30" t="s">
        <v>58</v>
      </c>
      <c r="AB605" s="30" t="s">
        <v>56</v>
      </c>
      <c r="AC605" s="27"/>
      <c r="AD605" s="31" t="s">
        <v>57</v>
      </c>
      <c r="AE605" s="32" t="str">
        <f t="shared" si="47"/>
        <v>✓ OK</v>
      </c>
      <c r="AF605" s="33" t="s">
        <v>61</v>
      </c>
      <c r="AG605" s="33" t="s">
        <v>55</v>
      </c>
      <c r="AH605" s="33" t="s">
        <v>56</v>
      </c>
      <c r="AI605" s="33" t="s">
        <v>57</v>
      </c>
      <c r="AJ605" s="33" t="s">
        <v>58</v>
      </c>
      <c r="AK605" s="33" t="s">
        <v>56</v>
      </c>
      <c r="AL605" s="27"/>
      <c r="AM605" s="34" t="s">
        <v>57</v>
      </c>
      <c r="AN605" s="35" t="str">
        <f t="shared" si="48"/>
        <v>✓ OK</v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2534</v>
      </c>
      <c r="C606" s="41" t="s">
        <v>2535</v>
      </c>
      <c r="D606" s="39" t="s">
        <v>2301</v>
      </c>
      <c r="E606" s="42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42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70">
        <v>46248</v>
      </c>
      <c r="X606" s="30" t="s">
        <v>55</v>
      </c>
      <c r="Y606" s="30" t="s">
        <v>56</v>
      </c>
      <c r="Z606" s="30" t="s">
        <v>57</v>
      </c>
      <c r="AA606" s="30" t="s">
        <v>58</v>
      </c>
      <c r="AB606" s="30" t="s">
        <v>56</v>
      </c>
      <c r="AC606" s="27"/>
      <c r="AD606" s="31" t="s">
        <v>57</v>
      </c>
      <c r="AE606" s="32" t="str">
        <f t="shared" si="47"/>
        <v>✓ OK</v>
      </c>
      <c r="AF606" s="33" t="s">
        <v>61</v>
      </c>
      <c r="AG606" s="33" t="s">
        <v>55</v>
      </c>
      <c r="AH606" s="33" t="s">
        <v>56</v>
      </c>
      <c r="AI606" s="33" t="s">
        <v>57</v>
      </c>
      <c r="AJ606" s="33" t="s">
        <v>58</v>
      </c>
      <c r="AK606" s="33" t="s">
        <v>56</v>
      </c>
      <c r="AL606" s="27"/>
      <c r="AM606" s="34" t="s">
        <v>57</v>
      </c>
      <c r="AN606" s="35" t="str">
        <f t="shared" si="48"/>
        <v>✓ OK</v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2536</v>
      </c>
      <c r="C607" s="25" t="s">
        <v>2537</v>
      </c>
      <c r="D607" s="23" t="s">
        <v>2301</v>
      </c>
      <c r="E607" s="42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42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70">
        <v>46248</v>
      </c>
      <c r="X607" s="30" t="s">
        <v>55</v>
      </c>
      <c r="Y607" s="30" t="s">
        <v>56</v>
      </c>
      <c r="Z607" s="30" t="s">
        <v>57</v>
      </c>
      <c r="AA607" s="30" t="s">
        <v>58</v>
      </c>
      <c r="AB607" s="30" t="s">
        <v>56</v>
      </c>
      <c r="AC607" s="27"/>
      <c r="AD607" s="31" t="s">
        <v>57</v>
      </c>
      <c r="AE607" s="32" t="str">
        <f t="shared" si="47"/>
        <v>✓ OK</v>
      </c>
      <c r="AF607" s="33" t="s">
        <v>61</v>
      </c>
      <c r="AG607" s="33" t="s">
        <v>55</v>
      </c>
      <c r="AH607" s="33" t="s">
        <v>56</v>
      </c>
      <c r="AI607" s="33" t="s">
        <v>57</v>
      </c>
      <c r="AJ607" s="33" t="s">
        <v>58</v>
      </c>
      <c r="AK607" s="33" t="s">
        <v>56</v>
      </c>
      <c r="AL607" s="27"/>
      <c r="AM607" s="34" t="s">
        <v>57</v>
      </c>
      <c r="AN607" s="35" t="str">
        <f t="shared" si="48"/>
        <v>✓ OK</v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2538</v>
      </c>
      <c r="C608" s="41" t="s">
        <v>2539</v>
      </c>
      <c r="D608" s="39" t="s">
        <v>2301</v>
      </c>
      <c r="E608" s="42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42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70">
        <v>46248</v>
      </c>
      <c r="X608" s="30" t="s">
        <v>55</v>
      </c>
      <c r="Y608" s="30" t="s">
        <v>56</v>
      </c>
      <c r="Z608" s="30" t="s">
        <v>57</v>
      </c>
      <c r="AA608" s="30" t="s">
        <v>58</v>
      </c>
      <c r="AB608" s="30" t="s">
        <v>56</v>
      </c>
      <c r="AC608" s="27"/>
      <c r="AD608" s="31" t="s">
        <v>57</v>
      </c>
      <c r="AE608" s="32" t="str">
        <f t="shared" si="47"/>
        <v>✓ OK</v>
      </c>
      <c r="AF608" s="33" t="s">
        <v>61</v>
      </c>
      <c r="AG608" s="33" t="s">
        <v>55</v>
      </c>
      <c r="AH608" s="33" t="s">
        <v>56</v>
      </c>
      <c r="AI608" s="33" t="s">
        <v>57</v>
      </c>
      <c r="AJ608" s="33" t="s">
        <v>58</v>
      </c>
      <c r="AK608" s="33" t="s">
        <v>56</v>
      </c>
      <c r="AL608" s="27"/>
      <c r="AM608" s="34" t="s">
        <v>57</v>
      </c>
      <c r="AN608" s="35" t="str">
        <f t="shared" si="48"/>
        <v>✓ OK</v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2540</v>
      </c>
      <c r="C609" s="25" t="s">
        <v>2541</v>
      </c>
      <c r="D609" s="23" t="s">
        <v>2301</v>
      </c>
      <c r="E609" s="42">
        <v>46132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42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70">
        <v>46248</v>
      </c>
      <c r="X609" s="30" t="s">
        <v>55</v>
      </c>
      <c r="Y609" s="30" t="s">
        <v>56</v>
      </c>
      <c r="Z609" s="30" t="s">
        <v>57</v>
      </c>
      <c r="AA609" s="30" t="s">
        <v>58</v>
      </c>
      <c r="AB609" s="30" t="s">
        <v>56</v>
      </c>
      <c r="AC609" s="27"/>
      <c r="AD609" s="31" t="s">
        <v>57</v>
      </c>
      <c r="AE609" s="32" t="str">
        <f t="shared" si="47"/>
        <v>✓ OK</v>
      </c>
      <c r="AF609" s="33" t="s">
        <v>61</v>
      </c>
      <c r="AG609" s="33" t="s">
        <v>55</v>
      </c>
      <c r="AH609" s="33" t="s">
        <v>56</v>
      </c>
      <c r="AI609" s="33" t="s">
        <v>57</v>
      </c>
      <c r="AJ609" s="33" t="s">
        <v>58</v>
      </c>
      <c r="AK609" s="33" t="s">
        <v>56</v>
      </c>
      <c r="AL609" s="27"/>
      <c r="AM609" s="34" t="s">
        <v>57</v>
      </c>
      <c r="AN609" s="35" t="str">
        <f t="shared" si="48"/>
        <v>✓ OK</v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2542</v>
      </c>
      <c r="C610" s="41" t="s">
        <v>2543</v>
      </c>
      <c r="D610" s="39" t="s">
        <v>2301</v>
      </c>
      <c r="E610" s="42">
        <v>46132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42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70">
        <v>46248</v>
      </c>
      <c r="X610" s="30" t="s">
        <v>55</v>
      </c>
      <c r="Y610" s="30" t="s">
        <v>56</v>
      </c>
      <c r="Z610" s="30" t="s">
        <v>57</v>
      </c>
      <c r="AA610" s="30" t="s">
        <v>58</v>
      </c>
      <c r="AB610" s="30" t="s">
        <v>56</v>
      </c>
      <c r="AC610" s="27"/>
      <c r="AD610" s="31" t="s">
        <v>57</v>
      </c>
      <c r="AE610" s="32" t="str">
        <f t="shared" si="47"/>
        <v>✓ OK</v>
      </c>
      <c r="AF610" s="33" t="s">
        <v>61</v>
      </c>
      <c r="AG610" s="33" t="s">
        <v>55</v>
      </c>
      <c r="AH610" s="33" t="s">
        <v>56</v>
      </c>
      <c r="AI610" s="33" t="s">
        <v>57</v>
      </c>
      <c r="AJ610" s="33" t="s">
        <v>58</v>
      </c>
      <c r="AK610" s="33" t="s">
        <v>56</v>
      </c>
      <c r="AL610" s="27"/>
      <c r="AM610" s="34" t="s">
        <v>57</v>
      </c>
      <c r="AN610" s="35" t="str">
        <f t="shared" si="48"/>
        <v>✓ OK</v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2544</v>
      </c>
      <c r="C611" s="25" t="s">
        <v>2545</v>
      </c>
      <c r="D611" s="23" t="s">
        <v>2301</v>
      </c>
      <c r="E611" s="42">
        <v>46132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42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70">
        <v>46248</v>
      </c>
      <c r="X611" s="30" t="s">
        <v>55</v>
      </c>
      <c r="Y611" s="30" t="s">
        <v>56</v>
      </c>
      <c r="Z611" s="30" t="s">
        <v>57</v>
      </c>
      <c r="AA611" s="30" t="s">
        <v>58</v>
      </c>
      <c r="AB611" s="30" t="s">
        <v>56</v>
      </c>
      <c r="AC611" s="27"/>
      <c r="AD611" s="31" t="s">
        <v>57</v>
      </c>
      <c r="AE611" s="32" t="str">
        <f t="shared" si="47"/>
        <v>✓ OK</v>
      </c>
      <c r="AF611" s="33" t="s">
        <v>61</v>
      </c>
      <c r="AG611" s="33" t="s">
        <v>55</v>
      </c>
      <c r="AH611" s="33" t="s">
        <v>56</v>
      </c>
      <c r="AI611" s="33" t="s">
        <v>57</v>
      </c>
      <c r="AJ611" s="33" t="s">
        <v>58</v>
      </c>
      <c r="AK611" s="33" t="s">
        <v>56</v>
      </c>
      <c r="AL611" s="27"/>
      <c r="AM611" s="34" t="s">
        <v>57</v>
      </c>
      <c r="AN611" s="35" t="str">
        <f t="shared" si="48"/>
        <v>✓ OK</v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2546</v>
      </c>
      <c r="C612" s="41" t="s">
        <v>2547</v>
      </c>
      <c r="D612" s="39" t="s">
        <v>2301</v>
      </c>
      <c r="E612" s="42">
        <v>46132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42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70">
        <v>46248</v>
      </c>
      <c r="X612" s="30" t="s">
        <v>55</v>
      </c>
      <c r="Y612" s="30" t="s">
        <v>56</v>
      </c>
      <c r="Z612" s="30" t="s">
        <v>57</v>
      </c>
      <c r="AA612" s="30" t="s">
        <v>58</v>
      </c>
      <c r="AB612" s="30" t="s">
        <v>56</v>
      </c>
      <c r="AC612" s="27"/>
      <c r="AD612" s="31" t="s">
        <v>57</v>
      </c>
      <c r="AE612" s="32" t="str">
        <f t="shared" si="47"/>
        <v>✓ OK</v>
      </c>
      <c r="AF612" s="33" t="s">
        <v>61</v>
      </c>
      <c r="AG612" s="33" t="s">
        <v>55</v>
      </c>
      <c r="AH612" s="33" t="s">
        <v>56</v>
      </c>
      <c r="AI612" s="33" t="s">
        <v>57</v>
      </c>
      <c r="AJ612" s="33" t="s">
        <v>58</v>
      </c>
      <c r="AK612" s="33" t="s">
        <v>56</v>
      </c>
      <c r="AL612" s="27"/>
      <c r="AM612" s="34" t="s">
        <v>57</v>
      </c>
      <c r="AN612" s="35" t="str">
        <f t="shared" si="48"/>
        <v>✓ OK</v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2548</v>
      </c>
      <c r="C613" s="25" t="s">
        <v>2549</v>
      </c>
      <c r="D613" s="23" t="s">
        <v>2301</v>
      </c>
      <c r="E613" s="42">
        <v>46132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42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70">
        <v>46248</v>
      </c>
      <c r="X613" s="30" t="s">
        <v>55</v>
      </c>
      <c r="Y613" s="30" t="s">
        <v>56</v>
      </c>
      <c r="Z613" s="30" t="s">
        <v>57</v>
      </c>
      <c r="AA613" s="30" t="s">
        <v>58</v>
      </c>
      <c r="AB613" s="30" t="s">
        <v>56</v>
      </c>
      <c r="AC613" s="27"/>
      <c r="AD613" s="31" t="s">
        <v>57</v>
      </c>
      <c r="AE613" s="32" t="str">
        <f t="shared" si="47"/>
        <v>✓ OK</v>
      </c>
      <c r="AF613" s="33" t="s">
        <v>61</v>
      </c>
      <c r="AG613" s="33" t="s">
        <v>55</v>
      </c>
      <c r="AH613" s="33" t="s">
        <v>56</v>
      </c>
      <c r="AI613" s="33" t="s">
        <v>57</v>
      </c>
      <c r="AJ613" s="33" t="s">
        <v>58</v>
      </c>
      <c r="AK613" s="33" t="s">
        <v>56</v>
      </c>
      <c r="AL613" s="27"/>
      <c r="AM613" s="34" t="s">
        <v>57</v>
      </c>
      <c r="AN613" s="35" t="str">
        <f t="shared" si="48"/>
        <v>✓ OK</v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2550</v>
      </c>
      <c r="C614" s="41" t="s">
        <v>2551</v>
      </c>
      <c r="D614" s="39" t="s">
        <v>2301</v>
      </c>
      <c r="E614" s="42">
        <v>46132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42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70">
        <v>46248</v>
      </c>
      <c r="X614" s="30" t="s">
        <v>55</v>
      </c>
      <c r="Y614" s="30" t="s">
        <v>56</v>
      </c>
      <c r="Z614" s="30" t="s">
        <v>57</v>
      </c>
      <c r="AA614" s="30" t="s">
        <v>58</v>
      </c>
      <c r="AB614" s="30" t="s">
        <v>56</v>
      </c>
      <c r="AC614" s="27"/>
      <c r="AD614" s="31" t="s">
        <v>57</v>
      </c>
      <c r="AE614" s="32" t="str">
        <f t="shared" si="47"/>
        <v>✓ OK</v>
      </c>
      <c r="AF614" s="33" t="s">
        <v>61</v>
      </c>
      <c r="AG614" s="33" t="s">
        <v>55</v>
      </c>
      <c r="AH614" s="33" t="s">
        <v>56</v>
      </c>
      <c r="AI614" s="33" t="s">
        <v>57</v>
      </c>
      <c r="AJ614" s="33" t="s">
        <v>58</v>
      </c>
      <c r="AK614" s="33" t="s">
        <v>56</v>
      </c>
      <c r="AL614" s="27"/>
      <c r="AM614" s="34" t="s">
        <v>57</v>
      </c>
      <c r="AN614" s="35" t="str">
        <f t="shared" si="48"/>
        <v>✓ OK</v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2552</v>
      </c>
      <c r="C615" s="25" t="s">
        <v>2553</v>
      </c>
      <c r="D615" s="23" t="s">
        <v>2301</v>
      </c>
      <c r="E615" s="42">
        <v>46129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42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70">
        <v>46248</v>
      </c>
      <c r="X615" s="30" t="s">
        <v>55</v>
      </c>
      <c r="Y615" s="30" t="s">
        <v>56</v>
      </c>
      <c r="Z615" s="30" t="s">
        <v>57</v>
      </c>
      <c r="AA615" s="30" t="s">
        <v>58</v>
      </c>
      <c r="AB615" s="30" t="s">
        <v>56</v>
      </c>
      <c r="AC615" s="27"/>
      <c r="AD615" s="31" t="s">
        <v>57</v>
      </c>
      <c r="AE615" s="32" t="str">
        <f t="shared" si="47"/>
        <v>✓ OK</v>
      </c>
      <c r="AF615" s="33" t="s">
        <v>61</v>
      </c>
      <c r="AG615" s="33" t="s">
        <v>55</v>
      </c>
      <c r="AH615" s="33" t="s">
        <v>56</v>
      </c>
      <c r="AI615" s="33" t="s">
        <v>57</v>
      </c>
      <c r="AJ615" s="33" t="s">
        <v>58</v>
      </c>
      <c r="AK615" s="33" t="s">
        <v>56</v>
      </c>
      <c r="AL615" s="27"/>
      <c r="AM615" s="34" t="s">
        <v>57</v>
      </c>
      <c r="AN615" s="35" t="str">
        <f t="shared" si="48"/>
        <v>✓ OK</v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2554</v>
      </c>
      <c r="C616" s="41" t="s">
        <v>2555</v>
      </c>
      <c r="D616" s="39" t="s">
        <v>2301</v>
      </c>
      <c r="E616" s="42">
        <v>46129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42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70">
        <v>46248</v>
      </c>
      <c r="X616" s="30" t="s">
        <v>55</v>
      </c>
      <c r="Y616" s="30" t="s">
        <v>56</v>
      </c>
      <c r="Z616" s="30" t="s">
        <v>57</v>
      </c>
      <c r="AA616" s="30" t="s">
        <v>58</v>
      </c>
      <c r="AB616" s="30" t="s">
        <v>56</v>
      </c>
      <c r="AC616" s="27"/>
      <c r="AD616" s="31" t="s">
        <v>57</v>
      </c>
      <c r="AE616" s="32" t="str">
        <f t="shared" si="47"/>
        <v>✓ OK</v>
      </c>
      <c r="AF616" s="33" t="s">
        <v>61</v>
      </c>
      <c r="AG616" s="33" t="s">
        <v>55</v>
      </c>
      <c r="AH616" s="33" t="s">
        <v>56</v>
      </c>
      <c r="AI616" s="33" t="s">
        <v>57</v>
      </c>
      <c r="AJ616" s="33" t="s">
        <v>58</v>
      </c>
      <c r="AK616" s="33" t="s">
        <v>56</v>
      </c>
      <c r="AL616" s="27"/>
      <c r="AM616" s="34" t="s">
        <v>57</v>
      </c>
      <c r="AN616" s="35" t="str">
        <f t="shared" si="48"/>
        <v>✓ OK</v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2556</v>
      </c>
      <c r="C617" s="25" t="s">
        <v>2557</v>
      </c>
      <c r="D617" s="23" t="s">
        <v>2301</v>
      </c>
      <c r="E617" s="42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42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70">
        <v>46248</v>
      </c>
      <c r="X617" s="30" t="s">
        <v>55</v>
      </c>
      <c r="Y617" s="30" t="s">
        <v>56</v>
      </c>
      <c r="Z617" s="30" t="s">
        <v>57</v>
      </c>
      <c r="AA617" s="30" t="s">
        <v>58</v>
      </c>
      <c r="AB617" s="30" t="s">
        <v>56</v>
      </c>
      <c r="AC617" s="27"/>
      <c r="AD617" s="31" t="s">
        <v>57</v>
      </c>
      <c r="AE617" s="32" t="str">
        <f t="shared" si="47"/>
        <v>✓ OK</v>
      </c>
      <c r="AF617" s="33" t="s">
        <v>61</v>
      </c>
      <c r="AG617" s="33" t="s">
        <v>55</v>
      </c>
      <c r="AH617" s="33" t="s">
        <v>56</v>
      </c>
      <c r="AI617" s="33" t="s">
        <v>57</v>
      </c>
      <c r="AJ617" s="33" t="s">
        <v>58</v>
      </c>
      <c r="AK617" s="33" t="s">
        <v>56</v>
      </c>
      <c r="AL617" s="27"/>
      <c r="AM617" s="34" t="s">
        <v>57</v>
      </c>
      <c r="AN617" s="35" t="str">
        <f t="shared" si="48"/>
        <v>✓ OK</v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2558</v>
      </c>
      <c r="C618" s="41" t="s">
        <v>2559</v>
      </c>
      <c r="D618" s="39" t="s">
        <v>2301</v>
      </c>
      <c r="E618" s="42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42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70">
        <v>46248</v>
      </c>
      <c r="X618" s="30" t="s">
        <v>55</v>
      </c>
      <c r="Y618" s="30" t="s">
        <v>56</v>
      </c>
      <c r="Z618" s="30" t="s">
        <v>57</v>
      </c>
      <c r="AA618" s="30" t="s">
        <v>58</v>
      </c>
      <c r="AB618" s="30" t="s">
        <v>56</v>
      </c>
      <c r="AC618" s="27"/>
      <c r="AD618" s="31" t="s">
        <v>57</v>
      </c>
      <c r="AE618" s="32" t="str">
        <f t="shared" si="47"/>
        <v>✓ OK</v>
      </c>
      <c r="AF618" s="33" t="s">
        <v>61</v>
      </c>
      <c r="AG618" s="33" t="s">
        <v>55</v>
      </c>
      <c r="AH618" s="33" t="s">
        <v>56</v>
      </c>
      <c r="AI618" s="33" t="s">
        <v>57</v>
      </c>
      <c r="AJ618" s="33" t="s">
        <v>58</v>
      </c>
      <c r="AK618" s="33" t="s">
        <v>56</v>
      </c>
      <c r="AL618" s="27"/>
      <c r="AM618" s="34" t="s">
        <v>57</v>
      </c>
      <c r="AN618" s="35" t="str">
        <f t="shared" si="48"/>
        <v>✓ OK</v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2560</v>
      </c>
      <c r="C619" s="25" t="s">
        <v>2561</v>
      </c>
      <c r="D619" s="23" t="s">
        <v>2301</v>
      </c>
      <c r="E619" s="42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42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70">
        <v>46248</v>
      </c>
      <c r="X619" s="30" t="s">
        <v>55</v>
      </c>
      <c r="Y619" s="30" t="s">
        <v>56</v>
      </c>
      <c r="Z619" s="30" t="s">
        <v>57</v>
      </c>
      <c r="AA619" s="30" t="s">
        <v>58</v>
      </c>
      <c r="AB619" s="30" t="s">
        <v>56</v>
      </c>
      <c r="AC619" s="27"/>
      <c r="AD619" s="31" t="s">
        <v>57</v>
      </c>
      <c r="AE619" s="32" t="str">
        <f t="shared" si="47"/>
        <v>✓ OK</v>
      </c>
      <c r="AF619" s="33" t="s">
        <v>61</v>
      </c>
      <c r="AG619" s="33" t="s">
        <v>55</v>
      </c>
      <c r="AH619" s="33" t="s">
        <v>56</v>
      </c>
      <c r="AI619" s="33" t="s">
        <v>57</v>
      </c>
      <c r="AJ619" s="33" t="s">
        <v>58</v>
      </c>
      <c r="AK619" s="33" t="s">
        <v>56</v>
      </c>
      <c r="AL619" s="27"/>
      <c r="AM619" s="34" t="s">
        <v>57</v>
      </c>
      <c r="AN619" s="35" t="str">
        <f t="shared" si="48"/>
        <v>✓ OK</v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2562</v>
      </c>
      <c r="C620" s="41" t="s">
        <v>2563</v>
      </c>
      <c r="D620" s="39" t="s">
        <v>2301</v>
      </c>
      <c r="E620" s="42">
        <v>46132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42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70">
        <v>46248</v>
      </c>
      <c r="X620" s="30" t="s">
        <v>55</v>
      </c>
      <c r="Y620" s="30" t="s">
        <v>56</v>
      </c>
      <c r="Z620" s="30" t="s">
        <v>57</v>
      </c>
      <c r="AA620" s="30" t="s">
        <v>58</v>
      </c>
      <c r="AB620" s="30" t="s">
        <v>56</v>
      </c>
      <c r="AC620" s="27"/>
      <c r="AD620" s="31" t="s">
        <v>57</v>
      </c>
      <c r="AE620" s="32" t="str">
        <f t="shared" si="47"/>
        <v>✓ OK</v>
      </c>
      <c r="AF620" s="33" t="s">
        <v>61</v>
      </c>
      <c r="AG620" s="33" t="s">
        <v>55</v>
      </c>
      <c r="AH620" s="33" t="s">
        <v>56</v>
      </c>
      <c r="AI620" s="33" t="s">
        <v>57</v>
      </c>
      <c r="AJ620" s="33" t="s">
        <v>58</v>
      </c>
      <c r="AK620" s="33" t="s">
        <v>56</v>
      </c>
      <c r="AL620" s="27"/>
      <c r="AM620" s="34" t="s">
        <v>57</v>
      </c>
      <c r="AN620" s="35" t="str">
        <f t="shared" si="48"/>
        <v>✓ OK</v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2564</v>
      </c>
      <c r="C621" s="25" t="s">
        <v>2565</v>
      </c>
      <c r="D621" s="23" t="s">
        <v>2301</v>
      </c>
      <c r="E621" s="42">
        <v>46132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42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70">
        <v>46248</v>
      </c>
      <c r="X621" s="30" t="s">
        <v>55</v>
      </c>
      <c r="Y621" s="30" t="s">
        <v>56</v>
      </c>
      <c r="Z621" s="30" t="s">
        <v>57</v>
      </c>
      <c r="AA621" s="30" t="s">
        <v>58</v>
      </c>
      <c r="AB621" s="30" t="s">
        <v>56</v>
      </c>
      <c r="AC621" s="27"/>
      <c r="AD621" s="31" t="s">
        <v>57</v>
      </c>
      <c r="AE621" s="32" t="str">
        <f t="shared" si="47"/>
        <v>✓ OK</v>
      </c>
      <c r="AF621" s="33" t="s">
        <v>61</v>
      </c>
      <c r="AG621" s="33" t="s">
        <v>55</v>
      </c>
      <c r="AH621" s="33" t="s">
        <v>56</v>
      </c>
      <c r="AI621" s="33" t="s">
        <v>57</v>
      </c>
      <c r="AJ621" s="33" t="s">
        <v>58</v>
      </c>
      <c r="AK621" s="33" t="s">
        <v>56</v>
      </c>
      <c r="AL621" s="27"/>
      <c r="AM621" s="34" t="s">
        <v>57</v>
      </c>
      <c r="AN621" s="35" t="str">
        <f t="shared" si="48"/>
        <v>✓ OK</v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2566</v>
      </c>
      <c r="C622" s="41" t="s">
        <v>2567</v>
      </c>
      <c r="D622" s="39" t="s">
        <v>2301</v>
      </c>
      <c r="E622" s="42">
        <v>46129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42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70">
        <v>46248</v>
      </c>
      <c r="X622" s="30" t="s">
        <v>55</v>
      </c>
      <c r="Y622" s="30" t="s">
        <v>56</v>
      </c>
      <c r="Z622" s="30" t="s">
        <v>57</v>
      </c>
      <c r="AA622" s="30" t="s">
        <v>58</v>
      </c>
      <c r="AB622" s="30" t="s">
        <v>56</v>
      </c>
      <c r="AC622" s="27"/>
      <c r="AD622" s="31" t="s">
        <v>57</v>
      </c>
      <c r="AE622" s="32" t="str">
        <f t="shared" si="47"/>
        <v>✓ OK</v>
      </c>
      <c r="AF622" s="33" t="s">
        <v>61</v>
      </c>
      <c r="AG622" s="33" t="s">
        <v>55</v>
      </c>
      <c r="AH622" s="33" t="s">
        <v>56</v>
      </c>
      <c r="AI622" s="33" t="s">
        <v>57</v>
      </c>
      <c r="AJ622" s="33" t="s">
        <v>58</v>
      </c>
      <c r="AK622" s="33" t="s">
        <v>56</v>
      </c>
      <c r="AL622" s="27"/>
      <c r="AM622" s="34" t="s">
        <v>57</v>
      </c>
      <c r="AN622" s="35" t="str">
        <f t="shared" si="48"/>
        <v>✓ OK</v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2568</v>
      </c>
      <c r="C623" s="25" t="s">
        <v>2569</v>
      </c>
      <c r="D623" s="23" t="s">
        <v>2301</v>
      </c>
      <c r="E623" s="42">
        <v>46129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42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70">
        <v>46248</v>
      </c>
      <c r="X623" s="30" t="s">
        <v>55</v>
      </c>
      <c r="Y623" s="30" t="s">
        <v>56</v>
      </c>
      <c r="Z623" s="30" t="s">
        <v>57</v>
      </c>
      <c r="AA623" s="30" t="s">
        <v>58</v>
      </c>
      <c r="AB623" s="30" t="s">
        <v>56</v>
      </c>
      <c r="AC623" s="27"/>
      <c r="AD623" s="31" t="s">
        <v>57</v>
      </c>
      <c r="AE623" s="32" t="str">
        <f t="shared" si="47"/>
        <v>✓ OK</v>
      </c>
      <c r="AF623" s="33" t="s">
        <v>61</v>
      </c>
      <c r="AG623" s="33" t="s">
        <v>55</v>
      </c>
      <c r="AH623" s="33" t="s">
        <v>56</v>
      </c>
      <c r="AI623" s="33" t="s">
        <v>57</v>
      </c>
      <c r="AJ623" s="33" t="s">
        <v>58</v>
      </c>
      <c r="AK623" s="33" t="s">
        <v>56</v>
      </c>
      <c r="AL623" s="27"/>
      <c r="AM623" s="34" t="s">
        <v>57</v>
      </c>
      <c r="AN623" s="35" t="str">
        <f t="shared" si="48"/>
        <v>✓ OK</v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2570</v>
      </c>
      <c r="C624" s="41" t="s">
        <v>2571</v>
      </c>
      <c r="D624" s="39" t="s">
        <v>2301</v>
      </c>
      <c r="E624" s="42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42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70">
        <v>46248</v>
      </c>
      <c r="X624" s="30" t="s">
        <v>55</v>
      </c>
      <c r="Y624" s="30" t="s">
        <v>56</v>
      </c>
      <c r="Z624" s="30" t="s">
        <v>57</v>
      </c>
      <c r="AA624" s="30" t="s">
        <v>58</v>
      </c>
      <c r="AB624" s="30" t="s">
        <v>56</v>
      </c>
      <c r="AC624" s="27"/>
      <c r="AD624" s="31" t="s">
        <v>57</v>
      </c>
      <c r="AE624" s="32" t="str">
        <f t="shared" si="47"/>
        <v>✓ OK</v>
      </c>
      <c r="AF624" s="33" t="s">
        <v>61</v>
      </c>
      <c r="AG624" s="33" t="s">
        <v>55</v>
      </c>
      <c r="AH624" s="33" t="s">
        <v>56</v>
      </c>
      <c r="AI624" s="33" t="s">
        <v>57</v>
      </c>
      <c r="AJ624" s="33" t="s">
        <v>58</v>
      </c>
      <c r="AK624" s="33" t="s">
        <v>56</v>
      </c>
      <c r="AL624" s="27"/>
      <c r="AM624" s="34" t="s">
        <v>57</v>
      </c>
      <c r="AN624" s="35" t="str">
        <f t="shared" si="48"/>
        <v>✓ OK</v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2572</v>
      </c>
      <c r="C625" s="25" t="s">
        <v>2573</v>
      </c>
      <c r="D625" s="23" t="s">
        <v>2301</v>
      </c>
      <c r="E625" s="42">
        <v>46129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42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70">
        <v>46248</v>
      </c>
      <c r="X625" s="30" t="s">
        <v>55</v>
      </c>
      <c r="Y625" s="30" t="s">
        <v>56</v>
      </c>
      <c r="Z625" s="30" t="s">
        <v>57</v>
      </c>
      <c r="AA625" s="30" t="s">
        <v>58</v>
      </c>
      <c r="AB625" s="30" t="s">
        <v>56</v>
      </c>
      <c r="AC625" s="27"/>
      <c r="AD625" s="31" t="s">
        <v>57</v>
      </c>
      <c r="AE625" s="32" t="str">
        <f t="shared" si="47"/>
        <v>✓ OK</v>
      </c>
      <c r="AF625" s="33" t="s">
        <v>61</v>
      </c>
      <c r="AG625" s="33" t="s">
        <v>55</v>
      </c>
      <c r="AH625" s="33" t="s">
        <v>56</v>
      </c>
      <c r="AI625" s="33" t="s">
        <v>57</v>
      </c>
      <c r="AJ625" s="33" t="s">
        <v>58</v>
      </c>
      <c r="AK625" s="33" t="s">
        <v>56</v>
      </c>
      <c r="AL625" s="27"/>
      <c r="AM625" s="34" t="s">
        <v>57</v>
      </c>
      <c r="AN625" s="35" t="str">
        <f t="shared" si="48"/>
        <v>✓ OK</v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2574</v>
      </c>
      <c r="C626" s="41" t="s">
        <v>2575</v>
      </c>
      <c r="D626" s="39" t="s">
        <v>2301</v>
      </c>
      <c r="E626" s="42">
        <v>46129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42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70">
        <v>46248</v>
      </c>
      <c r="X626" s="30" t="s">
        <v>55</v>
      </c>
      <c r="Y626" s="30" t="s">
        <v>56</v>
      </c>
      <c r="Z626" s="30" t="s">
        <v>57</v>
      </c>
      <c r="AA626" s="30" t="s">
        <v>58</v>
      </c>
      <c r="AB626" s="30" t="s">
        <v>56</v>
      </c>
      <c r="AC626" s="27"/>
      <c r="AD626" s="31" t="s">
        <v>57</v>
      </c>
      <c r="AE626" s="32" t="str">
        <f t="shared" si="47"/>
        <v>✓ OK</v>
      </c>
      <c r="AF626" s="33" t="s">
        <v>61</v>
      </c>
      <c r="AG626" s="33" t="s">
        <v>55</v>
      </c>
      <c r="AH626" s="33" t="s">
        <v>56</v>
      </c>
      <c r="AI626" s="33" t="s">
        <v>57</v>
      </c>
      <c r="AJ626" s="33" t="s">
        <v>58</v>
      </c>
      <c r="AK626" s="33" t="s">
        <v>56</v>
      </c>
      <c r="AL626" s="27"/>
      <c r="AM626" s="34" t="s">
        <v>57</v>
      </c>
      <c r="AN626" s="35" t="str">
        <f t="shared" si="48"/>
        <v>✓ OK</v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2576</v>
      </c>
      <c r="C627" s="25" t="s">
        <v>2577</v>
      </c>
      <c r="D627" s="23" t="s">
        <v>2301</v>
      </c>
      <c r="E627" s="42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42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70">
        <v>46248</v>
      </c>
      <c r="X627" s="30" t="s">
        <v>55</v>
      </c>
      <c r="Y627" s="30" t="s">
        <v>56</v>
      </c>
      <c r="Z627" s="30" t="s">
        <v>57</v>
      </c>
      <c r="AA627" s="30" t="s">
        <v>58</v>
      </c>
      <c r="AB627" s="30" t="s">
        <v>56</v>
      </c>
      <c r="AC627" s="27"/>
      <c r="AD627" s="31" t="s">
        <v>57</v>
      </c>
      <c r="AE627" s="32" t="str">
        <f t="shared" si="47"/>
        <v>✓ OK</v>
      </c>
      <c r="AF627" s="33" t="s">
        <v>61</v>
      </c>
      <c r="AG627" s="33" t="s">
        <v>55</v>
      </c>
      <c r="AH627" s="33" t="s">
        <v>56</v>
      </c>
      <c r="AI627" s="33" t="s">
        <v>57</v>
      </c>
      <c r="AJ627" s="33" t="s">
        <v>58</v>
      </c>
      <c r="AK627" s="33" t="s">
        <v>56</v>
      </c>
      <c r="AL627" s="27"/>
      <c r="AM627" s="34" t="s">
        <v>57</v>
      </c>
      <c r="AN627" s="35" t="str">
        <f t="shared" si="48"/>
        <v>✓ OK</v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2578</v>
      </c>
      <c r="C628" s="41" t="s">
        <v>2579</v>
      </c>
      <c r="D628" s="39" t="s">
        <v>2301</v>
      </c>
      <c r="E628" s="42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42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70">
        <v>46248</v>
      </c>
      <c r="X628" s="30" t="s">
        <v>55</v>
      </c>
      <c r="Y628" s="30" t="s">
        <v>56</v>
      </c>
      <c r="Z628" s="30" t="s">
        <v>57</v>
      </c>
      <c r="AA628" s="30" t="s">
        <v>58</v>
      </c>
      <c r="AB628" s="30" t="s">
        <v>56</v>
      </c>
      <c r="AC628" s="27"/>
      <c r="AD628" s="31" t="s">
        <v>57</v>
      </c>
      <c r="AE628" s="32" t="str">
        <f t="shared" si="47"/>
        <v>✓ OK</v>
      </c>
      <c r="AF628" s="33" t="s">
        <v>61</v>
      </c>
      <c r="AG628" s="33" t="s">
        <v>55</v>
      </c>
      <c r="AH628" s="33" t="s">
        <v>56</v>
      </c>
      <c r="AI628" s="33" t="s">
        <v>57</v>
      </c>
      <c r="AJ628" s="33" t="s">
        <v>58</v>
      </c>
      <c r="AK628" s="33" t="s">
        <v>56</v>
      </c>
      <c r="AL628" s="27"/>
      <c r="AM628" s="34" t="s">
        <v>57</v>
      </c>
      <c r="AN628" s="35" t="str">
        <f t="shared" si="48"/>
        <v>✓ OK</v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2580</v>
      </c>
      <c r="C629" s="25" t="s">
        <v>2581</v>
      </c>
      <c r="D629" s="23" t="s">
        <v>2301</v>
      </c>
      <c r="E629" s="42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42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70">
        <v>46248</v>
      </c>
      <c r="X629" s="30" t="s">
        <v>55</v>
      </c>
      <c r="Y629" s="30" t="s">
        <v>56</v>
      </c>
      <c r="Z629" s="30" t="s">
        <v>57</v>
      </c>
      <c r="AA629" s="30" t="s">
        <v>58</v>
      </c>
      <c r="AB629" s="30" t="s">
        <v>56</v>
      </c>
      <c r="AC629" s="27"/>
      <c r="AD629" s="31" t="s">
        <v>57</v>
      </c>
      <c r="AE629" s="32" t="str">
        <f t="shared" si="47"/>
        <v>✓ OK</v>
      </c>
      <c r="AF629" s="33" t="s">
        <v>61</v>
      </c>
      <c r="AG629" s="33" t="s">
        <v>55</v>
      </c>
      <c r="AH629" s="33" t="s">
        <v>56</v>
      </c>
      <c r="AI629" s="33" t="s">
        <v>57</v>
      </c>
      <c r="AJ629" s="33" t="s">
        <v>58</v>
      </c>
      <c r="AK629" s="33" t="s">
        <v>56</v>
      </c>
      <c r="AL629" s="27"/>
      <c r="AM629" s="34" t="s">
        <v>57</v>
      </c>
      <c r="AN629" s="35" t="str">
        <f t="shared" si="48"/>
        <v>✓ OK</v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2582</v>
      </c>
      <c r="C630" s="41" t="s">
        <v>2583</v>
      </c>
      <c r="D630" s="39" t="s">
        <v>2301</v>
      </c>
      <c r="E630" s="42">
        <v>46129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42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70">
        <v>46248</v>
      </c>
      <c r="X630" s="30" t="s">
        <v>55</v>
      </c>
      <c r="Y630" s="30" t="s">
        <v>56</v>
      </c>
      <c r="Z630" s="30" t="s">
        <v>57</v>
      </c>
      <c r="AA630" s="30" t="s">
        <v>58</v>
      </c>
      <c r="AB630" s="30" t="s">
        <v>56</v>
      </c>
      <c r="AC630" s="27"/>
      <c r="AD630" s="31" t="s">
        <v>57</v>
      </c>
      <c r="AE630" s="32" t="str">
        <f t="shared" si="47"/>
        <v>✓ OK</v>
      </c>
      <c r="AF630" s="33" t="s">
        <v>61</v>
      </c>
      <c r="AG630" s="33" t="s">
        <v>55</v>
      </c>
      <c r="AH630" s="33" t="s">
        <v>56</v>
      </c>
      <c r="AI630" s="33" t="s">
        <v>57</v>
      </c>
      <c r="AJ630" s="33" t="s">
        <v>58</v>
      </c>
      <c r="AK630" s="33" t="s">
        <v>56</v>
      </c>
      <c r="AL630" s="27"/>
      <c r="AM630" s="34" t="s">
        <v>57</v>
      </c>
      <c r="AN630" s="35" t="str">
        <f t="shared" si="48"/>
        <v>✓ OK</v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2584</v>
      </c>
      <c r="C631" s="25" t="s">
        <v>2585</v>
      </c>
      <c r="D631" s="23" t="s">
        <v>2301</v>
      </c>
      <c r="E631" s="42">
        <v>46132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42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70">
        <v>46248</v>
      </c>
      <c r="X631" s="30" t="s">
        <v>55</v>
      </c>
      <c r="Y631" s="30" t="s">
        <v>56</v>
      </c>
      <c r="Z631" s="30" t="s">
        <v>57</v>
      </c>
      <c r="AA631" s="30" t="s">
        <v>58</v>
      </c>
      <c r="AB631" s="30" t="s">
        <v>56</v>
      </c>
      <c r="AC631" s="27"/>
      <c r="AD631" s="31" t="s">
        <v>57</v>
      </c>
      <c r="AE631" s="32" t="str">
        <f t="shared" si="47"/>
        <v>✓ OK</v>
      </c>
      <c r="AF631" s="33" t="s">
        <v>61</v>
      </c>
      <c r="AG631" s="33" t="s">
        <v>55</v>
      </c>
      <c r="AH631" s="33" t="s">
        <v>56</v>
      </c>
      <c r="AI631" s="33" t="s">
        <v>57</v>
      </c>
      <c r="AJ631" s="33" t="s">
        <v>58</v>
      </c>
      <c r="AK631" s="33" t="s">
        <v>56</v>
      </c>
      <c r="AL631" s="27"/>
      <c r="AM631" s="34" t="s">
        <v>57</v>
      </c>
      <c r="AN631" s="35" t="str">
        <f t="shared" si="48"/>
        <v>✓ OK</v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2586</v>
      </c>
      <c r="C632" s="41" t="s">
        <v>2587</v>
      </c>
      <c r="D632" s="39" t="s">
        <v>2301</v>
      </c>
      <c r="E632" s="42">
        <v>46129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42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70">
        <v>46248</v>
      </c>
      <c r="X632" s="30" t="s">
        <v>55</v>
      </c>
      <c r="Y632" s="30" t="s">
        <v>56</v>
      </c>
      <c r="Z632" s="30" t="s">
        <v>57</v>
      </c>
      <c r="AA632" s="30" t="s">
        <v>58</v>
      </c>
      <c r="AB632" s="30" t="s">
        <v>56</v>
      </c>
      <c r="AC632" s="27"/>
      <c r="AD632" s="31" t="s">
        <v>57</v>
      </c>
      <c r="AE632" s="32" t="str">
        <f t="shared" si="47"/>
        <v>✓ OK</v>
      </c>
      <c r="AF632" s="33" t="s">
        <v>61</v>
      </c>
      <c r="AG632" s="33" t="s">
        <v>55</v>
      </c>
      <c r="AH632" s="33" t="s">
        <v>56</v>
      </c>
      <c r="AI632" s="33" t="s">
        <v>57</v>
      </c>
      <c r="AJ632" s="33" t="s">
        <v>58</v>
      </c>
      <c r="AK632" s="33" t="s">
        <v>56</v>
      </c>
      <c r="AL632" s="27"/>
      <c r="AM632" s="34" t="s">
        <v>57</v>
      </c>
      <c r="AN632" s="35" t="str">
        <f t="shared" si="48"/>
        <v>✓ OK</v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2588</v>
      </c>
      <c r="C633" s="25" t="s">
        <v>2589</v>
      </c>
      <c r="D633" s="23" t="s">
        <v>2301</v>
      </c>
      <c r="E633" s="42">
        <v>46129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42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70">
        <v>46248</v>
      </c>
      <c r="X633" s="30" t="s">
        <v>55</v>
      </c>
      <c r="Y633" s="30" t="s">
        <v>56</v>
      </c>
      <c r="Z633" s="30" t="s">
        <v>57</v>
      </c>
      <c r="AA633" s="30" t="s">
        <v>58</v>
      </c>
      <c r="AB633" s="30" t="s">
        <v>56</v>
      </c>
      <c r="AC633" s="27"/>
      <c r="AD633" s="31" t="s">
        <v>57</v>
      </c>
      <c r="AE633" s="32" t="str">
        <f t="shared" si="47"/>
        <v>✓ OK</v>
      </c>
      <c r="AF633" s="33" t="s">
        <v>61</v>
      </c>
      <c r="AG633" s="33" t="s">
        <v>55</v>
      </c>
      <c r="AH633" s="33" t="s">
        <v>56</v>
      </c>
      <c r="AI633" s="33" t="s">
        <v>57</v>
      </c>
      <c r="AJ633" s="33" t="s">
        <v>58</v>
      </c>
      <c r="AK633" s="33" t="s">
        <v>56</v>
      </c>
      <c r="AL633" s="27"/>
      <c r="AM633" s="34" t="s">
        <v>57</v>
      </c>
      <c r="AN633" s="35" t="str">
        <f t="shared" si="48"/>
        <v>✓ OK</v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2590</v>
      </c>
      <c r="C634" s="41" t="s">
        <v>2591</v>
      </c>
      <c r="D634" s="39" t="s">
        <v>2301</v>
      </c>
      <c r="E634" s="42">
        <v>46132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42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70">
        <v>46248</v>
      </c>
      <c r="X634" s="30" t="s">
        <v>55</v>
      </c>
      <c r="Y634" s="30" t="s">
        <v>56</v>
      </c>
      <c r="Z634" s="30" t="s">
        <v>57</v>
      </c>
      <c r="AA634" s="30" t="s">
        <v>58</v>
      </c>
      <c r="AB634" s="30" t="s">
        <v>56</v>
      </c>
      <c r="AC634" s="27"/>
      <c r="AD634" s="31" t="s">
        <v>57</v>
      </c>
      <c r="AE634" s="32" t="str">
        <f t="shared" si="47"/>
        <v>✓ OK</v>
      </c>
      <c r="AF634" s="33" t="s">
        <v>61</v>
      </c>
      <c r="AG634" s="33" t="s">
        <v>55</v>
      </c>
      <c r="AH634" s="33" t="s">
        <v>56</v>
      </c>
      <c r="AI634" s="33" t="s">
        <v>57</v>
      </c>
      <c r="AJ634" s="33" t="s">
        <v>58</v>
      </c>
      <c r="AK634" s="33" t="s">
        <v>56</v>
      </c>
      <c r="AL634" s="27"/>
      <c r="AM634" s="34" t="s">
        <v>57</v>
      </c>
      <c r="AN634" s="35" t="str">
        <f t="shared" si="48"/>
        <v>✓ OK</v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2592</v>
      </c>
      <c r="C635" s="25" t="s">
        <v>2593</v>
      </c>
      <c r="D635" s="23" t="s">
        <v>2301</v>
      </c>
      <c r="E635" s="42">
        <v>46132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42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70">
        <v>46248</v>
      </c>
      <c r="X635" s="30" t="s">
        <v>55</v>
      </c>
      <c r="Y635" s="30" t="s">
        <v>56</v>
      </c>
      <c r="Z635" s="30" t="s">
        <v>57</v>
      </c>
      <c r="AA635" s="30" t="s">
        <v>58</v>
      </c>
      <c r="AB635" s="30" t="s">
        <v>56</v>
      </c>
      <c r="AC635" s="27"/>
      <c r="AD635" s="31" t="s">
        <v>57</v>
      </c>
      <c r="AE635" s="32" t="str">
        <f t="shared" si="47"/>
        <v>✓ OK</v>
      </c>
      <c r="AF635" s="33" t="s">
        <v>61</v>
      </c>
      <c r="AG635" s="33" t="s">
        <v>55</v>
      </c>
      <c r="AH635" s="33" t="s">
        <v>56</v>
      </c>
      <c r="AI635" s="33" t="s">
        <v>57</v>
      </c>
      <c r="AJ635" s="33" t="s">
        <v>58</v>
      </c>
      <c r="AK635" s="33" t="s">
        <v>56</v>
      </c>
      <c r="AL635" s="27"/>
      <c r="AM635" s="34" t="s">
        <v>57</v>
      </c>
      <c r="AN635" s="35" t="str">
        <f t="shared" si="48"/>
        <v>✓ OK</v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2594</v>
      </c>
      <c r="C636" s="41" t="s">
        <v>2595</v>
      </c>
      <c r="D636" s="39" t="s">
        <v>2301</v>
      </c>
      <c r="E636" s="42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42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70">
        <v>46248</v>
      </c>
      <c r="X636" s="30" t="s">
        <v>55</v>
      </c>
      <c r="Y636" s="30" t="s">
        <v>56</v>
      </c>
      <c r="Z636" s="30" t="s">
        <v>57</v>
      </c>
      <c r="AA636" s="30" t="s">
        <v>58</v>
      </c>
      <c r="AB636" s="30" t="s">
        <v>56</v>
      </c>
      <c r="AC636" s="27"/>
      <c r="AD636" s="31" t="s">
        <v>57</v>
      </c>
      <c r="AE636" s="32" t="str">
        <f t="shared" si="47"/>
        <v>✓ OK</v>
      </c>
      <c r="AF636" s="33" t="s">
        <v>61</v>
      </c>
      <c r="AG636" s="33" t="s">
        <v>55</v>
      </c>
      <c r="AH636" s="33" t="s">
        <v>56</v>
      </c>
      <c r="AI636" s="33" t="s">
        <v>57</v>
      </c>
      <c r="AJ636" s="33" t="s">
        <v>58</v>
      </c>
      <c r="AK636" s="33" t="s">
        <v>56</v>
      </c>
      <c r="AL636" s="27"/>
      <c r="AM636" s="34" t="s">
        <v>57</v>
      </c>
      <c r="AN636" s="35" t="str">
        <f t="shared" si="48"/>
        <v>✓ OK</v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2596</v>
      </c>
      <c r="C637" s="25" t="s">
        <v>2597</v>
      </c>
      <c r="D637" s="23" t="s">
        <v>2301</v>
      </c>
      <c r="E637" s="42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42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70">
        <v>46248</v>
      </c>
      <c r="X637" s="30" t="s">
        <v>55</v>
      </c>
      <c r="Y637" s="30" t="s">
        <v>56</v>
      </c>
      <c r="Z637" s="30" t="s">
        <v>57</v>
      </c>
      <c r="AA637" s="30" t="s">
        <v>58</v>
      </c>
      <c r="AB637" s="30" t="s">
        <v>56</v>
      </c>
      <c r="AC637" s="27"/>
      <c r="AD637" s="31" t="s">
        <v>57</v>
      </c>
      <c r="AE637" s="32" t="str">
        <f t="shared" si="47"/>
        <v>✓ OK</v>
      </c>
      <c r="AF637" s="33" t="s">
        <v>61</v>
      </c>
      <c r="AG637" s="33" t="s">
        <v>55</v>
      </c>
      <c r="AH637" s="33" t="s">
        <v>56</v>
      </c>
      <c r="AI637" s="33" t="s">
        <v>57</v>
      </c>
      <c r="AJ637" s="33" t="s">
        <v>58</v>
      </c>
      <c r="AK637" s="33" t="s">
        <v>56</v>
      </c>
      <c r="AL637" s="27"/>
      <c r="AM637" s="34" t="s">
        <v>57</v>
      </c>
      <c r="AN637" s="35" t="str">
        <f t="shared" si="48"/>
        <v>✓ OK</v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2598</v>
      </c>
      <c r="C638" s="41" t="s">
        <v>2599</v>
      </c>
      <c r="D638" s="39" t="s">
        <v>2301</v>
      </c>
      <c r="E638" s="42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42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70">
        <v>46248</v>
      </c>
      <c r="X638" s="30" t="s">
        <v>55</v>
      </c>
      <c r="Y638" s="30" t="s">
        <v>56</v>
      </c>
      <c r="Z638" s="30" t="s">
        <v>57</v>
      </c>
      <c r="AA638" s="30" t="s">
        <v>58</v>
      </c>
      <c r="AB638" s="30" t="s">
        <v>56</v>
      </c>
      <c r="AC638" s="27"/>
      <c r="AD638" s="31" t="s">
        <v>57</v>
      </c>
      <c r="AE638" s="32" t="str">
        <f t="shared" si="47"/>
        <v>✓ OK</v>
      </c>
      <c r="AF638" s="33" t="s">
        <v>61</v>
      </c>
      <c r="AG638" s="33" t="s">
        <v>55</v>
      </c>
      <c r="AH638" s="33" t="s">
        <v>56</v>
      </c>
      <c r="AI638" s="33" t="s">
        <v>57</v>
      </c>
      <c r="AJ638" s="33" t="s">
        <v>58</v>
      </c>
      <c r="AK638" s="33" t="s">
        <v>56</v>
      </c>
      <c r="AL638" s="27"/>
      <c r="AM638" s="34" t="s">
        <v>57</v>
      </c>
      <c r="AN638" s="35" t="str">
        <f t="shared" si="48"/>
        <v>✓ OK</v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2600</v>
      </c>
      <c r="C639" s="25" t="s">
        <v>2601</v>
      </c>
      <c r="D639" s="23" t="s">
        <v>2301</v>
      </c>
      <c r="E639" s="42">
        <v>46129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42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70">
        <v>46248</v>
      </c>
      <c r="X639" s="30" t="s">
        <v>55</v>
      </c>
      <c r="Y639" s="30" t="s">
        <v>56</v>
      </c>
      <c r="Z639" s="30" t="s">
        <v>57</v>
      </c>
      <c r="AA639" s="30" t="s">
        <v>58</v>
      </c>
      <c r="AB639" s="30" t="s">
        <v>56</v>
      </c>
      <c r="AC639" s="27"/>
      <c r="AD639" s="31" t="s">
        <v>57</v>
      </c>
      <c r="AE639" s="32" t="str">
        <f t="shared" si="47"/>
        <v>✓ OK</v>
      </c>
      <c r="AF639" s="33" t="s">
        <v>61</v>
      </c>
      <c r="AG639" s="33" t="s">
        <v>55</v>
      </c>
      <c r="AH639" s="33" t="s">
        <v>56</v>
      </c>
      <c r="AI639" s="33" t="s">
        <v>57</v>
      </c>
      <c r="AJ639" s="33" t="s">
        <v>58</v>
      </c>
      <c r="AK639" s="33" t="s">
        <v>56</v>
      </c>
      <c r="AL639" s="27"/>
      <c r="AM639" s="34" t="s">
        <v>57</v>
      </c>
      <c r="AN639" s="35" t="str">
        <f t="shared" si="48"/>
        <v>✓ OK</v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2602</v>
      </c>
      <c r="C640" s="41" t="s">
        <v>2603</v>
      </c>
      <c r="D640" s="39" t="s">
        <v>2301</v>
      </c>
      <c r="E640" s="42">
        <v>46129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42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70">
        <v>46248</v>
      </c>
      <c r="X640" s="30" t="s">
        <v>55</v>
      </c>
      <c r="Y640" s="30" t="s">
        <v>56</v>
      </c>
      <c r="Z640" s="30" t="s">
        <v>57</v>
      </c>
      <c r="AA640" s="30" t="s">
        <v>58</v>
      </c>
      <c r="AB640" s="30" t="s">
        <v>56</v>
      </c>
      <c r="AC640" s="27"/>
      <c r="AD640" s="31" t="s">
        <v>57</v>
      </c>
      <c r="AE640" s="32" t="str">
        <f t="shared" si="47"/>
        <v>✓ OK</v>
      </c>
      <c r="AF640" s="33" t="s">
        <v>61</v>
      </c>
      <c r="AG640" s="33" t="s">
        <v>55</v>
      </c>
      <c r="AH640" s="33" t="s">
        <v>56</v>
      </c>
      <c r="AI640" s="33" t="s">
        <v>57</v>
      </c>
      <c r="AJ640" s="33" t="s">
        <v>58</v>
      </c>
      <c r="AK640" s="33" t="s">
        <v>56</v>
      </c>
      <c r="AL640" s="27"/>
      <c r="AM640" s="34" t="s">
        <v>57</v>
      </c>
      <c r="AN640" s="35" t="str">
        <f t="shared" si="48"/>
        <v>✓ OK</v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2604</v>
      </c>
      <c r="C641" s="25" t="s">
        <v>2605</v>
      </c>
      <c r="D641" s="23" t="s">
        <v>2301</v>
      </c>
      <c r="E641" s="42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42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70">
        <v>46248</v>
      </c>
      <c r="X641" s="30" t="s">
        <v>55</v>
      </c>
      <c r="Y641" s="30" t="s">
        <v>56</v>
      </c>
      <c r="Z641" s="30" t="s">
        <v>57</v>
      </c>
      <c r="AA641" s="30" t="s">
        <v>58</v>
      </c>
      <c r="AB641" s="30" t="s">
        <v>56</v>
      </c>
      <c r="AC641" s="27"/>
      <c r="AD641" s="31" t="s">
        <v>57</v>
      </c>
      <c r="AE641" s="32" t="str">
        <f t="shared" si="47"/>
        <v>✓ OK</v>
      </c>
      <c r="AF641" s="33" t="s">
        <v>61</v>
      </c>
      <c r="AG641" s="33" t="s">
        <v>55</v>
      </c>
      <c r="AH641" s="33" t="s">
        <v>56</v>
      </c>
      <c r="AI641" s="33" t="s">
        <v>57</v>
      </c>
      <c r="AJ641" s="33" t="s">
        <v>58</v>
      </c>
      <c r="AK641" s="33" t="s">
        <v>56</v>
      </c>
      <c r="AL641" s="27"/>
      <c r="AM641" s="34" t="s">
        <v>57</v>
      </c>
      <c r="AN641" s="35" t="str">
        <f t="shared" si="48"/>
        <v>✓ OK</v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2606</v>
      </c>
      <c r="C642" s="41" t="s">
        <v>2607</v>
      </c>
      <c r="D642" s="39" t="s">
        <v>2301</v>
      </c>
      <c r="E642" s="42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42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70">
        <v>46248</v>
      </c>
      <c r="X642" s="30" t="s">
        <v>55</v>
      </c>
      <c r="Y642" s="30" t="s">
        <v>56</v>
      </c>
      <c r="Z642" s="30" t="s">
        <v>57</v>
      </c>
      <c r="AA642" s="30" t="s">
        <v>58</v>
      </c>
      <c r="AB642" s="30" t="s">
        <v>56</v>
      </c>
      <c r="AC642" s="27"/>
      <c r="AD642" s="31" t="s">
        <v>57</v>
      </c>
      <c r="AE642" s="32" t="str">
        <f t="shared" si="47"/>
        <v>✓ OK</v>
      </c>
      <c r="AF642" s="33" t="s">
        <v>61</v>
      </c>
      <c r="AG642" s="33" t="s">
        <v>55</v>
      </c>
      <c r="AH642" s="33" t="s">
        <v>56</v>
      </c>
      <c r="AI642" s="33" t="s">
        <v>57</v>
      </c>
      <c r="AJ642" s="33" t="s">
        <v>58</v>
      </c>
      <c r="AK642" s="33" t="s">
        <v>56</v>
      </c>
      <c r="AL642" s="27"/>
      <c r="AM642" s="34" t="s">
        <v>57</v>
      </c>
      <c r="AN642" s="35" t="str">
        <f t="shared" si="48"/>
        <v>✓ OK</v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2608</v>
      </c>
      <c r="C643" s="25" t="s">
        <v>2609</v>
      </c>
      <c r="D643" s="23" t="s">
        <v>2301</v>
      </c>
      <c r="E643" s="42">
        <v>46132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42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70">
        <v>46248</v>
      </c>
      <c r="X643" s="30" t="s">
        <v>55</v>
      </c>
      <c r="Y643" s="30" t="s">
        <v>56</v>
      </c>
      <c r="Z643" s="30" t="s">
        <v>57</v>
      </c>
      <c r="AA643" s="30" t="s">
        <v>58</v>
      </c>
      <c r="AB643" s="30" t="s">
        <v>56</v>
      </c>
      <c r="AC643" s="27"/>
      <c r="AD643" s="31" t="s">
        <v>57</v>
      </c>
      <c r="AE643" s="32" t="str">
        <f t="shared" si="47"/>
        <v>✓ OK</v>
      </c>
      <c r="AF643" s="33" t="s">
        <v>61</v>
      </c>
      <c r="AG643" s="33" t="s">
        <v>55</v>
      </c>
      <c r="AH643" s="33" t="s">
        <v>56</v>
      </c>
      <c r="AI643" s="33" t="s">
        <v>57</v>
      </c>
      <c r="AJ643" s="33" t="s">
        <v>58</v>
      </c>
      <c r="AK643" s="33" t="s">
        <v>56</v>
      </c>
      <c r="AL643" s="27"/>
      <c r="AM643" s="34" t="s">
        <v>57</v>
      </c>
      <c r="AN643" s="35" t="str">
        <f t="shared" si="48"/>
        <v>✓ OK</v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2610</v>
      </c>
      <c r="C644" s="41" t="s">
        <v>2611</v>
      </c>
      <c r="D644" s="39" t="s">
        <v>2301</v>
      </c>
      <c r="E644" s="42">
        <v>46132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42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70">
        <v>46248</v>
      </c>
      <c r="X644" s="30" t="s">
        <v>55</v>
      </c>
      <c r="Y644" s="30" t="s">
        <v>56</v>
      </c>
      <c r="Z644" s="30" t="s">
        <v>57</v>
      </c>
      <c r="AA644" s="30" t="s">
        <v>58</v>
      </c>
      <c r="AB644" s="30" t="s">
        <v>56</v>
      </c>
      <c r="AC644" s="27"/>
      <c r="AD644" s="31" t="s">
        <v>57</v>
      </c>
      <c r="AE644" s="32" t="str">
        <f t="shared" si="47"/>
        <v>✓ OK</v>
      </c>
      <c r="AF644" s="33" t="s">
        <v>61</v>
      </c>
      <c r="AG644" s="33" t="s">
        <v>55</v>
      </c>
      <c r="AH644" s="33" t="s">
        <v>56</v>
      </c>
      <c r="AI644" s="33" t="s">
        <v>57</v>
      </c>
      <c r="AJ644" s="33" t="s">
        <v>58</v>
      </c>
      <c r="AK644" s="33" t="s">
        <v>56</v>
      </c>
      <c r="AL644" s="27"/>
      <c r="AM644" s="34" t="s">
        <v>57</v>
      </c>
      <c r="AN644" s="35" t="str">
        <f t="shared" si="48"/>
        <v>✓ OK</v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2612</v>
      </c>
      <c r="C645" s="25" t="s">
        <v>2613</v>
      </c>
      <c r="D645" s="23" t="s">
        <v>2301</v>
      </c>
      <c r="E645" s="42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42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70">
        <v>46248</v>
      </c>
      <c r="X645" s="30" t="s">
        <v>55</v>
      </c>
      <c r="Y645" s="30" t="s">
        <v>56</v>
      </c>
      <c r="Z645" s="30" t="s">
        <v>57</v>
      </c>
      <c r="AA645" s="30" t="s">
        <v>58</v>
      </c>
      <c r="AB645" s="30" t="s">
        <v>56</v>
      </c>
      <c r="AC645" s="27"/>
      <c r="AD645" s="31" t="s">
        <v>57</v>
      </c>
      <c r="AE645" s="32" t="str">
        <f t="shared" ref="AE645:AE708" si="52">IF(W645="","",IF(Z645="Yes","❌ Disc",IF(Y645="No","⚠ Missing",IF(AB645="Yes","✓ OK","⚠ Check"))))</f>
        <v>✓ OK</v>
      </c>
      <c r="AF645" s="33" t="s">
        <v>61</v>
      </c>
      <c r="AG645" s="33" t="s">
        <v>55</v>
      </c>
      <c r="AH645" s="33" t="s">
        <v>56</v>
      </c>
      <c r="AI645" s="33" t="s">
        <v>57</v>
      </c>
      <c r="AJ645" s="33" t="s">
        <v>58</v>
      </c>
      <c r="AK645" s="33" t="s">
        <v>56</v>
      </c>
      <c r="AL645" s="27"/>
      <c r="AM645" s="34" t="s">
        <v>57</v>
      </c>
      <c r="AN645" s="35" t="str">
        <f t="shared" ref="AN645:AN708" si="53">IF(AF645="","",IF(AI645="Yes","❌ Disc",IF(AH645="No","⚠ Missing",IF(AK645="Yes","✓ OK","⚠ Check"))))</f>
        <v>✓ OK</v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2614</v>
      </c>
      <c r="C646" s="41" t="s">
        <v>2615</v>
      </c>
      <c r="D646" s="39" t="s">
        <v>2301</v>
      </c>
      <c r="E646" s="42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42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70">
        <v>46248</v>
      </c>
      <c r="X646" s="30" t="s">
        <v>55</v>
      </c>
      <c r="Y646" s="30" t="s">
        <v>56</v>
      </c>
      <c r="Z646" s="30" t="s">
        <v>57</v>
      </c>
      <c r="AA646" s="30" t="s">
        <v>58</v>
      </c>
      <c r="AB646" s="30" t="s">
        <v>56</v>
      </c>
      <c r="AC646" s="27"/>
      <c r="AD646" s="31" t="s">
        <v>57</v>
      </c>
      <c r="AE646" s="32" t="str">
        <f t="shared" si="52"/>
        <v>✓ OK</v>
      </c>
      <c r="AF646" s="33" t="s">
        <v>61</v>
      </c>
      <c r="AG646" s="33" t="s">
        <v>55</v>
      </c>
      <c r="AH646" s="33" t="s">
        <v>56</v>
      </c>
      <c r="AI646" s="33" t="s">
        <v>57</v>
      </c>
      <c r="AJ646" s="33" t="s">
        <v>58</v>
      </c>
      <c r="AK646" s="33" t="s">
        <v>56</v>
      </c>
      <c r="AL646" s="27"/>
      <c r="AM646" s="34" t="s">
        <v>57</v>
      </c>
      <c r="AN646" s="35" t="str">
        <f t="shared" si="53"/>
        <v>✓ OK</v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2616</v>
      </c>
      <c r="C647" s="25" t="s">
        <v>2617</v>
      </c>
      <c r="D647" s="23" t="s">
        <v>2301</v>
      </c>
      <c r="E647" s="42">
        <v>46132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42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70">
        <v>46248</v>
      </c>
      <c r="X647" s="30" t="s">
        <v>55</v>
      </c>
      <c r="Y647" s="30" t="s">
        <v>56</v>
      </c>
      <c r="Z647" s="30" t="s">
        <v>57</v>
      </c>
      <c r="AA647" s="30" t="s">
        <v>58</v>
      </c>
      <c r="AB647" s="30" t="s">
        <v>56</v>
      </c>
      <c r="AC647" s="27"/>
      <c r="AD647" s="31" t="s">
        <v>57</v>
      </c>
      <c r="AE647" s="32" t="str">
        <f t="shared" si="52"/>
        <v>✓ OK</v>
      </c>
      <c r="AF647" s="33" t="s">
        <v>61</v>
      </c>
      <c r="AG647" s="33" t="s">
        <v>55</v>
      </c>
      <c r="AH647" s="33" t="s">
        <v>56</v>
      </c>
      <c r="AI647" s="33" t="s">
        <v>57</v>
      </c>
      <c r="AJ647" s="33" t="s">
        <v>58</v>
      </c>
      <c r="AK647" s="33" t="s">
        <v>56</v>
      </c>
      <c r="AL647" s="27"/>
      <c r="AM647" s="34" t="s">
        <v>57</v>
      </c>
      <c r="AN647" s="35" t="str">
        <f t="shared" si="53"/>
        <v>✓ OK</v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2618</v>
      </c>
      <c r="C648" s="41" t="s">
        <v>2619</v>
      </c>
      <c r="D648" s="39" t="s">
        <v>2301</v>
      </c>
      <c r="E648" s="42">
        <v>46132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42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70">
        <v>46248</v>
      </c>
      <c r="X648" s="30" t="s">
        <v>55</v>
      </c>
      <c r="Y648" s="30" t="s">
        <v>56</v>
      </c>
      <c r="Z648" s="30" t="s">
        <v>57</v>
      </c>
      <c r="AA648" s="30" t="s">
        <v>58</v>
      </c>
      <c r="AB648" s="30" t="s">
        <v>56</v>
      </c>
      <c r="AC648" s="27"/>
      <c r="AD648" s="31" t="s">
        <v>57</v>
      </c>
      <c r="AE648" s="32" t="str">
        <f t="shared" si="52"/>
        <v>✓ OK</v>
      </c>
      <c r="AF648" s="33" t="s">
        <v>61</v>
      </c>
      <c r="AG648" s="33" t="s">
        <v>55</v>
      </c>
      <c r="AH648" s="33" t="s">
        <v>56</v>
      </c>
      <c r="AI648" s="33" t="s">
        <v>57</v>
      </c>
      <c r="AJ648" s="33" t="s">
        <v>58</v>
      </c>
      <c r="AK648" s="33" t="s">
        <v>56</v>
      </c>
      <c r="AL648" s="27"/>
      <c r="AM648" s="34" t="s">
        <v>57</v>
      </c>
      <c r="AN648" s="35" t="str">
        <f t="shared" si="53"/>
        <v>✓ OK</v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2620</v>
      </c>
      <c r="C649" s="25" t="s">
        <v>2621</v>
      </c>
      <c r="D649" s="23" t="s">
        <v>2301</v>
      </c>
      <c r="E649" s="42">
        <v>46132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42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70">
        <v>46248</v>
      </c>
      <c r="X649" s="30" t="s">
        <v>55</v>
      </c>
      <c r="Y649" s="30" t="s">
        <v>56</v>
      </c>
      <c r="Z649" s="30" t="s">
        <v>57</v>
      </c>
      <c r="AA649" s="30" t="s">
        <v>58</v>
      </c>
      <c r="AB649" s="30" t="s">
        <v>56</v>
      </c>
      <c r="AC649" s="27"/>
      <c r="AD649" s="31" t="s">
        <v>57</v>
      </c>
      <c r="AE649" s="32" t="str">
        <f t="shared" si="52"/>
        <v>✓ OK</v>
      </c>
      <c r="AF649" s="33" t="s">
        <v>61</v>
      </c>
      <c r="AG649" s="33" t="s">
        <v>55</v>
      </c>
      <c r="AH649" s="33" t="s">
        <v>56</v>
      </c>
      <c r="AI649" s="33" t="s">
        <v>57</v>
      </c>
      <c r="AJ649" s="33" t="s">
        <v>58</v>
      </c>
      <c r="AK649" s="33" t="s">
        <v>56</v>
      </c>
      <c r="AL649" s="27"/>
      <c r="AM649" s="34" t="s">
        <v>57</v>
      </c>
      <c r="AN649" s="35" t="str">
        <f t="shared" si="53"/>
        <v>✓ OK</v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2622</v>
      </c>
      <c r="C650" s="41" t="s">
        <v>2623</v>
      </c>
      <c r="D650" s="39" t="s">
        <v>2301</v>
      </c>
      <c r="E650" s="42">
        <v>46132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42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70">
        <v>46248</v>
      </c>
      <c r="X650" s="30" t="s">
        <v>55</v>
      </c>
      <c r="Y650" s="30" t="s">
        <v>56</v>
      </c>
      <c r="Z650" s="30" t="s">
        <v>57</v>
      </c>
      <c r="AA650" s="30" t="s">
        <v>58</v>
      </c>
      <c r="AB650" s="30" t="s">
        <v>56</v>
      </c>
      <c r="AC650" s="27"/>
      <c r="AD650" s="31" t="s">
        <v>57</v>
      </c>
      <c r="AE650" s="32" t="str">
        <f t="shared" si="52"/>
        <v>✓ OK</v>
      </c>
      <c r="AF650" s="33" t="s">
        <v>61</v>
      </c>
      <c r="AG650" s="33" t="s">
        <v>55</v>
      </c>
      <c r="AH650" s="33" t="s">
        <v>56</v>
      </c>
      <c r="AI650" s="33" t="s">
        <v>57</v>
      </c>
      <c r="AJ650" s="33" t="s">
        <v>58</v>
      </c>
      <c r="AK650" s="33" t="s">
        <v>56</v>
      </c>
      <c r="AL650" s="27"/>
      <c r="AM650" s="34" t="s">
        <v>57</v>
      </c>
      <c r="AN650" s="35" t="str">
        <f t="shared" si="53"/>
        <v>✓ OK</v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2624</v>
      </c>
      <c r="C651" s="25" t="s">
        <v>2625</v>
      </c>
      <c r="D651" s="23" t="s">
        <v>2301</v>
      </c>
      <c r="E651" s="42">
        <v>46132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42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70">
        <v>46248</v>
      </c>
      <c r="X651" s="30" t="s">
        <v>55</v>
      </c>
      <c r="Y651" s="30" t="s">
        <v>56</v>
      </c>
      <c r="Z651" s="30" t="s">
        <v>57</v>
      </c>
      <c r="AA651" s="30" t="s">
        <v>58</v>
      </c>
      <c r="AB651" s="30" t="s">
        <v>56</v>
      </c>
      <c r="AC651" s="27"/>
      <c r="AD651" s="31" t="s">
        <v>57</v>
      </c>
      <c r="AE651" s="32" t="str">
        <f t="shared" si="52"/>
        <v>✓ OK</v>
      </c>
      <c r="AF651" s="33" t="s">
        <v>61</v>
      </c>
      <c r="AG651" s="33" t="s">
        <v>55</v>
      </c>
      <c r="AH651" s="33" t="s">
        <v>56</v>
      </c>
      <c r="AI651" s="33" t="s">
        <v>57</v>
      </c>
      <c r="AJ651" s="33" t="s">
        <v>58</v>
      </c>
      <c r="AK651" s="33" t="s">
        <v>56</v>
      </c>
      <c r="AL651" s="27"/>
      <c r="AM651" s="34" t="s">
        <v>57</v>
      </c>
      <c r="AN651" s="35" t="str">
        <f t="shared" si="53"/>
        <v>✓ OK</v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2626</v>
      </c>
      <c r="C652" s="41" t="s">
        <v>2627</v>
      </c>
      <c r="D652" s="39" t="s">
        <v>2301</v>
      </c>
      <c r="E652" s="42">
        <v>46132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42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70">
        <v>46248</v>
      </c>
      <c r="X652" s="30" t="s">
        <v>55</v>
      </c>
      <c r="Y652" s="30" t="s">
        <v>56</v>
      </c>
      <c r="Z652" s="30" t="s">
        <v>57</v>
      </c>
      <c r="AA652" s="30" t="s">
        <v>58</v>
      </c>
      <c r="AB652" s="30" t="s">
        <v>56</v>
      </c>
      <c r="AC652" s="27"/>
      <c r="AD652" s="31" t="s">
        <v>57</v>
      </c>
      <c r="AE652" s="32" t="str">
        <f t="shared" si="52"/>
        <v>✓ OK</v>
      </c>
      <c r="AF652" s="33" t="s">
        <v>61</v>
      </c>
      <c r="AG652" s="33" t="s">
        <v>55</v>
      </c>
      <c r="AH652" s="33" t="s">
        <v>56</v>
      </c>
      <c r="AI652" s="33" t="s">
        <v>57</v>
      </c>
      <c r="AJ652" s="33" t="s">
        <v>58</v>
      </c>
      <c r="AK652" s="33" t="s">
        <v>56</v>
      </c>
      <c r="AL652" s="27"/>
      <c r="AM652" s="34" t="s">
        <v>57</v>
      </c>
      <c r="AN652" s="35" t="str">
        <f t="shared" si="53"/>
        <v>✓ OK</v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2628</v>
      </c>
      <c r="C653" s="25" t="s">
        <v>2629</v>
      </c>
      <c r="D653" s="23" t="s">
        <v>2301</v>
      </c>
      <c r="E653" s="42">
        <v>46129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42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70">
        <v>46248</v>
      </c>
      <c r="X653" s="30" t="s">
        <v>55</v>
      </c>
      <c r="Y653" s="30" t="s">
        <v>56</v>
      </c>
      <c r="Z653" s="30" t="s">
        <v>57</v>
      </c>
      <c r="AA653" s="30" t="s">
        <v>58</v>
      </c>
      <c r="AB653" s="30" t="s">
        <v>56</v>
      </c>
      <c r="AC653" s="27"/>
      <c r="AD653" s="31" t="s">
        <v>57</v>
      </c>
      <c r="AE653" s="32" t="str">
        <f t="shared" si="52"/>
        <v>✓ OK</v>
      </c>
      <c r="AF653" s="33" t="s">
        <v>61</v>
      </c>
      <c r="AG653" s="33" t="s">
        <v>55</v>
      </c>
      <c r="AH653" s="33" t="s">
        <v>56</v>
      </c>
      <c r="AI653" s="33" t="s">
        <v>57</v>
      </c>
      <c r="AJ653" s="33" t="s">
        <v>58</v>
      </c>
      <c r="AK653" s="33" t="s">
        <v>56</v>
      </c>
      <c r="AL653" s="27"/>
      <c r="AM653" s="34" t="s">
        <v>57</v>
      </c>
      <c r="AN653" s="35" t="str">
        <f t="shared" si="53"/>
        <v>✓ OK</v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2630</v>
      </c>
      <c r="C654" s="41" t="s">
        <v>2631</v>
      </c>
      <c r="D654" s="39" t="s">
        <v>2301</v>
      </c>
      <c r="E654" s="42">
        <v>46129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42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70">
        <v>46248</v>
      </c>
      <c r="X654" s="30" t="s">
        <v>55</v>
      </c>
      <c r="Y654" s="30" t="s">
        <v>56</v>
      </c>
      <c r="Z654" s="30" t="s">
        <v>57</v>
      </c>
      <c r="AA654" s="30" t="s">
        <v>58</v>
      </c>
      <c r="AB654" s="30" t="s">
        <v>56</v>
      </c>
      <c r="AC654" s="27"/>
      <c r="AD654" s="31" t="s">
        <v>57</v>
      </c>
      <c r="AE654" s="32" t="str">
        <f t="shared" si="52"/>
        <v>✓ OK</v>
      </c>
      <c r="AF654" s="33" t="s">
        <v>61</v>
      </c>
      <c r="AG654" s="33" t="s">
        <v>55</v>
      </c>
      <c r="AH654" s="33" t="s">
        <v>56</v>
      </c>
      <c r="AI654" s="33" t="s">
        <v>57</v>
      </c>
      <c r="AJ654" s="33" t="s">
        <v>58</v>
      </c>
      <c r="AK654" s="33" t="s">
        <v>56</v>
      </c>
      <c r="AL654" s="27"/>
      <c r="AM654" s="34" t="s">
        <v>57</v>
      </c>
      <c r="AN654" s="35" t="str">
        <f t="shared" si="53"/>
        <v>✓ OK</v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2632</v>
      </c>
      <c r="C655" s="25" t="s">
        <v>2633</v>
      </c>
      <c r="D655" s="23" t="s">
        <v>2301</v>
      </c>
      <c r="E655" s="42">
        <v>46132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42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70">
        <v>46248</v>
      </c>
      <c r="X655" s="30" t="s">
        <v>55</v>
      </c>
      <c r="Y655" s="30" t="s">
        <v>56</v>
      </c>
      <c r="Z655" s="30" t="s">
        <v>57</v>
      </c>
      <c r="AA655" s="30" t="s">
        <v>58</v>
      </c>
      <c r="AB655" s="30" t="s">
        <v>56</v>
      </c>
      <c r="AC655" s="27"/>
      <c r="AD655" s="31" t="s">
        <v>57</v>
      </c>
      <c r="AE655" s="32" t="str">
        <f t="shared" si="52"/>
        <v>✓ OK</v>
      </c>
      <c r="AF655" s="33" t="s">
        <v>61</v>
      </c>
      <c r="AG655" s="33" t="s">
        <v>55</v>
      </c>
      <c r="AH655" s="33" t="s">
        <v>56</v>
      </c>
      <c r="AI655" s="33" t="s">
        <v>57</v>
      </c>
      <c r="AJ655" s="33" t="s">
        <v>58</v>
      </c>
      <c r="AK655" s="33" t="s">
        <v>56</v>
      </c>
      <c r="AL655" s="27"/>
      <c r="AM655" s="34" t="s">
        <v>57</v>
      </c>
      <c r="AN655" s="35" t="str">
        <f t="shared" si="53"/>
        <v>✓ OK</v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2634</v>
      </c>
      <c r="C656" s="41" t="s">
        <v>2635</v>
      </c>
      <c r="D656" s="39" t="s">
        <v>2301</v>
      </c>
      <c r="E656" s="42">
        <v>46132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42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70">
        <v>46248</v>
      </c>
      <c r="X656" s="30" t="s">
        <v>55</v>
      </c>
      <c r="Y656" s="30" t="s">
        <v>56</v>
      </c>
      <c r="Z656" s="30" t="s">
        <v>57</v>
      </c>
      <c r="AA656" s="30" t="s">
        <v>58</v>
      </c>
      <c r="AB656" s="30" t="s">
        <v>56</v>
      </c>
      <c r="AC656" s="27"/>
      <c r="AD656" s="31" t="s">
        <v>57</v>
      </c>
      <c r="AE656" s="32" t="str">
        <f t="shared" si="52"/>
        <v>✓ OK</v>
      </c>
      <c r="AF656" s="33" t="s">
        <v>61</v>
      </c>
      <c r="AG656" s="33" t="s">
        <v>55</v>
      </c>
      <c r="AH656" s="33" t="s">
        <v>56</v>
      </c>
      <c r="AI656" s="33" t="s">
        <v>57</v>
      </c>
      <c r="AJ656" s="33" t="s">
        <v>58</v>
      </c>
      <c r="AK656" s="33" t="s">
        <v>56</v>
      </c>
      <c r="AL656" s="27"/>
      <c r="AM656" s="34" t="s">
        <v>57</v>
      </c>
      <c r="AN656" s="35" t="str">
        <f t="shared" si="53"/>
        <v>✓ OK</v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2636</v>
      </c>
      <c r="C657" s="25" t="s">
        <v>2637</v>
      </c>
      <c r="D657" s="23" t="s">
        <v>2301</v>
      </c>
      <c r="E657" s="42">
        <v>46132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42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70">
        <v>46248</v>
      </c>
      <c r="X657" s="30" t="s">
        <v>55</v>
      </c>
      <c r="Y657" s="30" t="s">
        <v>56</v>
      </c>
      <c r="Z657" s="30" t="s">
        <v>57</v>
      </c>
      <c r="AA657" s="30" t="s">
        <v>58</v>
      </c>
      <c r="AB657" s="30" t="s">
        <v>56</v>
      </c>
      <c r="AC657" s="27"/>
      <c r="AD657" s="31" t="s">
        <v>57</v>
      </c>
      <c r="AE657" s="32" t="str">
        <f t="shared" si="52"/>
        <v>✓ OK</v>
      </c>
      <c r="AF657" s="33" t="s">
        <v>61</v>
      </c>
      <c r="AG657" s="33" t="s">
        <v>55</v>
      </c>
      <c r="AH657" s="33" t="s">
        <v>56</v>
      </c>
      <c r="AI657" s="33" t="s">
        <v>57</v>
      </c>
      <c r="AJ657" s="33" t="s">
        <v>58</v>
      </c>
      <c r="AK657" s="33" t="s">
        <v>56</v>
      </c>
      <c r="AL657" s="27"/>
      <c r="AM657" s="34" t="s">
        <v>57</v>
      </c>
      <c r="AN657" s="35" t="str">
        <f t="shared" si="53"/>
        <v>✓ OK</v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2638</v>
      </c>
      <c r="C658" s="41" t="s">
        <v>2639</v>
      </c>
      <c r="D658" s="39" t="s">
        <v>2301</v>
      </c>
      <c r="E658" s="42">
        <v>46132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42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70">
        <v>46248</v>
      </c>
      <c r="X658" s="30" t="s">
        <v>55</v>
      </c>
      <c r="Y658" s="30" t="s">
        <v>56</v>
      </c>
      <c r="Z658" s="30" t="s">
        <v>57</v>
      </c>
      <c r="AA658" s="30" t="s">
        <v>58</v>
      </c>
      <c r="AB658" s="30" t="s">
        <v>56</v>
      </c>
      <c r="AC658" s="27"/>
      <c r="AD658" s="31" t="s">
        <v>57</v>
      </c>
      <c r="AE658" s="32" t="str">
        <f t="shared" si="52"/>
        <v>✓ OK</v>
      </c>
      <c r="AF658" s="33" t="s">
        <v>61</v>
      </c>
      <c r="AG658" s="33" t="s">
        <v>55</v>
      </c>
      <c r="AH658" s="33" t="s">
        <v>56</v>
      </c>
      <c r="AI658" s="33" t="s">
        <v>57</v>
      </c>
      <c r="AJ658" s="33" t="s">
        <v>58</v>
      </c>
      <c r="AK658" s="33" t="s">
        <v>56</v>
      </c>
      <c r="AL658" s="27"/>
      <c r="AM658" s="34" t="s">
        <v>57</v>
      </c>
      <c r="AN658" s="35" t="str">
        <f t="shared" si="53"/>
        <v>✓ OK</v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2640</v>
      </c>
      <c r="C659" s="25" t="s">
        <v>2641</v>
      </c>
      <c r="D659" s="23" t="s">
        <v>2301</v>
      </c>
      <c r="E659" s="42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42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70">
        <v>46248</v>
      </c>
      <c r="X659" s="30" t="s">
        <v>55</v>
      </c>
      <c r="Y659" s="30" t="s">
        <v>56</v>
      </c>
      <c r="Z659" s="30" t="s">
        <v>57</v>
      </c>
      <c r="AA659" s="30" t="s">
        <v>58</v>
      </c>
      <c r="AB659" s="30" t="s">
        <v>56</v>
      </c>
      <c r="AC659" s="27"/>
      <c r="AD659" s="31" t="s">
        <v>57</v>
      </c>
      <c r="AE659" s="32" t="str">
        <f t="shared" si="52"/>
        <v>✓ OK</v>
      </c>
      <c r="AF659" s="33" t="s">
        <v>61</v>
      </c>
      <c r="AG659" s="33" t="s">
        <v>55</v>
      </c>
      <c r="AH659" s="33" t="s">
        <v>56</v>
      </c>
      <c r="AI659" s="33" t="s">
        <v>57</v>
      </c>
      <c r="AJ659" s="33" t="s">
        <v>58</v>
      </c>
      <c r="AK659" s="33" t="s">
        <v>56</v>
      </c>
      <c r="AL659" s="27"/>
      <c r="AM659" s="34" t="s">
        <v>57</v>
      </c>
      <c r="AN659" s="35" t="str">
        <f t="shared" si="53"/>
        <v>✓ OK</v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2642</v>
      </c>
      <c r="C660" s="41" t="s">
        <v>2643</v>
      </c>
      <c r="D660" s="39" t="s">
        <v>2301</v>
      </c>
      <c r="E660" s="42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42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70">
        <v>46248</v>
      </c>
      <c r="X660" s="30" t="s">
        <v>55</v>
      </c>
      <c r="Y660" s="30" t="s">
        <v>56</v>
      </c>
      <c r="Z660" s="30" t="s">
        <v>57</v>
      </c>
      <c r="AA660" s="30" t="s">
        <v>58</v>
      </c>
      <c r="AB660" s="30" t="s">
        <v>56</v>
      </c>
      <c r="AC660" s="27"/>
      <c r="AD660" s="31" t="s">
        <v>57</v>
      </c>
      <c r="AE660" s="32" t="str">
        <f t="shared" si="52"/>
        <v>✓ OK</v>
      </c>
      <c r="AF660" s="33" t="s">
        <v>61</v>
      </c>
      <c r="AG660" s="33" t="s">
        <v>55</v>
      </c>
      <c r="AH660" s="33" t="s">
        <v>56</v>
      </c>
      <c r="AI660" s="33" t="s">
        <v>57</v>
      </c>
      <c r="AJ660" s="33" t="s">
        <v>58</v>
      </c>
      <c r="AK660" s="33" t="s">
        <v>56</v>
      </c>
      <c r="AL660" s="27"/>
      <c r="AM660" s="34" t="s">
        <v>57</v>
      </c>
      <c r="AN660" s="35" t="str">
        <f t="shared" si="53"/>
        <v>✓ OK</v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2644</v>
      </c>
      <c r="C661" s="25" t="s">
        <v>2645</v>
      </c>
      <c r="D661" s="23" t="s">
        <v>2301</v>
      </c>
      <c r="E661" s="42">
        <v>46132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42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70">
        <v>46248</v>
      </c>
      <c r="X661" s="30" t="s">
        <v>55</v>
      </c>
      <c r="Y661" s="30" t="s">
        <v>56</v>
      </c>
      <c r="Z661" s="30" t="s">
        <v>57</v>
      </c>
      <c r="AA661" s="30" t="s">
        <v>58</v>
      </c>
      <c r="AB661" s="30" t="s">
        <v>56</v>
      </c>
      <c r="AC661" s="27"/>
      <c r="AD661" s="31" t="s">
        <v>57</v>
      </c>
      <c r="AE661" s="32" t="str">
        <f t="shared" si="52"/>
        <v>✓ OK</v>
      </c>
      <c r="AF661" s="33" t="s">
        <v>61</v>
      </c>
      <c r="AG661" s="33" t="s">
        <v>55</v>
      </c>
      <c r="AH661" s="33" t="s">
        <v>56</v>
      </c>
      <c r="AI661" s="33" t="s">
        <v>57</v>
      </c>
      <c r="AJ661" s="33" t="s">
        <v>58</v>
      </c>
      <c r="AK661" s="33" t="s">
        <v>56</v>
      </c>
      <c r="AL661" s="27"/>
      <c r="AM661" s="34" t="s">
        <v>57</v>
      </c>
      <c r="AN661" s="35" t="str">
        <f t="shared" si="53"/>
        <v>✓ OK</v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2646</v>
      </c>
      <c r="C662" s="41" t="s">
        <v>2647</v>
      </c>
      <c r="D662" s="39" t="s">
        <v>2301</v>
      </c>
      <c r="E662" s="42">
        <v>46132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42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70">
        <v>46248</v>
      </c>
      <c r="X662" s="30" t="s">
        <v>55</v>
      </c>
      <c r="Y662" s="30" t="s">
        <v>56</v>
      </c>
      <c r="Z662" s="30" t="s">
        <v>57</v>
      </c>
      <c r="AA662" s="30" t="s">
        <v>58</v>
      </c>
      <c r="AB662" s="30" t="s">
        <v>56</v>
      </c>
      <c r="AC662" s="27"/>
      <c r="AD662" s="31" t="s">
        <v>57</v>
      </c>
      <c r="AE662" s="32" t="str">
        <f t="shared" si="52"/>
        <v>✓ OK</v>
      </c>
      <c r="AF662" s="33" t="s">
        <v>61</v>
      </c>
      <c r="AG662" s="33" t="s">
        <v>55</v>
      </c>
      <c r="AH662" s="33" t="s">
        <v>56</v>
      </c>
      <c r="AI662" s="33" t="s">
        <v>57</v>
      </c>
      <c r="AJ662" s="33" t="s">
        <v>58</v>
      </c>
      <c r="AK662" s="33" t="s">
        <v>56</v>
      </c>
      <c r="AL662" s="27"/>
      <c r="AM662" s="34" t="s">
        <v>57</v>
      </c>
      <c r="AN662" s="35" t="str">
        <f t="shared" si="53"/>
        <v>✓ OK</v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2648</v>
      </c>
      <c r="C663" s="25" t="s">
        <v>2649</v>
      </c>
      <c r="D663" s="23" t="s">
        <v>2301</v>
      </c>
      <c r="E663" s="42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42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70">
        <v>46248</v>
      </c>
      <c r="X663" s="30" t="s">
        <v>55</v>
      </c>
      <c r="Y663" s="30" t="s">
        <v>56</v>
      </c>
      <c r="Z663" s="30" t="s">
        <v>57</v>
      </c>
      <c r="AA663" s="30" t="s">
        <v>58</v>
      </c>
      <c r="AB663" s="30" t="s">
        <v>56</v>
      </c>
      <c r="AC663" s="27"/>
      <c r="AD663" s="31" t="s">
        <v>57</v>
      </c>
      <c r="AE663" s="32" t="str">
        <f t="shared" si="52"/>
        <v>✓ OK</v>
      </c>
      <c r="AF663" s="33" t="s">
        <v>61</v>
      </c>
      <c r="AG663" s="33" t="s">
        <v>55</v>
      </c>
      <c r="AH663" s="33" t="s">
        <v>56</v>
      </c>
      <c r="AI663" s="33" t="s">
        <v>57</v>
      </c>
      <c r="AJ663" s="33" t="s">
        <v>58</v>
      </c>
      <c r="AK663" s="33" t="s">
        <v>56</v>
      </c>
      <c r="AL663" s="27"/>
      <c r="AM663" s="34" t="s">
        <v>57</v>
      </c>
      <c r="AN663" s="35" t="str">
        <f t="shared" si="53"/>
        <v>✓ OK</v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2650</v>
      </c>
      <c r="C664" s="41" t="s">
        <v>2651</v>
      </c>
      <c r="D664" s="39" t="s">
        <v>2301</v>
      </c>
      <c r="E664" s="42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42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70">
        <v>46248</v>
      </c>
      <c r="X664" s="30" t="s">
        <v>55</v>
      </c>
      <c r="Y664" s="30" t="s">
        <v>56</v>
      </c>
      <c r="Z664" s="30" t="s">
        <v>57</v>
      </c>
      <c r="AA664" s="30" t="s">
        <v>58</v>
      </c>
      <c r="AB664" s="30" t="s">
        <v>56</v>
      </c>
      <c r="AC664" s="27"/>
      <c r="AD664" s="31" t="s">
        <v>57</v>
      </c>
      <c r="AE664" s="32" t="str">
        <f t="shared" si="52"/>
        <v>✓ OK</v>
      </c>
      <c r="AF664" s="33" t="s">
        <v>61</v>
      </c>
      <c r="AG664" s="33" t="s">
        <v>55</v>
      </c>
      <c r="AH664" s="33" t="s">
        <v>56</v>
      </c>
      <c r="AI664" s="33" t="s">
        <v>57</v>
      </c>
      <c r="AJ664" s="33" t="s">
        <v>58</v>
      </c>
      <c r="AK664" s="33" t="s">
        <v>56</v>
      </c>
      <c r="AL664" s="27"/>
      <c r="AM664" s="34" t="s">
        <v>57</v>
      </c>
      <c r="AN664" s="35" t="str">
        <f t="shared" si="53"/>
        <v>✓ OK</v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2652</v>
      </c>
      <c r="C665" s="25" t="s">
        <v>2653</v>
      </c>
      <c r="D665" s="23" t="s">
        <v>2301</v>
      </c>
      <c r="E665" s="42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42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70">
        <v>46248</v>
      </c>
      <c r="X665" s="30" t="s">
        <v>55</v>
      </c>
      <c r="Y665" s="30" t="s">
        <v>56</v>
      </c>
      <c r="Z665" s="30" t="s">
        <v>57</v>
      </c>
      <c r="AA665" s="30" t="s">
        <v>58</v>
      </c>
      <c r="AB665" s="30" t="s">
        <v>56</v>
      </c>
      <c r="AC665" s="27"/>
      <c r="AD665" s="31" t="s">
        <v>57</v>
      </c>
      <c r="AE665" s="32" t="str">
        <f t="shared" si="52"/>
        <v>✓ OK</v>
      </c>
      <c r="AF665" s="33" t="s">
        <v>61</v>
      </c>
      <c r="AG665" s="33" t="s">
        <v>55</v>
      </c>
      <c r="AH665" s="33" t="s">
        <v>56</v>
      </c>
      <c r="AI665" s="33" t="s">
        <v>57</v>
      </c>
      <c r="AJ665" s="33" t="s">
        <v>58</v>
      </c>
      <c r="AK665" s="33" t="s">
        <v>56</v>
      </c>
      <c r="AL665" s="27"/>
      <c r="AM665" s="34" t="s">
        <v>57</v>
      </c>
      <c r="AN665" s="35" t="str">
        <f t="shared" si="53"/>
        <v>✓ OK</v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2654</v>
      </c>
      <c r="C666" s="41" t="s">
        <v>2655</v>
      </c>
      <c r="D666" s="39" t="s">
        <v>2301</v>
      </c>
      <c r="E666" s="42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42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70">
        <v>46248</v>
      </c>
      <c r="X666" s="30" t="s">
        <v>55</v>
      </c>
      <c r="Y666" s="30" t="s">
        <v>56</v>
      </c>
      <c r="Z666" s="30" t="s">
        <v>57</v>
      </c>
      <c r="AA666" s="30" t="s">
        <v>58</v>
      </c>
      <c r="AB666" s="30" t="s">
        <v>56</v>
      </c>
      <c r="AC666" s="27"/>
      <c r="AD666" s="31" t="s">
        <v>57</v>
      </c>
      <c r="AE666" s="32" t="str">
        <f t="shared" si="52"/>
        <v>✓ OK</v>
      </c>
      <c r="AF666" s="33" t="s">
        <v>61</v>
      </c>
      <c r="AG666" s="33" t="s">
        <v>55</v>
      </c>
      <c r="AH666" s="33" t="s">
        <v>56</v>
      </c>
      <c r="AI666" s="33" t="s">
        <v>57</v>
      </c>
      <c r="AJ666" s="33" t="s">
        <v>58</v>
      </c>
      <c r="AK666" s="33" t="s">
        <v>56</v>
      </c>
      <c r="AL666" s="27"/>
      <c r="AM666" s="34" t="s">
        <v>57</v>
      </c>
      <c r="AN666" s="35" t="str">
        <f t="shared" si="53"/>
        <v>✓ OK</v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2656</v>
      </c>
      <c r="C667" s="25" t="s">
        <v>2657</v>
      </c>
      <c r="D667" s="23" t="s">
        <v>2301</v>
      </c>
      <c r="E667" s="42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42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70">
        <v>46248</v>
      </c>
      <c r="X667" s="30" t="s">
        <v>55</v>
      </c>
      <c r="Y667" s="30" t="s">
        <v>56</v>
      </c>
      <c r="Z667" s="30" t="s">
        <v>57</v>
      </c>
      <c r="AA667" s="30" t="s">
        <v>58</v>
      </c>
      <c r="AB667" s="30" t="s">
        <v>56</v>
      </c>
      <c r="AC667" s="27"/>
      <c r="AD667" s="31" t="s">
        <v>57</v>
      </c>
      <c r="AE667" s="32" t="str">
        <f t="shared" si="52"/>
        <v>✓ OK</v>
      </c>
      <c r="AF667" s="33" t="s">
        <v>61</v>
      </c>
      <c r="AG667" s="33" t="s">
        <v>55</v>
      </c>
      <c r="AH667" s="33" t="s">
        <v>56</v>
      </c>
      <c r="AI667" s="33" t="s">
        <v>57</v>
      </c>
      <c r="AJ667" s="33" t="s">
        <v>58</v>
      </c>
      <c r="AK667" s="33" t="s">
        <v>56</v>
      </c>
      <c r="AL667" s="27"/>
      <c r="AM667" s="34" t="s">
        <v>57</v>
      </c>
      <c r="AN667" s="35" t="str">
        <f t="shared" si="53"/>
        <v>✓ OK</v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2658</v>
      </c>
      <c r="C668" s="41" t="s">
        <v>2659</v>
      </c>
      <c r="D668" s="39" t="s">
        <v>2301</v>
      </c>
      <c r="E668" s="42">
        <v>46129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42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70">
        <v>46248</v>
      </c>
      <c r="X668" s="30" t="s">
        <v>55</v>
      </c>
      <c r="Y668" s="30" t="s">
        <v>56</v>
      </c>
      <c r="Z668" s="30" t="s">
        <v>57</v>
      </c>
      <c r="AA668" s="30" t="s">
        <v>58</v>
      </c>
      <c r="AB668" s="30" t="s">
        <v>56</v>
      </c>
      <c r="AC668" s="27"/>
      <c r="AD668" s="31" t="s">
        <v>57</v>
      </c>
      <c r="AE668" s="32" t="str">
        <f t="shared" si="52"/>
        <v>✓ OK</v>
      </c>
      <c r="AF668" s="33" t="s">
        <v>61</v>
      </c>
      <c r="AG668" s="33" t="s">
        <v>55</v>
      </c>
      <c r="AH668" s="33" t="s">
        <v>56</v>
      </c>
      <c r="AI668" s="33" t="s">
        <v>57</v>
      </c>
      <c r="AJ668" s="33" t="s">
        <v>58</v>
      </c>
      <c r="AK668" s="33" t="s">
        <v>56</v>
      </c>
      <c r="AL668" s="27"/>
      <c r="AM668" s="34" t="s">
        <v>57</v>
      </c>
      <c r="AN668" s="35" t="str">
        <f t="shared" si="53"/>
        <v>✓ OK</v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2660</v>
      </c>
      <c r="C669" s="25" t="s">
        <v>2661</v>
      </c>
      <c r="D669" s="23" t="s">
        <v>2301</v>
      </c>
      <c r="E669" s="42">
        <v>46129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42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70">
        <v>46248</v>
      </c>
      <c r="X669" s="30" t="s">
        <v>55</v>
      </c>
      <c r="Y669" s="30" t="s">
        <v>56</v>
      </c>
      <c r="Z669" s="30" t="s">
        <v>57</v>
      </c>
      <c r="AA669" s="30" t="s">
        <v>58</v>
      </c>
      <c r="AB669" s="30" t="s">
        <v>56</v>
      </c>
      <c r="AC669" s="27"/>
      <c r="AD669" s="31" t="s">
        <v>57</v>
      </c>
      <c r="AE669" s="32" t="str">
        <f t="shared" si="52"/>
        <v>✓ OK</v>
      </c>
      <c r="AF669" s="33" t="s">
        <v>61</v>
      </c>
      <c r="AG669" s="33" t="s">
        <v>55</v>
      </c>
      <c r="AH669" s="33" t="s">
        <v>56</v>
      </c>
      <c r="AI669" s="33" t="s">
        <v>57</v>
      </c>
      <c r="AJ669" s="33" t="s">
        <v>58</v>
      </c>
      <c r="AK669" s="33" t="s">
        <v>56</v>
      </c>
      <c r="AL669" s="27"/>
      <c r="AM669" s="34" t="s">
        <v>57</v>
      </c>
      <c r="AN669" s="35" t="str">
        <f t="shared" si="53"/>
        <v>✓ OK</v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2662</v>
      </c>
      <c r="C670" s="41" t="s">
        <v>2663</v>
      </c>
      <c r="D670" s="39" t="s">
        <v>2301</v>
      </c>
      <c r="E670" s="42">
        <v>46129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42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70">
        <v>46248</v>
      </c>
      <c r="X670" s="30" t="s">
        <v>55</v>
      </c>
      <c r="Y670" s="30" t="s">
        <v>56</v>
      </c>
      <c r="Z670" s="30" t="s">
        <v>57</v>
      </c>
      <c r="AA670" s="30" t="s">
        <v>58</v>
      </c>
      <c r="AB670" s="30" t="s">
        <v>56</v>
      </c>
      <c r="AC670" s="27"/>
      <c r="AD670" s="31" t="s">
        <v>57</v>
      </c>
      <c r="AE670" s="32" t="str">
        <f t="shared" si="52"/>
        <v>✓ OK</v>
      </c>
      <c r="AF670" s="33" t="s">
        <v>61</v>
      </c>
      <c r="AG670" s="33" t="s">
        <v>55</v>
      </c>
      <c r="AH670" s="33" t="s">
        <v>56</v>
      </c>
      <c r="AI670" s="33" t="s">
        <v>57</v>
      </c>
      <c r="AJ670" s="33" t="s">
        <v>58</v>
      </c>
      <c r="AK670" s="33" t="s">
        <v>56</v>
      </c>
      <c r="AL670" s="27"/>
      <c r="AM670" s="34" t="s">
        <v>57</v>
      </c>
      <c r="AN670" s="35" t="str">
        <f t="shared" si="53"/>
        <v>✓ OK</v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2664</v>
      </c>
      <c r="C671" s="25" t="s">
        <v>2665</v>
      </c>
      <c r="D671" s="23" t="s">
        <v>2301</v>
      </c>
      <c r="E671" s="42">
        <v>46129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42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70">
        <v>46248</v>
      </c>
      <c r="X671" s="30" t="s">
        <v>55</v>
      </c>
      <c r="Y671" s="30" t="s">
        <v>56</v>
      </c>
      <c r="Z671" s="30" t="s">
        <v>57</v>
      </c>
      <c r="AA671" s="30" t="s">
        <v>58</v>
      </c>
      <c r="AB671" s="30" t="s">
        <v>56</v>
      </c>
      <c r="AC671" s="27"/>
      <c r="AD671" s="31" t="s">
        <v>57</v>
      </c>
      <c r="AE671" s="32" t="str">
        <f t="shared" si="52"/>
        <v>✓ OK</v>
      </c>
      <c r="AF671" s="33" t="s">
        <v>61</v>
      </c>
      <c r="AG671" s="33" t="s">
        <v>55</v>
      </c>
      <c r="AH671" s="33" t="s">
        <v>56</v>
      </c>
      <c r="AI671" s="33" t="s">
        <v>57</v>
      </c>
      <c r="AJ671" s="33" t="s">
        <v>58</v>
      </c>
      <c r="AK671" s="33" t="s">
        <v>56</v>
      </c>
      <c r="AL671" s="27"/>
      <c r="AM671" s="34" t="s">
        <v>57</v>
      </c>
      <c r="AN671" s="35" t="str">
        <f t="shared" si="53"/>
        <v>✓ OK</v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2666</v>
      </c>
      <c r="C672" s="41" t="s">
        <v>2667</v>
      </c>
      <c r="D672" s="39" t="s">
        <v>2301</v>
      </c>
      <c r="E672" s="42">
        <v>46132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42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70">
        <v>46248</v>
      </c>
      <c r="X672" s="30" t="s">
        <v>55</v>
      </c>
      <c r="Y672" s="30" t="s">
        <v>56</v>
      </c>
      <c r="Z672" s="30" t="s">
        <v>57</v>
      </c>
      <c r="AA672" s="30" t="s">
        <v>58</v>
      </c>
      <c r="AB672" s="30" t="s">
        <v>56</v>
      </c>
      <c r="AC672" s="27"/>
      <c r="AD672" s="31" t="s">
        <v>57</v>
      </c>
      <c r="AE672" s="32" t="str">
        <f t="shared" si="52"/>
        <v>✓ OK</v>
      </c>
      <c r="AF672" s="33" t="s">
        <v>61</v>
      </c>
      <c r="AG672" s="33" t="s">
        <v>55</v>
      </c>
      <c r="AH672" s="33" t="s">
        <v>56</v>
      </c>
      <c r="AI672" s="33" t="s">
        <v>57</v>
      </c>
      <c r="AJ672" s="33" t="s">
        <v>58</v>
      </c>
      <c r="AK672" s="33" t="s">
        <v>56</v>
      </c>
      <c r="AL672" s="27"/>
      <c r="AM672" s="34" t="s">
        <v>57</v>
      </c>
      <c r="AN672" s="35" t="str">
        <f t="shared" si="53"/>
        <v>✓ OK</v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2668</v>
      </c>
      <c r="C673" s="25" t="s">
        <v>2669</v>
      </c>
      <c r="D673" s="23" t="s">
        <v>2301</v>
      </c>
      <c r="E673" s="42">
        <v>46132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42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70">
        <v>46248</v>
      </c>
      <c r="X673" s="30" t="s">
        <v>55</v>
      </c>
      <c r="Y673" s="30" t="s">
        <v>56</v>
      </c>
      <c r="Z673" s="30" t="s">
        <v>57</v>
      </c>
      <c r="AA673" s="30" t="s">
        <v>58</v>
      </c>
      <c r="AB673" s="30" t="s">
        <v>56</v>
      </c>
      <c r="AC673" s="27"/>
      <c r="AD673" s="31" t="s">
        <v>57</v>
      </c>
      <c r="AE673" s="32" t="str">
        <f t="shared" si="52"/>
        <v>✓ OK</v>
      </c>
      <c r="AF673" s="33" t="s">
        <v>61</v>
      </c>
      <c r="AG673" s="33" t="s">
        <v>55</v>
      </c>
      <c r="AH673" s="33" t="s">
        <v>56</v>
      </c>
      <c r="AI673" s="33" t="s">
        <v>57</v>
      </c>
      <c r="AJ673" s="33" t="s">
        <v>58</v>
      </c>
      <c r="AK673" s="33" t="s">
        <v>56</v>
      </c>
      <c r="AL673" s="27"/>
      <c r="AM673" s="34" t="s">
        <v>57</v>
      </c>
      <c r="AN673" s="35" t="str">
        <f t="shared" si="53"/>
        <v>✓ OK</v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2670</v>
      </c>
      <c r="C674" s="41" t="s">
        <v>2671</v>
      </c>
      <c r="D674" s="39" t="s">
        <v>2301</v>
      </c>
      <c r="E674" s="42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42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70">
        <v>46248</v>
      </c>
      <c r="X674" s="30" t="s">
        <v>55</v>
      </c>
      <c r="Y674" s="30" t="s">
        <v>56</v>
      </c>
      <c r="Z674" s="30" t="s">
        <v>57</v>
      </c>
      <c r="AA674" s="30" t="s">
        <v>58</v>
      </c>
      <c r="AB674" s="30" t="s">
        <v>56</v>
      </c>
      <c r="AC674" s="27"/>
      <c r="AD674" s="31" t="s">
        <v>57</v>
      </c>
      <c r="AE674" s="32" t="str">
        <f t="shared" si="52"/>
        <v>✓ OK</v>
      </c>
      <c r="AF674" s="33" t="s">
        <v>61</v>
      </c>
      <c r="AG674" s="33" t="s">
        <v>55</v>
      </c>
      <c r="AH674" s="33" t="s">
        <v>56</v>
      </c>
      <c r="AI674" s="33" t="s">
        <v>57</v>
      </c>
      <c r="AJ674" s="33" t="s">
        <v>58</v>
      </c>
      <c r="AK674" s="33" t="s">
        <v>56</v>
      </c>
      <c r="AL674" s="27"/>
      <c r="AM674" s="34" t="s">
        <v>57</v>
      </c>
      <c r="AN674" s="35" t="str">
        <f t="shared" si="53"/>
        <v>✓ OK</v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2672</v>
      </c>
      <c r="C675" s="25" t="s">
        <v>2673</v>
      </c>
      <c r="D675" s="23" t="s">
        <v>2301</v>
      </c>
      <c r="E675" s="42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42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70">
        <v>46248</v>
      </c>
      <c r="X675" s="30" t="s">
        <v>55</v>
      </c>
      <c r="Y675" s="30" t="s">
        <v>56</v>
      </c>
      <c r="Z675" s="30" t="s">
        <v>57</v>
      </c>
      <c r="AA675" s="30" t="s">
        <v>58</v>
      </c>
      <c r="AB675" s="30" t="s">
        <v>56</v>
      </c>
      <c r="AC675" s="27"/>
      <c r="AD675" s="31" t="s">
        <v>57</v>
      </c>
      <c r="AE675" s="32" t="str">
        <f t="shared" si="52"/>
        <v>✓ OK</v>
      </c>
      <c r="AF675" s="33" t="s">
        <v>61</v>
      </c>
      <c r="AG675" s="33" t="s">
        <v>55</v>
      </c>
      <c r="AH675" s="33" t="s">
        <v>56</v>
      </c>
      <c r="AI675" s="33" t="s">
        <v>57</v>
      </c>
      <c r="AJ675" s="33" t="s">
        <v>58</v>
      </c>
      <c r="AK675" s="33" t="s">
        <v>56</v>
      </c>
      <c r="AL675" s="27"/>
      <c r="AM675" s="34" t="s">
        <v>57</v>
      </c>
      <c r="AN675" s="35" t="str">
        <f t="shared" si="53"/>
        <v>✓ OK</v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2674</v>
      </c>
      <c r="C676" s="41" t="s">
        <v>2675</v>
      </c>
      <c r="D676" s="39" t="s">
        <v>2301</v>
      </c>
      <c r="E676" s="42">
        <v>46132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42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70">
        <v>46248</v>
      </c>
      <c r="X676" s="30" t="s">
        <v>55</v>
      </c>
      <c r="Y676" s="30" t="s">
        <v>56</v>
      </c>
      <c r="Z676" s="30" t="s">
        <v>57</v>
      </c>
      <c r="AA676" s="30" t="s">
        <v>58</v>
      </c>
      <c r="AB676" s="30" t="s">
        <v>56</v>
      </c>
      <c r="AC676" s="27"/>
      <c r="AD676" s="31" t="s">
        <v>57</v>
      </c>
      <c r="AE676" s="32" t="str">
        <f t="shared" si="52"/>
        <v>✓ OK</v>
      </c>
      <c r="AF676" s="33" t="s">
        <v>61</v>
      </c>
      <c r="AG676" s="33" t="s">
        <v>55</v>
      </c>
      <c r="AH676" s="33" t="s">
        <v>56</v>
      </c>
      <c r="AI676" s="33" t="s">
        <v>57</v>
      </c>
      <c r="AJ676" s="33" t="s">
        <v>58</v>
      </c>
      <c r="AK676" s="33" t="s">
        <v>56</v>
      </c>
      <c r="AL676" s="27"/>
      <c r="AM676" s="34" t="s">
        <v>57</v>
      </c>
      <c r="AN676" s="35" t="str">
        <f t="shared" si="53"/>
        <v>✓ OK</v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2676</v>
      </c>
      <c r="C677" s="25" t="s">
        <v>2677</v>
      </c>
      <c r="D677" s="23" t="s">
        <v>2301</v>
      </c>
      <c r="E677" s="42">
        <v>46132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42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70">
        <v>46248</v>
      </c>
      <c r="X677" s="30" t="s">
        <v>55</v>
      </c>
      <c r="Y677" s="30" t="s">
        <v>56</v>
      </c>
      <c r="Z677" s="30" t="s">
        <v>57</v>
      </c>
      <c r="AA677" s="30" t="s">
        <v>58</v>
      </c>
      <c r="AB677" s="30" t="s">
        <v>56</v>
      </c>
      <c r="AC677" s="27"/>
      <c r="AD677" s="31" t="s">
        <v>57</v>
      </c>
      <c r="AE677" s="32" t="str">
        <f t="shared" si="52"/>
        <v>✓ OK</v>
      </c>
      <c r="AF677" s="33" t="s">
        <v>61</v>
      </c>
      <c r="AG677" s="33" t="s">
        <v>55</v>
      </c>
      <c r="AH677" s="33" t="s">
        <v>56</v>
      </c>
      <c r="AI677" s="33" t="s">
        <v>57</v>
      </c>
      <c r="AJ677" s="33" t="s">
        <v>58</v>
      </c>
      <c r="AK677" s="33" t="s">
        <v>56</v>
      </c>
      <c r="AL677" s="27"/>
      <c r="AM677" s="34" t="s">
        <v>57</v>
      </c>
      <c r="AN677" s="35" t="str">
        <f t="shared" si="53"/>
        <v>✓ OK</v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2678</v>
      </c>
      <c r="C678" s="41" t="s">
        <v>2679</v>
      </c>
      <c r="D678" s="39" t="s">
        <v>2301</v>
      </c>
      <c r="E678" s="42">
        <v>46129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42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70">
        <v>46248</v>
      </c>
      <c r="X678" s="30" t="s">
        <v>55</v>
      </c>
      <c r="Y678" s="30" t="s">
        <v>56</v>
      </c>
      <c r="Z678" s="30" t="s">
        <v>57</v>
      </c>
      <c r="AA678" s="30" t="s">
        <v>58</v>
      </c>
      <c r="AB678" s="30" t="s">
        <v>56</v>
      </c>
      <c r="AC678" s="27"/>
      <c r="AD678" s="31" t="s">
        <v>57</v>
      </c>
      <c r="AE678" s="32" t="str">
        <f t="shared" si="52"/>
        <v>✓ OK</v>
      </c>
      <c r="AF678" s="33" t="s">
        <v>61</v>
      </c>
      <c r="AG678" s="33" t="s">
        <v>55</v>
      </c>
      <c r="AH678" s="33" t="s">
        <v>56</v>
      </c>
      <c r="AI678" s="33" t="s">
        <v>57</v>
      </c>
      <c r="AJ678" s="33" t="s">
        <v>58</v>
      </c>
      <c r="AK678" s="33" t="s">
        <v>56</v>
      </c>
      <c r="AL678" s="27"/>
      <c r="AM678" s="34" t="s">
        <v>57</v>
      </c>
      <c r="AN678" s="35" t="str">
        <f t="shared" si="53"/>
        <v>✓ OK</v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2680</v>
      </c>
      <c r="C679" s="25" t="s">
        <v>2681</v>
      </c>
      <c r="D679" s="23" t="s">
        <v>2301</v>
      </c>
      <c r="E679" s="42">
        <v>46129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42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70">
        <v>46248</v>
      </c>
      <c r="X679" s="30" t="s">
        <v>55</v>
      </c>
      <c r="Y679" s="30" t="s">
        <v>56</v>
      </c>
      <c r="Z679" s="30" t="s">
        <v>57</v>
      </c>
      <c r="AA679" s="30" t="s">
        <v>58</v>
      </c>
      <c r="AB679" s="30" t="s">
        <v>56</v>
      </c>
      <c r="AC679" s="27"/>
      <c r="AD679" s="31" t="s">
        <v>57</v>
      </c>
      <c r="AE679" s="32" t="str">
        <f t="shared" si="52"/>
        <v>✓ OK</v>
      </c>
      <c r="AF679" s="33" t="s">
        <v>61</v>
      </c>
      <c r="AG679" s="33" t="s">
        <v>55</v>
      </c>
      <c r="AH679" s="33" t="s">
        <v>56</v>
      </c>
      <c r="AI679" s="33" t="s">
        <v>57</v>
      </c>
      <c r="AJ679" s="33" t="s">
        <v>58</v>
      </c>
      <c r="AK679" s="33" t="s">
        <v>56</v>
      </c>
      <c r="AL679" s="27"/>
      <c r="AM679" s="34" t="s">
        <v>57</v>
      </c>
      <c r="AN679" s="35" t="str">
        <f t="shared" si="53"/>
        <v>✓ OK</v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2682</v>
      </c>
      <c r="C680" s="41" t="s">
        <v>2683</v>
      </c>
      <c r="D680" s="39" t="s">
        <v>2301</v>
      </c>
      <c r="E680" s="42">
        <v>46132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42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70">
        <v>46248</v>
      </c>
      <c r="X680" s="30" t="s">
        <v>55</v>
      </c>
      <c r="Y680" s="30" t="s">
        <v>56</v>
      </c>
      <c r="Z680" s="30" t="s">
        <v>57</v>
      </c>
      <c r="AA680" s="30" t="s">
        <v>58</v>
      </c>
      <c r="AB680" s="30" t="s">
        <v>56</v>
      </c>
      <c r="AC680" s="27"/>
      <c r="AD680" s="31" t="s">
        <v>57</v>
      </c>
      <c r="AE680" s="32" t="str">
        <f t="shared" si="52"/>
        <v>✓ OK</v>
      </c>
      <c r="AF680" s="33" t="s">
        <v>61</v>
      </c>
      <c r="AG680" s="33" t="s">
        <v>55</v>
      </c>
      <c r="AH680" s="33" t="s">
        <v>56</v>
      </c>
      <c r="AI680" s="33" t="s">
        <v>57</v>
      </c>
      <c r="AJ680" s="33" t="s">
        <v>58</v>
      </c>
      <c r="AK680" s="33" t="s">
        <v>56</v>
      </c>
      <c r="AL680" s="27"/>
      <c r="AM680" s="34" t="s">
        <v>57</v>
      </c>
      <c r="AN680" s="35" t="str">
        <f t="shared" si="53"/>
        <v>✓ OK</v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2684</v>
      </c>
      <c r="C681" s="25" t="s">
        <v>2685</v>
      </c>
      <c r="D681" s="23" t="s">
        <v>2301</v>
      </c>
      <c r="E681" s="42">
        <v>46132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42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70">
        <v>46248</v>
      </c>
      <c r="X681" s="30" t="s">
        <v>55</v>
      </c>
      <c r="Y681" s="30" t="s">
        <v>56</v>
      </c>
      <c r="Z681" s="30" t="s">
        <v>57</v>
      </c>
      <c r="AA681" s="30" t="s">
        <v>58</v>
      </c>
      <c r="AB681" s="30" t="s">
        <v>56</v>
      </c>
      <c r="AC681" s="27"/>
      <c r="AD681" s="31" t="s">
        <v>57</v>
      </c>
      <c r="AE681" s="32" t="str">
        <f t="shared" si="52"/>
        <v>✓ OK</v>
      </c>
      <c r="AF681" s="33" t="s">
        <v>61</v>
      </c>
      <c r="AG681" s="33" t="s">
        <v>55</v>
      </c>
      <c r="AH681" s="33" t="s">
        <v>56</v>
      </c>
      <c r="AI681" s="33" t="s">
        <v>57</v>
      </c>
      <c r="AJ681" s="33" t="s">
        <v>58</v>
      </c>
      <c r="AK681" s="33" t="s">
        <v>56</v>
      </c>
      <c r="AL681" s="27"/>
      <c r="AM681" s="34" t="s">
        <v>57</v>
      </c>
      <c r="AN681" s="35" t="str">
        <f t="shared" si="53"/>
        <v>✓ OK</v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2686</v>
      </c>
      <c r="C682" s="41" t="s">
        <v>2687</v>
      </c>
      <c r="D682" s="39" t="s">
        <v>2301</v>
      </c>
      <c r="E682" s="42">
        <v>46132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42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70">
        <v>46248</v>
      </c>
      <c r="X682" s="30" t="s">
        <v>55</v>
      </c>
      <c r="Y682" s="30" t="s">
        <v>56</v>
      </c>
      <c r="Z682" s="30" t="s">
        <v>57</v>
      </c>
      <c r="AA682" s="30" t="s">
        <v>58</v>
      </c>
      <c r="AB682" s="30" t="s">
        <v>56</v>
      </c>
      <c r="AC682" s="27"/>
      <c r="AD682" s="31" t="s">
        <v>57</v>
      </c>
      <c r="AE682" s="32" t="str">
        <f t="shared" si="52"/>
        <v>✓ OK</v>
      </c>
      <c r="AF682" s="33" t="s">
        <v>61</v>
      </c>
      <c r="AG682" s="33" t="s">
        <v>55</v>
      </c>
      <c r="AH682" s="33" t="s">
        <v>56</v>
      </c>
      <c r="AI682" s="33" t="s">
        <v>57</v>
      </c>
      <c r="AJ682" s="33" t="s">
        <v>58</v>
      </c>
      <c r="AK682" s="33" t="s">
        <v>56</v>
      </c>
      <c r="AL682" s="27"/>
      <c r="AM682" s="34" t="s">
        <v>57</v>
      </c>
      <c r="AN682" s="35" t="str">
        <f t="shared" si="53"/>
        <v>✓ OK</v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2688</v>
      </c>
      <c r="C683" s="25" t="s">
        <v>2689</v>
      </c>
      <c r="D683" s="23" t="s">
        <v>2301</v>
      </c>
      <c r="E683" s="42">
        <v>46132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42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70">
        <v>46248</v>
      </c>
      <c r="X683" s="30" t="s">
        <v>55</v>
      </c>
      <c r="Y683" s="30" t="s">
        <v>56</v>
      </c>
      <c r="Z683" s="30" t="s">
        <v>57</v>
      </c>
      <c r="AA683" s="30" t="s">
        <v>58</v>
      </c>
      <c r="AB683" s="30" t="s">
        <v>56</v>
      </c>
      <c r="AC683" s="27"/>
      <c r="AD683" s="31" t="s">
        <v>57</v>
      </c>
      <c r="AE683" s="32" t="str">
        <f t="shared" si="52"/>
        <v>✓ OK</v>
      </c>
      <c r="AF683" s="33" t="s">
        <v>61</v>
      </c>
      <c r="AG683" s="33" t="s">
        <v>55</v>
      </c>
      <c r="AH683" s="33" t="s">
        <v>56</v>
      </c>
      <c r="AI683" s="33" t="s">
        <v>57</v>
      </c>
      <c r="AJ683" s="33" t="s">
        <v>58</v>
      </c>
      <c r="AK683" s="33" t="s">
        <v>56</v>
      </c>
      <c r="AL683" s="27"/>
      <c r="AM683" s="34" t="s">
        <v>57</v>
      </c>
      <c r="AN683" s="35" t="str">
        <f t="shared" si="53"/>
        <v>✓ OK</v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2690</v>
      </c>
      <c r="C684" s="41" t="s">
        <v>2691</v>
      </c>
      <c r="D684" s="39" t="s">
        <v>2301</v>
      </c>
      <c r="E684" s="42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42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70">
        <v>46248</v>
      </c>
      <c r="X684" s="30" t="s">
        <v>55</v>
      </c>
      <c r="Y684" s="30" t="s">
        <v>56</v>
      </c>
      <c r="Z684" s="30" t="s">
        <v>57</v>
      </c>
      <c r="AA684" s="30" t="s">
        <v>58</v>
      </c>
      <c r="AB684" s="30" t="s">
        <v>56</v>
      </c>
      <c r="AC684" s="27"/>
      <c r="AD684" s="31" t="s">
        <v>57</v>
      </c>
      <c r="AE684" s="32" t="str">
        <f t="shared" si="52"/>
        <v>✓ OK</v>
      </c>
      <c r="AF684" s="33" t="s">
        <v>61</v>
      </c>
      <c r="AG684" s="33" t="s">
        <v>55</v>
      </c>
      <c r="AH684" s="33" t="s">
        <v>56</v>
      </c>
      <c r="AI684" s="33" t="s">
        <v>57</v>
      </c>
      <c r="AJ684" s="33" t="s">
        <v>58</v>
      </c>
      <c r="AK684" s="33" t="s">
        <v>56</v>
      </c>
      <c r="AL684" s="27"/>
      <c r="AM684" s="34" t="s">
        <v>57</v>
      </c>
      <c r="AN684" s="35" t="str">
        <f t="shared" si="53"/>
        <v>✓ OK</v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2692</v>
      </c>
      <c r="C685" s="25" t="s">
        <v>2693</v>
      </c>
      <c r="D685" s="23" t="s">
        <v>2301</v>
      </c>
      <c r="E685" s="42">
        <v>46132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42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70">
        <v>46248</v>
      </c>
      <c r="X685" s="30" t="s">
        <v>55</v>
      </c>
      <c r="Y685" s="30" t="s">
        <v>56</v>
      </c>
      <c r="Z685" s="30" t="s">
        <v>57</v>
      </c>
      <c r="AA685" s="30" t="s">
        <v>58</v>
      </c>
      <c r="AB685" s="30" t="s">
        <v>56</v>
      </c>
      <c r="AC685" s="27"/>
      <c r="AD685" s="31" t="s">
        <v>57</v>
      </c>
      <c r="AE685" s="32" t="str">
        <f t="shared" si="52"/>
        <v>✓ OK</v>
      </c>
      <c r="AF685" s="33" t="s">
        <v>61</v>
      </c>
      <c r="AG685" s="33" t="s">
        <v>55</v>
      </c>
      <c r="AH685" s="33" t="s">
        <v>56</v>
      </c>
      <c r="AI685" s="33" t="s">
        <v>57</v>
      </c>
      <c r="AJ685" s="33" t="s">
        <v>58</v>
      </c>
      <c r="AK685" s="33" t="s">
        <v>56</v>
      </c>
      <c r="AL685" s="27"/>
      <c r="AM685" s="34" t="s">
        <v>57</v>
      </c>
      <c r="AN685" s="35" t="str">
        <f t="shared" si="53"/>
        <v>✓ OK</v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2694</v>
      </c>
      <c r="C686" s="41" t="s">
        <v>2695</v>
      </c>
      <c r="D686" s="39" t="s">
        <v>2301</v>
      </c>
      <c r="E686" s="42">
        <v>46132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42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70">
        <v>46248</v>
      </c>
      <c r="X686" s="30" t="s">
        <v>55</v>
      </c>
      <c r="Y686" s="30" t="s">
        <v>56</v>
      </c>
      <c r="Z686" s="30" t="s">
        <v>57</v>
      </c>
      <c r="AA686" s="30" t="s">
        <v>58</v>
      </c>
      <c r="AB686" s="30" t="s">
        <v>56</v>
      </c>
      <c r="AC686" s="27"/>
      <c r="AD686" s="31" t="s">
        <v>57</v>
      </c>
      <c r="AE686" s="32" t="str">
        <f t="shared" si="52"/>
        <v>✓ OK</v>
      </c>
      <c r="AF686" s="33" t="s">
        <v>61</v>
      </c>
      <c r="AG686" s="33" t="s">
        <v>55</v>
      </c>
      <c r="AH686" s="33" t="s">
        <v>56</v>
      </c>
      <c r="AI686" s="33" t="s">
        <v>57</v>
      </c>
      <c r="AJ686" s="33" t="s">
        <v>58</v>
      </c>
      <c r="AK686" s="33" t="s">
        <v>56</v>
      </c>
      <c r="AL686" s="27"/>
      <c r="AM686" s="34" t="s">
        <v>57</v>
      </c>
      <c r="AN686" s="35" t="str">
        <f t="shared" si="53"/>
        <v>✓ OK</v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2696</v>
      </c>
      <c r="C687" s="25" t="s">
        <v>2697</v>
      </c>
      <c r="D687" s="23" t="s">
        <v>2301</v>
      </c>
      <c r="E687" s="42">
        <v>46132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42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70">
        <v>46248</v>
      </c>
      <c r="X687" s="30" t="s">
        <v>55</v>
      </c>
      <c r="Y687" s="30" t="s">
        <v>56</v>
      </c>
      <c r="Z687" s="30" t="s">
        <v>57</v>
      </c>
      <c r="AA687" s="30" t="s">
        <v>58</v>
      </c>
      <c r="AB687" s="30" t="s">
        <v>56</v>
      </c>
      <c r="AC687" s="27"/>
      <c r="AD687" s="31" t="s">
        <v>57</v>
      </c>
      <c r="AE687" s="32" t="str">
        <f t="shared" si="52"/>
        <v>✓ OK</v>
      </c>
      <c r="AF687" s="33" t="s">
        <v>61</v>
      </c>
      <c r="AG687" s="33" t="s">
        <v>55</v>
      </c>
      <c r="AH687" s="33" t="s">
        <v>56</v>
      </c>
      <c r="AI687" s="33" t="s">
        <v>57</v>
      </c>
      <c r="AJ687" s="33" t="s">
        <v>58</v>
      </c>
      <c r="AK687" s="33" t="s">
        <v>56</v>
      </c>
      <c r="AL687" s="27"/>
      <c r="AM687" s="34" t="s">
        <v>57</v>
      </c>
      <c r="AN687" s="35" t="str">
        <f t="shared" si="53"/>
        <v>✓ OK</v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2698</v>
      </c>
      <c r="C688" s="41" t="s">
        <v>2699</v>
      </c>
      <c r="D688" s="39" t="s">
        <v>2301</v>
      </c>
      <c r="E688" s="42">
        <v>46132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42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70">
        <v>46248</v>
      </c>
      <c r="X688" s="30" t="s">
        <v>55</v>
      </c>
      <c r="Y688" s="30" t="s">
        <v>56</v>
      </c>
      <c r="Z688" s="30" t="s">
        <v>57</v>
      </c>
      <c r="AA688" s="30" t="s">
        <v>58</v>
      </c>
      <c r="AB688" s="30" t="s">
        <v>56</v>
      </c>
      <c r="AC688" s="27"/>
      <c r="AD688" s="31" t="s">
        <v>57</v>
      </c>
      <c r="AE688" s="32" t="str">
        <f t="shared" si="52"/>
        <v>✓ OK</v>
      </c>
      <c r="AF688" s="33" t="s">
        <v>61</v>
      </c>
      <c r="AG688" s="33" t="s">
        <v>55</v>
      </c>
      <c r="AH688" s="33" t="s">
        <v>56</v>
      </c>
      <c r="AI688" s="33" t="s">
        <v>57</v>
      </c>
      <c r="AJ688" s="33" t="s">
        <v>58</v>
      </c>
      <c r="AK688" s="33" t="s">
        <v>56</v>
      </c>
      <c r="AL688" s="27"/>
      <c r="AM688" s="34" t="s">
        <v>57</v>
      </c>
      <c r="AN688" s="35" t="str">
        <f t="shared" si="53"/>
        <v>✓ OK</v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2700</v>
      </c>
      <c r="C689" s="25" t="s">
        <v>2701</v>
      </c>
      <c r="D689" s="23" t="s">
        <v>2301</v>
      </c>
      <c r="E689" s="42">
        <v>46129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42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70">
        <v>46248</v>
      </c>
      <c r="X689" s="30" t="s">
        <v>55</v>
      </c>
      <c r="Y689" s="30" t="s">
        <v>56</v>
      </c>
      <c r="Z689" s="30" t="s">
        <v>57</v>
      </c>
      <c r="AA689" s="30" t="s">
        <v>58</v>
      </c>
      <c r="AB689" s="30" t="s">
        <v>56</v>
      </c>
      <c r="AC689" s="27"/>
      <c r="AD689" s="31" t="s">
        <v>57</v>
      </c>
      <c r="AE689" s="32" t="str">
        <f t="shared" si="52"/>
        <v>✓ OK</v>
      </c>
      <c r="AF689" s="33" t="s">
        <v>61</v>
      </c>
      <c r="AG689" s="33" t="s">
        <v>55</v>
      </c>
      <c r="AH689" s="33" t="s">
        <v>56</v>
      </c>
      <c r="AI689" s="33" t="s">
        <v>57</v>
      </c>
      <c r="AJ689" s="33" t="s">
        <v>58</v>
      </c>
      <c r="AK689" s="33" t="s">
        <v>56</v>
      </c>
      <c r="AL689" s="27"/>
      <c r="AM689" s="34" t="s">
        <v>57</v>
      </c>
      <c r="AN689" s="35" t="str">
        <f t="shared" si="53"/>
        <v>✓ OK</v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2702</v>
      </c>
      <c r="C690" s="41" t="s">
        <v>2703</v>
      </c>
      <c r="D690" s="39" t="s">
        <v>2301</v>
      </c>
      <c r="E690" s="42">
        <v>46129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42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70">
        <v>46248</v>
      </c>
      <c r="X690" s="30" t="s">
        <v>55</v>
      </c>
      <c r="Y690" s="30" t="s">
        <v>56</v>
      </c>
      <c r="Z690" s="30" t="s">
        <v>57</v>
      </c>
      <c r="AA690" s="30" t="s">
        <v>58</v>
      </c>
      <c r="AB690" s="30" t="s">
        <v>56</v>
      </c>
      <c r="AC690" s="27"/>
      <c r="AD690" s="31" t="s">
        <v>57</v>
      </c>
      <c r="AE690" s="32" t="str">
        <f t="shared" si="52"/>
        <v>✓ OK</v>
      </c>
      <c r="AF690" s="33" t="s">
        <v>61</v>
      </c>
      <c r="AG690" s="33" t="s">
        <v>55</v>
      </c>
      <c r="AH690" s="33" t="s">
        <v>56</v>
      </c>
      <c r="AI690" s="33" t="s">
        <v>57</v>
      </c>
      <c r="AJ690" s="33" t="s">
        <v>58</v>
      </c>
      <c r="AK690" s="33" t="s">
        <v>56</v>
      </c>
      <c r="AL690" s="27"/>
      <c r="AM690" s="34" t="s">
        <v>57</v>
      </c>
      <c r="AN690" s="35" t="str">
        <f t="shared" si="53"/>
        <v>✓ OK</v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2704</v>
      </c>
      <c r="C691" s="25" t="s">
        <v>2705</v>
      </c>
      <c r="D691" s="23" t="s">
        <v>2301</v>
      </c>
      <c r="E691" s="42">
        <v>46129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42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70">
        <v>46248</v>
      </c>
      <c r="X691" s="30" t="s">
        <v>55</v>
      </c>
      <c r="Y691" s="30" t="s">
        <v>56</v>
      </c>
      <c r="Z691" s="30" t="s">
        <v>57</v>
      </c>
      <c r="AA691" s="30" t="s">
        <v>58</v>
      </c>
      <c r="AB691" s="30" t="s">
        <v>56</v>
      </c>
      <c r="AC691" s="27"/>
      <c r="AD691" s="31" t="s">
        <v>57</v>
      </c>
      <c r="AE691" s="32" t="str">
        <f t="shared" si="52"/>
        <v>✓ OK</v>
      </c>
      <c r="AF691" s="33" t="s">
        <v>61</v>
      </c>
      <c r="AG691" s="33" t="s">
        <v>55</v>
      </c>
      <c r="AH691" s="33" t="s">
        <v>56</v>
      </c>
      <c r="AI691" s="33" t="s">
        <v>57</v>
      </c>
      <c r="AJ691" s="33" t="s">
        <v>58</v>
      </c>
      <c r="AK691" s="33" t="s">
        <v>56</v>
      </c>
      <c r="AL691" s="27"/>
      <c r="AM691" s="34" t="s">
        <v>57</v>
      </c>
      <c r="AN691" s="35" t="str">
        <f t="shared" si="53"/>
        <v>✓ OK</v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2706</v>
      </c>
      <c r="C692" s="41" t="s">
        <v>2707</v>
      </c>
      <c r="D692" s="39" t="s">
        <v>2301</v>
      </c>
      <c r="E692" s="42">
        <v>46129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42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70">
        <v>46248</v>
      </c>
      <c r="X692" s="30" t="s">
        <v>55</v>
      </c>
      <c r="Y692" s="30" t="s">
        <v>56</v>
      </c>
      <c r="Z692" s="30" t="s">
        <v>57</v>
      </c>
      <c r="AA692" s="30" t="s">
        <v>58</v>
      </c>
      <c r="AB692" s="30" t="s">
        <v>56</v>
      </c>
      <c r="AC692" s="27"/>
      <c r="AD692" s="31" t="s">
        <v>57</v>
      </c>
      <c r="AE692" s="32" t="str">
        <f t="shared" si="52"/>
        <v>✓ OK</v>
      </c>
      <c r="AF692" s="33" t="s">
        <v>61</v>
      </c>
      <c r="AG692" s="33" t="s">
        <v>55</v>
      </c>
      <c r="AH692" s="33" t="s">
        <v>56</v>
      </c>
      <c r="AI692" s="33" t="s">
        <v>57</v>
      </c>
      <c r="AJ692" s="33" t="s">
        <v>58</v>
      </c>
      <c r="AK692" s="33" t="s">
        <v>56</v>
      </c>
      <c r="AL692" s="27"/>
      <c r="AM692" s="34" t="s">
        <v>57</v>
      </c>
      <c r="AN692" s="35" t="str">
        <f t="shared" si="53"/>
        <v>✓ OK</v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2708</v>
      </c>
      <c r="C693" s="25" t="s">
        <v>2709</v>
      </c>
      <c r="D693" s="23" t="s">
        <v>2301</v>
      </c>
      <c r="E693" s="42">
        <v>46132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42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70">
        <v>46248</v>
      </c>
      <c r="X693" s="30" t="s">
        <v>55</v>
      </c>
      <c r="Y693" s="30" t="s">
        <v>56</v>
      </c>
      <c r="Z693" s="30" t="s">
        <v>57</v>
      </c>
      <c r="AA693" s="30" t="s">
        <v>58</v>
      </c>
      <c r="AB693" s="30" t="s">
        <v>56</v>
      </c>
      <c r="AC693" s="27"/>
      <c r="AD693" s="31" t="s">
        <v>57</v>
      </c>
      <c r="AE693" s="32" t="str">
        <f t="shared" si="52"/>
        <v>✓ OK</v>
      </c>
      <c r="AF693" s="33" t="s">
        <v>61</v>
      </c>
      <c r="AG693" s="33" t="s">
        <v>55</v>
      </c>
      <c r="AH693" s="33" t="s">
        <v>56</v>
      </c>
      <c r="AI693" s="33" t="s">
        <v>57</v>
      </c>
      <c r="AJ693" s="33" t="s">
        <v>58</v>
      </c>
      <c r="AK693" s="33" t="s">
        <v>56</v>
      </c>
      <c r="AL693" s="27"/>
      <c r="AM693" s="34" t="s">
        <v>57</v>
      </c>
      <c r="AN693" s="35" t="str">
        <f t="shared" si="53"/>
        <v>✓ OK</v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2710</v>
      </c>
      <c r="C694" s="41" t="s">
        <v>2711</v>
      </c>
      <c r="D694" s="39" t="s">
        <v>2301</v>
      </c>
      <c r="E694" s="42">
        <v>46132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42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70">
        <v>46248</v>
      </c>
      <c r="X694" s="30" t="s">
        <v>55</v>
      </c>
      <c r="Y694" s="30" t="s">
        <v>56</v>
      </c>
      <c r="Z694" s="30" t="s">
        <v>57</v>
      </c>
      <c r="AA694" s="30" t="s">
        <v>58</v>
      </c>
      <c r="AB694" s="30" t="s">
        <v>56</v>
      </c>
      <c r="AC694" s="27"/>
      <c r="AD694" s="31" t="s">
        <v>57</v>
      </c>
      <c r="AE694" s="32" t="str">
        <f t="shared" si="52"/>
        <v>✓ OK</v>
      </c>
      <c r="AF694" s="33" t="s">
        <v>61</v>
      </c>
      <c r="AG694" s="33" t="s">
        <v>55</v>
      </c>
      <c r="AH694" s="33" t="s">
        <v>56</v>
      </c>
      <c r="AI694" s="33" t="s">
        <v>57</v>
      </c>
      <c r="AJ694" s="33" t="s">
        <v>58</v>
      </c>
      <c r="AK694" s="33" t="s">
        <v>56</v>
      </c>
      <c r="AL694" s="27"/>
      <c r="AM694" s="34" t="s">
        <v>57</v>
      </c>
      <c r="AN694" s="35" t="str">
        <f t="shared" si="53"/>
        <v>✓ OK</v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2712</v>
      </c>
      <c r="C695" s="25" t="s">
        <v>2713</v>
      </c>
      <c r="D695" s="23" t="s">
        <v>2301</v>
      </c>
      <c r="E695" s="42">
        <v>46129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42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70">
        <v>46248</v>
      </c>
      <c r="X695" s="30" t="s">
        <v>55</v>
      </c>
      <c r="Y695" s="30" t="s">
        <v>56</v>
      </c>
      <c r="Z695" s="30" t="s">
        <v>57</v>
      </c>
      <c r="AA695" s="30" t="s">
        <v>58</v>
      </c>
      <c r="AB695" s="30" t="s">
        <v>56</v>
      </c>
      <c r="AC695" s="27"/>
      <c r="AD695" s="31" t="s">
        <v>57</v>
      </c>
      <c r="AE695" s="32" t="str">
        <f t="shared" si="52"/>
        <v>✓ OK</v>
      </c>
      <c r="AF695" s="33" t="s">
        <v>61</v>
      </c>
      <c r="AG695" s="33" t="s">
        <v>55</v>
      </c>
      <c r="AH695" s="33" t="s">
        <v>56</v>
      </c>
      <c r="AI695" s="33" t="s">
        <v>57</v>
      </c>
      <c r="AJ695" s="33" t="s">
        <v>58</v>
      </c>
      <c r="AK695" s="33" t="s">
        <v>56</v>
      </c>
      <c r="AL695" s="27"/>
      <c r="AM695" s="34" t="s">
        <v>57</v>
      </c>
      <c r="AN695" s="35" t="str">
        <f t="shared" si="53"/>
        <v>✓ OK</v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2714</v>
      </c>
      <c r="C696" s="41" t="s">
        <v>2715</v>
      </c>
      <c r="D696" s="39" t="s">
        <v>2301</v>
      </c>
      <c r="E696" s="42">
        <v>46129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42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70">
        <v>46248</v>
      </c>
      <c r="X696" s="30" t="s">
        <v>55</v>
      </c>
      <c r="Y696" s="30" t="s">
        <v>56</v>
      </c>
      <c r="Z696" s="30" t="s">
        <v>57</v>
      </c>
      <c r="AA696" s="30" t="s">
        <v>58</v>
      </c>
      <c r="AB696" s="30" t="s">
        <v>56</v>
      </c>
      <c r="AC696" s="27"/>
      <c r="AD696" s="31" t="s">
        <v>57</v>
      </c>
      <c r="AE696" s="32" t="str">
        <f t="shared" si="52"/>
        <v>✓ OK</v>
      </c>
      <c r="AF696" s="33" t="s">
        <v>61</v>
      </c>
      <c r="AG696" s="33" t="s">
        <v>55</v>
      </c>
      <c r="AH696" s="33" t="s">
        <v>56</v>
      </c>
      <c r="AI696" s="33" t="s">
        <v>57</v>
      </c>
      <c r="AJ696" s="33" t="s">
        <v>58</v>
      </c>
      <c r="AK696" s="33" t="s">
        <v>56</v>
      </c>
      <c r="AL696" s="27"/>
      <c r="AM696" s="34" t="s">
        <v>57</v>
      </c>
      <c r="AN696" s="35" t="str">
        <f t="shared" si="53"/>
        <v>✓ OK</v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2716</v>
      </c>
      <c r="C697" s="25" t="s">
        <v>2717</v>
      </c>
      <c r="D697" s="23" t="s">
        <v>2301</v>
      </c>
      <c r="E697" s="42">
        <v>46132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42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70">
        <v>46248</v>
      </c>
      <c r="X697" s="30" t="s">
        <v>55</v>
      </c>
      <c r="Y697" s="30" t="s">
        <v>56</v>
      </c>
      <c r="Z697" s="30" t="s">
        <v>57</v>
      </c>
      <c r="AA697" s="30" t="s">
        <v>58</v>
      </c>
      <c r="AB697" s="30" t="s">
        <v>56</v>
      </c>
      <c r="AC697" s="27"/>
      <c r="AD697" s="31" t="s">
        <v>57</v>
      </c>
      <c r="AE697" s="32" t="str">
        <f t="shared" si="52"/>
        <v>✓ OK</v>
      </c>
      <c r="AF697" s="33" t="s">
        <v>61</v>
      </c>
      <c r="AG697" s="33" t="s">
        <v>55</v>
      </c>
      <c r="AH697" s="33" t="s">
        <v>56</v>
      </c>
      <c r="AI697" s="33" t="s">
        <v>57</v>
      </c>
      <c r="AJ697" s="33" t="s">
        <v>58</v>
      </c>
      <c r="AK697" s="33" t="s">
        <v>56</v>
      </c>
      <c r="AL697" s="27"/>
      <c r="AM697" s="34" t="s">
        <v>57</v>
      </c>
      <c r="AN697" s="35" t="str">
        <f t="shared" si="53"/>
        <v>✓ OK</v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2718</v>
      </c>
      <c r="C698" s="41" t="s">
        <v>2719</v>
      </c>
      <c r="D698" s="39" t="s">
        <v>2301</v>
      </c>
      <c r="E698" s="42">
        <v>46132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42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70">
        <v>46248</v>
      </c>
      <c r="X698" s="30" t="s">
        <v>55</v>
      </c>
      <c r="Y698" s="30" t="s">
        <v>56</v>
      </c>
      <c r="Z698" s="30" t="s">
        <v>57</v>
      </c>
      <c r="AA698" s="30" t="s">
        <v>58</v>
      </c>
      <c r="AB698" s="30" t="s">
        <v>56</v>
      </c>
      <c r="AC698" s="27"/>
      <c r="AD698" s="31" t="s">
        <v>57</v>
      </c>
      <c r="AE698" s="32" t="str">
        <f t="shared" si="52"/>
        <v>✓ OK</v>
      </c>
      <c r="AF698" s="33" t="s">
        <v>61</v>
      </c>
      <c r="AG698" s="33" t="s">
        <v>55</v>
      </c>
      <c r="AH698" s="33" t="s">
        <v>56</v>
      </c>
      <c r="AI698" s="33" t="s">
        <v>57</v>
      </c>
      <c r="AJ698" s="33" t="s">
        <v>58</v>
      </c>
      <c r="AK698" s="33" t="s">
        <v>56</v>
      </c>
      <c r="AL698" s="27"/>
      <c r="AM698" s="34" t="s">
        <v>57</v>
      </c>
      <c r="AN698" s="35" t="str">
        <f t="shared" si="53"/>
        <v>✓ OK</v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2720</v>
      </c>
      <c r="C699" s="25" t="s">
        <v>2721</v>
      </c>
      <c r="D699" s="23" t="s">
        <v>2301</v>
      </c>
      <c r="E699" s="42">
        <v>46132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42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70">
        <v>46248</v>
      </c>
      <c r="X699" s="30" t="s">
        <v>55</v>
      </c>
      <c r="Y699" s="30" t="s">
        <v>56</v>
      </c>
      <c r="Z699" s="30" t="s">
        <v>57</v>
      </c>
      <c r="AA699" s="30" t="s">
        <v>58</v>
      </c>
      <c r="AB699" s="30" t="s">
        <v>56</v>
      </c>
      <c r="AC699" s="27"/>
      <c r="AD699" s="31" t="s">
        <v>57</v>
      </c>
      <c r="AE699" s="32" t="str">
        <f t="shared" si="52"/>
        <v>✓ OK</v>
      </c>
      <c r="AF699" s="33" t="s">
        <v>61</v>
      </c>
      <c r="AG699" s="33" t="s">
        <v>55</v>
      </c>
      <c r="AH699" s="33" t="s">
        <v>56</v>
      </c>
      <c r="AI699" s="33" t="s">
        <v>57</v>
      </c>
      <c r="AJ699" s="33" t="s">
        <v>58</v>
      </c>
      <c r="AK699" s="33" t="s">
        <v>56</v>
      </c>
      <c r="AL699" s="27"/>
      <c r="AM699" s="34" t="s">
        <v>57</v>
      </c>
      <c r="AN699" s="35" t="str">
        <f t="shared" si="53"/>
        <v>✓ OK</v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2722</v>
      </c>
      <c r="C700" s="41" t="s">
        <v>2723</v>
      </c>
      <c r="D700" s="39" t="s">
        <v>2301</v>
      </c>
      <c r="E700" s="42">
        <v>46132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42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70">
        <v>46248</v>
      </c>
      <c r="X700" s="30" t="s">
        <v>55</v>
      </c>
      <c r="Y700" s="30" t="s">
        <v>56</v>
      </c>
      <c r="Z700" s="30" t="s">
        <v>57</v>
      </c>
      <c r="AA700" s="30" t="s">
        <v>58</v>
      </c>
      <c r="AB700" s="30" t="s">
        <v>56</v>
      </c>
      <c r="AC700" s="27"/>
      <c r="AD700" s="31" t="s">
        <v>57</v>
      </c>
      <c r="AE700" s="32" t="str">
        <f t="shared" si="52"/>
        <v>✓ OK</v>
      </c>
      <c r="AF700" s="33" t="s">
        <v>61</v>
      </c>
      <c r="AG700" s="33" t="s">
        <v>55</v>
      </c>
      <c r="AH700" s="33" t="s">
        <v>56</v>
      </c>
      <c r="AI700" s="33" t="s">
        <v>57</v>
      </c>
      <c r="AJ700" s="33" t="s">
        <v>58</v>
      </c>
      <c r="AK700" s="33" t="s">
        <v>56</v>
      </c>
      <c r="AL700" s="27"/>
      <c r="AM700" s="34" t="s">
        <v>57</v>
      </c>
      <c r="AN700" s="35" t="str">
        <f t="shared" si="53"/>
        <v>✓ OK</v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2724</v>
      </c>
      <c r="C701" s="25" t="s">
        <v>2725</v>
      </c>
      <c r="D701" s="23" t="s">
        <v>2301</v>
      </c>
      <c r="E701" s="42">
        <v>46129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42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70">
        <v>46248</v>
      </c>
      <c r="X701" s="30" t="s">
        <v>55</v>
      </c>
      <c r="Y701" s="30" t="s">
        <v>56</v>
      </c>
      <c r="Z701" s="30" t="s">
        <v>57</v>
      </c>
      <c r="AA701" s="30" t="s">
        <v>58</v>
      </c>
      <c r="AB701" s="30" t="s">
        <v>56</v>
      </c>
      <c r="AC701" s="27"/>
      <c r="AD701" s="31" t="s">
        <v>57</v>
      </c>
      <c r="AE701" s="32" t="str">
        <f t="shared" si="52"/>
        <v>✓ OK</v>
      </c>
      <c r="AF701" s="33" t="s">
        <v>61</v>
      </c>
      <c r="AG701" s="33" t="s">
        <v>55</v>
      </c>
      <c r="AH701" s="33" t="s">
        <v>56</v>
      </c>
      <c r="AI701" s="33" t="s">
        <v>57</v>
      </c>
      <c r="AJ701" s="33" t="s">
        <v>58</v>
      </c>
      <c r="AK701" s="33" t="s">
        <v>56</v>
      </c>
      <c r="AL701" s="27"/>
      <c r="AM701" s="34" t="s">
        <v>57</v>
      </c>
      <c r="AN701" s="35" t="str">
        <f t="shared" si="53"/>
        <v>✓ OK</v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2726</v>
      </c>
      <c r="C702" s="41" t="s">
        <v>2727</v>
      </c>
      <c r="D702" s="39" t="s">
        <v>2301</v>
      </c>
      <c r="E702" s="42">
        <v>46129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42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70">
        <v>46248</v>
      </c>
      <c r="X702" s="30" t="s">
        <v>55</v>
      </c>
      <c r="Y702" s="30" t="s">
        <v>56</v>
      </c>
      <c r="Z702" s="30" t="s">
        <v>57</v>
      </c>
      <c r="AA702" s="30" t="s">
        <v>58</v>
      </c>
      <c r="AB702" s="30" t="s">
        <v>56</v>
      </c>
      <c r="AC702" s="27"/>
      <c r="AD702" s="31" t="s">
        <v>57</v>
      </c>
      <c r="AE702" s="32" t="str">
        <f t="shared" si="52"/>
        <v>✓ OK</v>
      </c>
      <c r="AF702" s="33" t="s">
        <v>61</v>
      </c>
      <c r="AG702" s="33" t="s">
        <v>55</v>
      </c>
      <c r="AH702" s="33" t="s">
        <v>56</v>
      </c>
      <c r="AI702" s="33" t="s">
        <v>57</v>
      </c>
      <c r="AJ702" s="33" t="s">
        <v>58</v>
      </c>
      <c r="AK702" s="33" t="s">
        <v>56</v>
      </c>
      <c r="AL702" s="27"/>
      <c r="AM702" s="34" t="s">
        <v>57</v>
      </c>
      <c r="AN702" s="35" t="str">
        <f t="shared" si="53"/>
        <v>✓ OK</v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2728</v>
      </c>
      <c r="C703" s="25" t="s">
        <v>2729</v>
      </c>
      <c r="D703" s="23" t="s">
        <v>2301</v>
      </c>
      <c r="E703" s="42">
        <v>46129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42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70">
        <v>46248</v>
      </c>
      <c r="X703" s="30" t="s">
        <v>55</v>
      </c>
      <c r="Y703" s="30" t="s">
        <v>56</v>
      </c>
      <c r="Z703" s="30" t="s">
        <v>57</v>
      </c>
      <c r="AA703" s="30" t="s">
        <v>58</v>
      </c>
      <c r="AB703" s="30" t="s">
        <v>56</v>
      </c>
      <c r="AC703" s="27"/>
      <c r="AD703" s="31" t="s">
        <v>57</v>
      </c>
      <c r="AE703" s="32" t="str">
        <f t="shared" si="52"/>
        <v>✓ OK</v>
      </c>
      <c r="AF703" s="33" t="s">
        <v>61</v>
      </c>
      <c r="AG703" s="33" t="s">
        <v>55</v>
      </c>
      <c r="AH703" s="33" t="s">
        <v>56</v>
      </c>
      <c r="AI703" s="33" t="s">
        <v>57</v>
      </c>
      <c r="AJ703" s="33" t="s">
        <v>58</v>
      </c>
      <c r="AK703" s="33" t="s">
        <v>56</v>
      </c>
      <c r="AL703" s="27"/>
      <c r="AM703" s="34" t="s">
        <v>57</v>
      </c>
      <c r="AN703" s="35" t="str">
        <f t="shared" si="53"/>
        <v>✓ OK</v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2730</v>
      </c>
      <c r="C704" s="41" t="s">
        <v>2731</v>
      </c>
      <c r="D704" s="39" t="s">
        <v>2301</v>
      </c>
      <c r="E704" s="42">
        <v>46129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42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70">
        <v>46248</v>
      </c>
      <c r="X704" s="30" t="s">
        <v>55</v>
      </c>
      <c r="Y704" s="30" t="s">
        <v>56</v>
      </c>
      <c r="Z704" s="30" t="s">
        <v>57</v>
      </c>
      <c r="AA704" s="30" t="s">
        <v>58</v>
      </c>
      <c r="AB704" s="30" t="s">
        <v>56</v>
      </c>
      <c r="AC704" s="27"/>
      <c r="AD704" s="31" t="s">
        <v>57</v>
      </c>
      <c r="AE704" s="32" t="str">
        <f t="shared" si="52"/>
        <v>✓ OK</v>
      </c>
      <c r="AF704" s="33" t="s">
        <v>61</v>
      </c>
      <c r="AG704" s="33" t="s">
        <v>55</v>
      </c>
      <c r="AH704" s="33" t="s">
        <v>56</v>
      </c>
      <c r="AI704" s="33" t="s">
        <v>57</v>
      </c>
      <c r="AJ704" s="33" t="s">
        <v>58</v>
      </c>
      <c r="AK704" s="33" t="s">
        <v>56</v>
      </c>
      <c r="AL704" s="27"/>
      <c r="AM704" s="34" t="s">
        <v>57</v>
      </c>
      <c r="AN704" s="35" t="str">
        <f t="shared" si="53"/>
        <v>✓ OK</v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2732</v>
      </c>
      <c r="C705" s="25" t="s">
        <v>2733</v>
      </c>
      <c r="D705" s="23" t="s">
        <v>2301</v>
      </c>
      <c r="E705" s="42">
        <v>46129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42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70">
        <v>46248</v>
      </c>
      <c r="X705" s="30" t="s">
        <v>55</v>
      </c>
      <c r="Y705" s="30" t="s">
        <v>56</v>
      </c>
      <c r="Z705" s="30" t="s">
        <v>57</v>
      </c>
      <c r="AA705" s="30" t="s">
        <v>58</v>
      </c>
      <c r="AB705" s="30" t="s">
        <v>56</v>
      </c>
      <c r="AC705" s="27"/>
      <c r="AD705" s="31" t="s">
        <v>57</v>
      </c>
      <c r="AE705" s="32" t="str">
        <f t="shared" si="52"/>
        <v>✓ OK</v>
      </c>
      <c r="AF705" s="33" t="s">
        <v>61</v>
      </c>
      <c r="AG705" s="33" t="s">
        <v>55</v>
      </c>
      <c r="AH705" s="33" t="s">
        <v>56</v>
      </c>
      <c r="AI705" s="33" t="s">
        <v>57</v>
      </c>
      <c r="AJ705" s="33" t="s">
        <v>58</v>
      </c>
      <c r="AK705" s="33" t="s">
        <v>56</v>
      </c>
      <c r="AL705" s="27"/>
      <c r="AM705" s="34" t="s">
        <v>57</v>
      </c>
      <c r="AN705" s="35" t="str">
        <f t="shared" si="53"/>
        <v>✓ OK</v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2734</v>
      </c>
      <c r="C706" s="41" t="s">
        <v>2735</v>
      </c>
      <c r="D706" s="39" t="s">
        <v>2301</v>
      </c>
      <c r="E706" s="42">
        <v>46129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42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70">
        <v>46248</v>
      </c>
      <c r="X706" s="30" t="s">
        <v>55</v>
      </c>
      <c r="Y706" s="30" t="s">
        <v>56</v>
      </c>
      <c r="Z706" s="30" t="s">
        <v>57</v>
      </c>
      <c r="AA706" s="30" t="s">
        <v>58</v>
      </c>
      <c r="AB706" s="30" t="s">
        <v>56</v>
      </c>
      <c r="AC706" s="27"/>
      <c r="AD706" s="31" t="s">
        <v>57</v>
      </c>
      <c r="AE706" s="32" t="str">
        <f t="shared" si="52"/>
        <v>✓ OK</v>
      </c>
      <c r="AF706" s="33" t="s">
        <v>61</v>
      </c>
      <c r="AG706" s="33" t="s">
        <v>55</v>
      </c>
      <c r="AH706" s="33" t="s">
        <v>56</v>
      </c>
      <c r="AI706" s="33" t="s">
        <v>57</v>
      </c>
      <c r="AJ706" s="33" t="s">
        <v>58</v>
      </c>
      <c r="AK706" s="33" t="s">
        <v>56</v>
      </c>
      <c r="AL706" s="27"/>
      <c r="AM706" s="34" t="s">
        <v>57</v>
      </c>
      <c r="AN706" s="35" t="str">
        <f t="shared" si="53"/>
        <v>✓ OK</v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2736</v>
      </c>
      <c r="C707" s="25" t="s">
        <v>2737</v>
      </c>
      <c r="D707" s="23" t="s">
        <v>2301</v>
      </c>
      <c r="E707" s="42">
        <v>46129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42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70">
        <v>46248</v>
      </c>
      <c r="X707" s="30" t="s">
        <v>55</v>
      </c>
      <c r="Y707" s="30" t="s">
        <v>56</v>
      </c>
      <c r="Z707" s="30" t="s">
        <v>57</v>
      </c>
      <c r="AA707" s="30" t="s">
        <v>58</v>
      </c>
      <c r="AB707" s="30" t="s">
        <v>56</v>
      </c>
      <c r="AC707" s="27"/>
      <c r="AD707" s="31" t="s">
        <v>57</v>
      </c>
      <c r="AE707" s="32" t="str">
        <f t="shared" si="52"/>
        <v>✓ OK</v>
      </c>
      <c r="AF707" s="33" t="s">
        <v>61</v>
      </c>
      <c r="AG707" s="33" t="s">
        <v>55</v>
      </c>
      <c r="AH707" s="33" t="s">
        <v>56</v>
      </c>
      <c r="AI707" s="33" t="s">
        <v>57</v>
      </c>
      <c r="AJ707" s="33" t="s">
        <v>58</v>
      </c>
      <c r="AK707" s="33" t="s">
        <v>56</v>
      </c>
      <c r="AL707" s="27"/>
      <c r="AM707" s="34" t="s">
        <v>57</v>
      </c>
      <c r="AN707" s="35" t="str">
        <f t="shared" si="53"/>
        <v>✓ OK</v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2738</v>
      </c>
      <c r="C708" s="41" t="s">
        <v>2739</v>
      </c>
      <c r="D708" s="39" t="s">
        <v>2301</v>
      </c>
      <c r="E708" s="42">
        <v>46129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42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70">
        <v>46248</v>
      </c>
      <c r="X708" s="30" t="s">
        <v>55</v>
      </c>
      <c r="Y708" s="30" t="s">
        <v>56</v>
      </c>
      <c r="Z708" s="30" t="s">
        <v>57</v>
      </c>
      <c r="AA708" s="30" t="s">
        <v>58</v>
      </c>
      <c r="AB708" s="30" t="s">
        <v>56</v>
      </c>
      <c r="AC708" s="27"/>
      <c r="AD708" s="31" t="s">
        <v>57</v>
      </c>
      <c r="AE708" s="32" t="str">
        <f t="shared" si="52"/>
        <v>✓ OK</v>
      </c>
      <c r="AF708" s="33" t="s">
        <v>61</v>
      </c>
      <c r="AG708" s="33" t="s">
        <v>55</v>
      </c>
      <c r="AH708" s="33" t="s">
        <v>56</v>
      </c>
      <c r="AI708" s="33" t="s">
        <v>57</v>
      </c>
      <c r="AJ708" s="33" t="s">
        <v>58</v>
      </c>
      <c r="AK708" s="33" t="s">
        <v>56</v>
      </c>
      <c r="AL708" s="27"/>
      <c r="AM708" s="34" t="s">
        <v>57</v>
      </c>
      <c r="AN708" s="35" t="str">
        <f t="shared" si="53"/>
        <v>✓ OK</v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2740</v>
      </c>
      <c r="C709" s="25" t="s">
        <v>2741</v>
      </c>
      <c r="D709" s="23" t="s">
        <v>2301</v>
      </c>
      <c r="E709" s="42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42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70">
        <v>46248</v>
      </c>
      <c r="X709" s="30" t="s">
        <v>55</v>
      </c>
      <c r="Y709" s="30" t="s">
        <v>56</v>
      </c>
      <c r="Z709" s="30" t="s">
        <v>57</v>
      </c>
      <c r="AA709" s="30" t="s">
        <v>58</v>
      </c>
      <c r="AB709" s="30" t="s">
        <v>56</v>
      </c>
      <c r="AC709" s="27"/>
      <c r="AD709" s="31" t="s">
        <v>57</v>
      </c>
      <c r="AE709" s="32" t="str">
        <f t="shared" ref="AE709:AE772" si="57">IF(W709="","",IF(Z709="Yes","❌ Disc",IF(Y709="No","⚠ Missing",IF(AB709="Yes","✓ OK","⚠ Check"))))</f>
        <v>✓ OK</v>
      </c>
      <c r="AF709" s="33" t="s">
        <v>61</v>
      </c>
      <c r="AG709" s="33" t="s">
        <v>55</v>
      </c>
      <c r="AH709" s="33" t="s">
        <v>56</v>
      </c>
      <c r="AI709" s="33" t="s">
        <v>57</v>
      </c>
      <c r="AJ709" s="33" t="s">
        <v>58</v>
      </c>
      <c r="AK709" s="33" t="s">
        <v>56</v>
      </c>
      <c r="AL709" s="27"/>
      <c r="AM709" s="34" t="s">
        <v>57</v>
      </c>
      <c r="AN709" s="35" t="str">
        <f t="shared" ref="AN709:AN772" si="58">IF(AF709="","",IF(AI709="Yes","❌ Disc",IF(AH709="No","⚠ Missing",IF(AK709="Yes","✓ OK","⚠ Check"))))</f>
        <v>✓ OK</v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2742</v>
      </c>
      <c r="C710" s="41" t="s">
        <v>2743</v>
      </c>
      <c r="D710" s="39" t="s">
        <v>2301</v>
      </c>
      <c r="E710" s="42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42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70">
        <v>46248</v>
      </c>
      <c r="X710" s="30" t="s">
        <v>55</v>
      </c>
      <c r="Y710" s="30" t="s">
        <v>56</v>
      </c>
      <c r="Z710" s="30" t="s">
        <v>57</v>
      </c>
      <c r="AA710" s="30" t="s">
        <v>58</v>
      </c>
      <c r="AB710" s="30" t="s">
        <v>56</v>
      </c>
      <c r="AC710" s="27"/>
      <c r="AD710" s="31" t="s">
        <v>57</v>
      </c>
      <c r="AE710" s="32" t="str">
        <f t="shared" si="57"/>
        <v>✓ OK</v>
      </c>
      <c r="AF710" s="33" t="s">
        <v>61</v>
      </c>
      <c r="AG710" s="33" t="s">
        <v>55</v>
      </c>
      <c r="AH710" s="33" t="s">
        <v>56</v>
      </c>
      <c r="AI710" s="33" t="s">
        <v>57</v>
      </c>
      <c r="AJ710" s="33" t="s">
        <v>58</v>
      </c>
      <c r="AK710" s="33" t="s">
        <v>56</v>
      </c>
      <c r="AL710" s="27"/>
      <c r="AM710" s="34" t="s">
        <v>57</v>
      </c>
      <c r="AN710" s="35" t="str">
        <f t="shared" si="58"/>
        <v>✓ OK</v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2744</v>
      </c>
      <c r="C711" s="25" t="s">
        <v>2745</v>
      </c>
      <c r="D711" s="23" t="s">
        <v>2301</v>
      </c>
      <c r="E711" s="42">
        <v>46132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42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70">
        <v>46248</v>
      </c>
      <c r="X711" s="30" t="s">
        <v>55</v>
      </c>
      <c r="Y711" s="30" t="s">
        <v>56</v>
      </c>
      <c r="Z711" s="30" t="s">
        <v>57</v>
      </c>
      <c r="AA711" s="30" t="s">
        <v>58</v>
      </c>
      <c r="AB711" s="30" t="s">
        <v>56</v>
      </c>
      <c r="AC711" s="27"/>
      <c r="AD711" s="31" t="s">
        <v>57</v>
      </c>
      <c r="AE711" s="32" t="str">
        <f t="shared" si="57"/>
        <v>✓ OK</v>
      </c>
      <c r="AF711" s="33" t="s">
        <v>61</v>
      </c>
      <c r="AG711" s="33" t="s">
        <v>55</v>
      </c>
      <c r="AH711" s="33" t="s">
        <v>56</v>
      </c>
      <c r="AI711" s="33" t="s">
        <v>57</v>
      </c>
      <c r="AJ711" s="33" t="s">
        <v>58</v>
      </c>
      <c r="AK711" s="33" t="s">
        <v>56</v>
      </c>
      <c r="AL711" s="27"/>
      <c r="AM711" s="34" t="s">
        <v>57</v>
      </c>
      <c r="AN711" s="35" t="str">
        <f t="shared" si="58"/>
        <v>✓ OK</v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2746</v>
      </c>
      <c r="C712" s="41" t="s">
        <v>2747</v>
      </c>
      <c r="D712" s="39" t="s">
        <v>2301</v>
      </c>
      <c r="E712" s="42">
        <v>46132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42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70">
        <v>46248</v>
      </c>
      <c r="X712" s="30" t="s">
        <v>55</v>
      </c>
      <c r="Y712" s="30" t="s">
        <v>56</v>
      </c>
      <c r="Z712" s="30" t="s">
        <v>57</v>
      </c>
      <c r="AA712" s="30" t="s">
        <v>58</v>
      </c>
      <c r="AB712" s="30" t="s">
        <v>56</v>
      </c>
      <c r="AC712" s="27"/>
      <c r="AD712" s="31" t="s">
        <v>57</v>
      </c>
      <c r="AE712" s="32" t="str">
        <f t="shared" si="57"/>
        <v>✓ OK</v>
      </c>
      <c r="AF712" s="33" t="s">
        <v>61</v>
      </c>
      <c r="AG712" s="33" t="s">
        <v>55</v>
      </c>
      <c r="AH712" s="33" t="s">
        <v>56</v>
      </c>
      <c r="AI712" s="33" t="s">
        <v>57</v>
      </c>
      <c r="AJ712" s="33" t="s">
        <v>58</v>
      </c>
      <c r="AK712" s="33" t="s">
        <v>56</v>
      </c>
      <c r="AL712" s="27"/>
      <c r="AM712" s="34" t="s">
        <v>57</v>
      </c>
      <c r="AN712" s="35" t="str">
        <f t="shared" si="58"/>
        <v>✓ OK</v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2748</v>
      </c>
      <c r="C713" s="25" t="s">
        <v>2749</v>
      </c>
      <c r="D713" s="23" t="s">
        <v>2301</v>
      </c>
      <c r="E713" s="42">
        <v>46129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42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70">
        <v>46248</v>
      </c>
      <c r="X713" s="30" t="s">
        <v>55</v>
      </c>
      <c r="Y713" s="30" t="s">
        <v>56</v>
      </c>
      <c r="Z713" s="30" t="s">
        <v>57</v>
      </c>
      <c r="AA713" s="30" t="s">
        <v>58</v>
      </c>
      <c r="AB713" s="30" t="s">
        <v>56</v>
      </c>
      <c r="AC713" s="27"/>
      <c r="AD713" s="31" t="s">
        <v>57</v>
      </c>
      <c r="AE713" s="32" t="str">
        <f t="shared" si="57"/>
        <v>✓ OK</v>
      </c>
      <c r="AF713" s="33" t="s">
        <v>61</v>
      </c>
      <c r="AG713" s="33" t="s">
        <v>55</v>
      </c>
      <c r="AH713" s="33" t="s">
        <v>56</v>
      </c>
      <c r="AI713" s="33" t="s">
        <v>57</v>
      </c>
      <c r="AJ713" s="33" t="s">
        <v>58</v>
      </c>
      <c r="AK713" s="33" t="s">
        <v>56</v>
      </c>
      <c r="AL713" s="27"/>
      <c r="AM713" s="34" t="s">
        <v>57</v>
      </c>
      <c r="AN713" s="35" t="str">
        <f t="shared" si="58"/>
        <v>✓ OK</v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2750</v>
      </c>
      <c r="C714" s="41" t="s">
        <v>2751</v>
      </c>
      <c r="D714" s="39" t="s">
        <v>2301</v>
      </c>
      <c r="E714" s="42">
        <v>46129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42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70">
        <v>46248</v>
      </c>
      <c r="X714" s="30" t="s">
        <v>55</v>
      </c>
      <c r="Y714" s="30" t="s">
        <v>56</v>
      </c>
      <c r="Z714" s="30" t="s">
        <v>57</v>
      </c>
      <c r="AA714" s="30" t="s">
        <v>58</v>
      </c>
      <c r="AB714" s="30" t="s">
        <v>56</v>
      </c>
      <c r="AC714" s="27"/>
      <c r="AD714" s="31" t="s">
        <v>57</v>
      </c>
      <c r="AE714" s="32" t="str">
        <f t="shared" si="57"/>
        <v>✓ OK</v>
      </c>
      <c r="AF714" s="33" t="s">
        <v>61</v>
      </c>
      <c r="AG714" s="33" t="s">
        <v>55</v>
      </c>
      <c r="AH714" s="33" t="s">
        <v>56</v>
      </c>
      <c r="AI714" s="33" t="s">
        <v>57</v>
      </c>
      <c r="AJ714" s="33" t="s">
        <v>58</v>
      </c>
      <c r="AK714" s="33" t="s">
        <v>56</v>
      </c>
      <c r="AL714" s="27"/>
      <c r="AM714" s="34" t="s">
        <v>57</v>
      </c>
      <c r="AN714" s="35" t="str">
        <f t="shared" si="58"/>
        <v>✓ OK</v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2752</v>
      </c>
      <c r="C715" s="25" t="s">
        <v>2753</v>
      </c>
      <c r="D715" s="23" t="s">
        <v>2301</v>
      </c>
      <c r="E715" s="42">
        <v>46132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42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70">
        <v>46248</v>
      </c>
      <c r="X715" s="30" t="s">
        <v>55</v>
      </c>
      <c r="Y715" s="30" t="s">
        <v>56</v>
      </c>
      <c r="Z715" s="30" t="s">
        <v>57</v>
      </c>
      <c r="AA715" s="30" t="s">
        <v>58</v>
      </c>
      <c r="AB715" s="30" t="s">
        <v>56</v>
      </c>
      <c r="AC715" s="27"/>
      <c r="AD715" s="31" t="s">
        <v>57</v>
      </c>
      <c r="AE715" s="32" t="str">
        <f t="shared" si="57"/>
        <v>✓ OK</v>
      </c>
      <c r="AF715" s="33" t="s">
        <v>61</v>
      </c>
      <c r="AG715" s="33" t="s">
        <v>55</v>
      </c>
      <c r="AH715" s="33" t="s">
        <v>56</v>
      </c>
      <c r="AI715" s="33" t="s">
        <v>57</v>
      </c>
      <c r="AJ715" s="33" t="s">
        <v>58</v>
      </c>
      <c r="AK715" s="33" t="s">
        <v>56</v>
      </c>
      <c r="AL715" s="27"/>
      <c r="AM715" s="34" t="s">
        <v>57</v>
      </c>
      <c r="AN715" s="35" t="str">
        <f t="shared" si="58"/>
        <v>✓ OK</v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2754</v>
      </c>
      <c r="C716" s="41" t="s">
        <v>2755</v>
      </c>
      <c r="D716" s="39" t="s">
        <v>2301</v>
      </c>
      <c r="E716" s="42">
        <v>46132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42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70">
        <v>46248</v>
      </c>
      <c r="X716" s="30" t="s">
        <v>55</v>
      </c>
      <c r="Y716" s="30" t="s">
        <v>56</v>
      </c>
      <c r="Z716" s="30" t="s">
        <v>57</v>
      </c>
      <c r="AA716" s="30" t="s">
        <v>58</v>
      </c>
      <c r="AB716" s="30" t="s">
        <v>56</v>
      </c>
      <c r="AC716" s="27"/>
      <c r="AD716" s="31" t="s">
        <v>57</v>
      </c>
      <c r="AE716" s="32" t="str">
        <f t="shared" si="57"/>
        <v>✓ OK</v>
      </c>
      <c r="AF716" s="33" t="s">
        <v>61</v>
      </c>
      <c r="AG716" s="33" t="s">
        <v>55</v>
      </c>
      <c r="AH716" s="33" t="s">
        <v>56</v>
      </c>
      <c r="AI716" s="33" t="s">
        <v>57</v>
      </c>
      <c r="AJ716" s="33" t="s">
        <v>58</v>
      </c>
      <c r="AK716" s="33" t="s">
        <v>56</v>
      </c>
      <c r="AL716" s="27"/>
      <c r="AM716" s="34" t="s">
        <v>57</v>
      </c>
      <c r="AN716" s="35" t="str">
        <f t="shared" si="58"/>
        <v>✓ OK</v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2756</v>
      </c>
      <c r="C717" s="25" t="s">
        <v>2757</v>
      </c>
      <c r="D717" s="23" t="s">
        <v>2301</v>
      </c>
      <c r="E717" s="42">
        <v>46132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42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70">
        <v>46248</v>
      </c>
      <c r="X717" s="30" t="s">
        <v>55</v>
      </c>
      <c r="Y717" s="30" t="s">
        <v>56</v>
      </c>
      <c r="Z717" s="30" t="s">
        <v>57</v>
      </c>
      <c r="AA717" s="30" t="s">
        <v>58</v>
      </c>
      <c r="AB717" s="30" t="s">
        <v>56</v>
      </c>
      <c r="AC717" s="27"/>
      <c r="AD717" s="31" t="s">
        <v>57</v>
      </c>
      <c r="AE717" s="32" t="str">
        <f t="shared" si="57"/>
        <v>✓ OK</v>
      </c>
      <c r="AF717" s="33" t="s">
        <v>61</v>
      </c>
      <c r="AG717" s="33" t="s">
        <v>55</v>
      </c>
      <c r="AH717" s="33" t="s">
        <v>56</v>
      </c>
      <c r="AI717" s="33" t="s">
        <v>57</v>
      </c>
      <c r="AJ717" s="33" t="s">
        <v>58</v>
      </c>
      <c r="AK717" s="33" t="s">
        <v>56</v>
      </c>
      <c r="AL717" s="27"/>
      <c r="AM717" s="34" t="s">
        <v>57</v>
      </c>
      <c r="AN717" s="35" t="str">
        <f t="shared" si="58"/>
        <v>✓ OK</v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2758</v>
      </c>
      <c r="C718" s="41" t="s">
        <v>2759</v>
      </c>
      <c r="D718" s="39" t="s">
        <v>2301</v>
      </c>
      <c r="E718" s="42">
        <v>46132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42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70">
        <v>46248</v>
      </c>
      <c r="X718" s="30" t="s">
        <v>55</v>
      </c>
      <c r="Y718" s="30" t="s">
        <v>56</v>
      </c>
      <c r="Z718" s="30" t="s">
        <v>57</v>
      </c>
      <c r="AA718" s="30" t="s">
        <v>58</v>
      </c>
      <c r="AB718" s="30" t="s">
        <v>56</v>
      </c>
      <c r="AC718" s="27"/>
      <c r="AD718" s="31" t="s">
        <v>57</v>
      </c>
      <c r="AE718" s="32" t="str">
        <f t="shared" si="57"/>
        <v>✓ OK</v>
      </c>
      <c r="AF718" s="33" t="s">
        <v>61</v>
      </c>
      <c r="AG718" s="33" t="s">
        <v>55</v>
      </c>
      <c r="AH718" s="33" t="s">
        <v>56</v>
      </c>
      <c r="AI718" s="33" t="s">
        <v>57</v>
      </c>
      <c r="AJ718" s="33" t="s">
        <v>58</v>
      </c>
      <c r="AK718" s="33" t="s">
        <v>56</v>
      </c>
      <c r="AL718" s="27"/>
      <c r="AM718" s="34" t="s">
        <v>57</v>
      </c>
      <c r="AN718" s="35" t="str">
        <f t="shared" si="58"/>
        <v>✓ OK</v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2760</v>
      </c>
      <c r="C719" s="25" t="s">
        <v>2761</v>
      </c>
      <c r="D719" s="23" t="s">
        <v>2301</v>
      </c>
      <c r="E719" s="42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42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70">
        <v>46248</v>
      </c>
      <c r="X719" s="30" t="s">
        <v>55</v>
      </c>
      <c r="Y719" s="30" t="s">
        <v>56</v>
      </c>
      <c r="Z719" s="30" t="s">
        <v>57</v>
      </c>
      <c r="AA719" s="30" t="s">
        <v>58</v>
      </c>
      <c r="AB719" s="30" t="s">
        <v>56</v>
      </c>
      <c r="AC719" s="27"/>
      <c r="AD719" s="31" t="s">
        <v>57</v>
      </c>
      <c r="AE719" s="32" t="str">
        <f t="shared" si="57"/>
        <v>✓ OK</v>
      </c>
      <c r="AF719" s="33" t="s">
        <v>61</v>
      </c>
      <c r="AG719" s="33" t="s">
        <v>55</v>
      </c>
      <c r="AH719" s="33" t="s">
        <v>56</v>
      </c>
      <c r="AI719" s="33" t="s">
        <v>57</v>
      </c>
      <c r="AJ719" s="33" t="s">
        <v>58</v>
      </c>
      <c r="AK719" s="33" t="s">
        <v>56</v>
      </c>
      <c r="AL719" s="27"/>
      <c r="AM719" s="34" t="s">
        <v>57</v>
      </c>
      <c r="AN719" s="35" t="str">
        <f t="shared" si="58"/>
        <v>✓ OK</v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2762</v>
      </c>
      <c r="C720" s="41" t="s">
        <v>2763</v>
      </c>
      <c r="D720" s="39" t="s">
        <v>2301</v>
      </c>
      <c r="E720" s="42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42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70">
        <v>46248</v>
      </c>
      <c r="X720" s="30" t="s">
        <v>55</v>
      </c>
      <c r="Y720" s="30" t="s">
        <v>56</v>
      </c>
      <c r="Z720" s="30" t="s">
        <v>57</v>
      </c>
      <c r="AA720" s="30" t="s">
        <v>58</v>
      </c>
      <c r="AB720" s="30" t="s">
        <v>56</v>
      </c>
      <c r="AC720" s="27"/>
      <c r="AD720" s="31" t="s">
        <v>57</v>
      </c>
      <c r="AE720" s="32" t="str">
        <f t="shared" si="57"/>
        <v>✓ OK</v>
      </c>
      <c r="AF720" s="33" t="s">
        <v>61</v>
      </c>
      <c r="AG720" s="33" t="s">
        <v>55</v>
      </c>
      <c r="AH720" s="33" t="s">
        <v>56</v>
      </c>
      <c r="AI720" s="33" t="s">
        <v>57</v>
      </c>
      <c r="AJ720" s="33" t="s">
        <v>58</v>
      </c>
      <c r="AK720" s="33" t="s">
        <v>56</v>
      </c>
      <c r="AL720" s="27"/>
      <c r="AM720" s="34" t="s">
        <v>57</v>
      </c>
      <c r="AN720" s="35" t="str">
        <f t="shared" si="58"/>
        <v>✓ OK</v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2764</v>
      </c>
      <c r="C721" s="25" t="s">
        <v>2765</v>
      </c>
      <c r="D721" s="23" t="s">
        <v>2301</v>
      </c>
      <c r="E721" s="42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42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70">
        <v>46248</v>
      </c>
      <c r="X721" s="30" t="s">
        <v>55</v>
      </c>
      <c r="Y721" s="30" t="s">
        <v>56</v>
      </c>
      <c r="Z721" s="30" t="s">
        <v>57</v>
      </c>
      <c r="AA721" s="30" t="s">
        <v>58</v>
      </c>
      <c r="AB721" s="30" t="s">
        <v>56</v>
      </c>
      <c r="AC721" s="27"/>
      <c r="AD721" s="31" t="s">
        <v>57</v>
      </c>
      <c r="AE721" s="32" t="str">
        <f t="shared" si="57"/>
        <v>✓ OK</v>
      </c>
      <c r="AF721" s="33" t="s">
        <v>61</v>
      </c>
      <c r="AG721" s="33" t="s">
        <v>55</v>
      </c>
      <c r="AH721" s="33" t="s">
        <v>56</v>
      </c>
      <c r="AI721" s="33" t="s">
        <v>57</v>
      </c>
      <c r="AJ721" s="33" t="s">
        <v>58</v>
      </c>
      <c r="AK721" s="33" t="s">
        <v>56</v>
      </c>
      <c r="AL721" s="27"/>
      <c r="AM721" s="34" t="s">
        <v>57</v>
      </c>
      <c r="AN721" s="35" t="str">
        <f t="shared" si="58"/>
        <v>✓ OK</v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2766</v>
      </c>
      <c r="C722" s="41" t="s">
        <v>2767</v>
      </c>
      <c r="D722" s="39" t="s">
        <v>2301</v>
      </c>
      <c r="E722" s="42">
        <v>46129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42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70">
        <v>46248</v>
      </c>
      <c r="X722" s="30" t="s">
        <v>55</v>
      </c>
      <c r="Y722" s="30" t="s">
        <v>56</v>
      </c>
      <c r="Z722" s="30" t="s">
        <v>57</v>
      </c>
      <c r="AA722" s="30" t="s">
        <v>58</v>
      </c>
      <c r="AB722" s="30" t="s">
        <v>56</v>
      </c>
      <c r="AC722" s="27"/>
      <c r="AD722" s="31" t="s">
        <v>57</v>
      </c>
      <c r="AE722" s="32" t="str">
        <f t="shared" si="57"/>
        <v>✓ OK</v>
      </c>
      <c r="AF722" s="33" t="s">
        <v>61</v>
      </c>
      <c r="AG722" s="33" t="s">
        <v>55</v>
      </c>
      <c r="AH722" s="33" t="s">
        <v>56</v>
      </c>
      <c r="AI722" s="33" t="s">
        <v>57</v>
      </c>
      <c r="AJ722" s="33" t="s">
        <v>58</v>
      </c>
      <c r="AK722" s="33" t="s">
        <v>56</v>
      </c>
      <c r="AL722" s="27"/>
      <c r="AM722" s="34" t="s">
        <v>57</v>
      </c>
      <c r="AN722" s="35" t="str">
        <f t="shared" si="58"/>
        <v>✓ OK</v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2768</v>
      </c>
      <c r="C723" s="25" t="s">
        <v>2769</v>
      </c>
      <c r="D723" s="23" t="s">
        <v>2301</v>
      </c>
      <c r="E723" s="42">
        <v>46129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42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70">
        <v>46248</v>
      </c>
      <c r="X723" s="30" t="s">
        <v>55</v>
      </c>
      <c r="Y723" s="30" t="s">
        <v>56</v>
      </c>
      <c r="Z723" s="30" t="s">
        <v>57</v>
      </c>
      <c r="AA723" s="30" t="s">
        <v>58</v>
      </c>
      <c r="AB723" s="30" t="s">
        <v>56</v>
      </c>
      <c r="AC723" s="27"/>
      <c r="AD723" s="31" t="s">
        <v>57</v>
      </c>
      <c r="AE723" s="32" t="str">
        <f t="shared" si="57"/>
        <v>✓ OK</v>
      </c>
      <c r="AF723" s="33" t="s">
        <v>61</v>
      </c>
      <c r="AG723" s="33" t="s">
        <v>55</v>
      </c>
      <c r="AH723" s="33" t="s">
        <v>56</v>
      </c>
      <c r="AI723" s="33" t="s">
        <v>57</v>
      </c>
      <c r="AJ723" s="33" t="s">
        <v>58</v>
      </c>
      <c r="AK723" s="33" t="s">
        <v>56</v>
      </c>
      <c r="AL723" s="27"/>
      <c r="AM723" s="34" t="s">
        <v>57</v>
      </c>
      <c r="AN723" s="35" t="str">
        <f t="shared" si="58"/>
        <v>✓ OK</v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2770</v>
      </c>
      <c r="C724" s="41" t="s">
        <v>2771</v>
      </c>
      <c r="D724" s="39" t="s">
        <v>2301</v>
      </c>
      <c r="E724" s="42">
        <v>46129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42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70">
        <v>46248</v>
      </c>
      <c r="X724" s="30" t="s">
        <v>55</v>
      </c>
      <c r="Y724" s="30" t="s">
        <v>56</v>
      </c>
      <c r="Z724" s="30" t="s">
        <v>57</v>
      </c>
      <c r="AA724" s="30" t="s">
        <v>58</v>
      </c>
      <c r="AB724" s="30" t="s">
        <v>56</v>
      </c>
      <c r="AC724" s="27"/>
      <c r="AD724" s="31" t="s">
        <v>57</v>
      </c>
      <c r="AE724" s="32" t="str">
        <f t="shared" si="57"/>
        <v>✓ OK</v>
      </c>
      <c r="AF724" s="33" t="s">
        <v>61</v>
      </c>
      <c r="AG724" s="33" t="s">
        <v>55</v>
      </c>
      <c r="AH724" s="33" t="s">
        <v>56</v>
      </c>
      <c r="AI724" s="33" t="s">
        <v>57</v>
      </c>
      <c r="AJ724" s="33" t="s">
        <v>58</v>
      </c>
      <c r="AK724" s="33" t="s">
        <v>56</v>
      </c>
      <c r="AL724" s="27"/>
      <c r="AM724" s="34" t="s">
        <v>57</v>
      </c>
      <c r="AN724" s="35" t="str">
        <f t="shared" si="58"/>
        <v>✓ OK</v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2772</v>
      </c>
      <c r="C725" s="25" t="s">
        <v>2773</v>
      </c>
      <c r="D725" s="23" t="s">
        <v>2301</v>
      </c>
      <c r="E725" s="42">
        <v>46129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42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70">
        <v>46248</v>
      </c>
      <c r="X725" s="30" t="s">
        <v>55</v>
      </c>
      <c r="Y725" s="30" t="s">
        <v>56</v>
      </c>
      <c r="Z725" s="30" t="s">
        <v>57</v>
      </c>
      <c r="AA725" s="30" t="s">
        <v>58</v>
      </c>
      <c r="AB725" s="30" t="s">
        <v>56</v>
      </c>
      <c r="AC725" s="27"/>
      <c r="AD725" s="31" t="s">
        <v>57</v>
      </c>
      <c r="AE725" s="32" t="str">
        <f t="shared" si="57"/>
        <v>✓ OK</v>
      </c>
      <c r="AF725" s="33" t="s">
        <v>61</v>
      </c>
      <c r="AG725" s="33" t="s">
        <v>55</v>
      </c>
      <c r="AH725" s="33" t="s">
        <v>56</v>
      </c>
      <c r="AI725" s="33" t="s">
        <v>57</v>
      </c>
      <c r="AJ725" s="33" t="s">
        <v>58</v>
      </c>
      <c r="AK725" s="33" t="s">
        <v>56</v>
      </c>
      <c r="AL725" s="27"/>
      <c r="AM725" s="34" t="s">
        <v>57</v>
      </c>
      <c r="AN725" s="35" t="str">
        <f t="shared" si="58"/>
        <v>✓ OK</v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2774</v>
      </c>
      <c r="C726" s="41" t="s">
        <v>2775</v>
      </c>
      <c r="D726" s="39" t="s">
        <v>2301</v>
      </c>
      <c r="E726" s="42">
        <v>46132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42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70">
        <v>46248</v>
      </c>
      <c r="X726" s="30" t="s">
        <v>55</v>
      </c>
      <c r="Y726" s="30" t="s">
        <v>56</v>
      </c>
      <c r="Z726" s="30" t="s">
        <v>57</v>
      </c>
      <c r="AA726" s="30" t="s">
        <v>58</v>
      </c>
      <c r="AB726" s="30" t="s">
        <v>56</v>
      </c>
      <c r="AC726" s="27"/>
      <c r="AD726" s="31" t="s">
        <v>57</v>
      </c>
      <c r="AE726" s="32" t="str">
        <f t="shared" si="57"/>
        <v>✓ OK</v>
      </c>
      <c r="AF726" s="33" t="s">
        <v>61</v>
      </c>
      <c r="AG726" s="33" t="s">
        <v>55</v>
      </c>
      <c r="AH726" s="33" t="s">
        <v>56</v>
      </c>
      <c r="AI726" s="33" t="s">
        <v>57</v>
      </c>
      <c r="AJ726" s="33" t="s">
        <v>58</v>
      </c>
      <c r="AK726" s="33" t="s">
        <v>56</v>
      </c>
      <c r="AL726" s="27"/>
      <c r="AM726" s="34" t="s">
        <v>57</v>
      </c>
      <c r="AN726" s="35" t="str">
        <f t="shared" si="58"/>
        <v>✓ OK</v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2776</v>
      </c>
      <c r="C727" s="25" t="s">
        <v>2777</v>
      </c>
      <c r="D727" s="23" t="s">
        <v>2301</v>
      </c>
      <c r="E727" s="42">
        <v>46132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42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70">
        <v>46248</v>
      </c>
      <c r="X727" s="30" t="s">
        <v>55</v>
      </c>
      <c r="Y727" s="30" t="s">
        <v>56</v>
      </c>
      <c r="Z727" s="30" t="s">
        <v>57</v>
      </c>
      <c r="AA727" s="30" t="s">
        <v>58</v>
      </c>
      <c r="AB727" s="30" t="s">
        <v>56</v>
      </c>
      <c r="AC727" s="27"/>
      <c r="AD727" s="31" t="s">
        <v>57</v>
      </c>
      <c r="AE727" s="32" t="str">
        <f t="shared" si="57"/>
        <v>✓ OK</v>
      </c>
      <c r="AF727" s="33" t="s">
        <v>61</v>
      </c>
      <c r="AG727" s="33" t="s">
        <v>55</v>
      </c>
      <c r="AH727" s="33" t="s">
        <v>56</v>
      </c>
      <c r="AI727" s="33" t="s">
        <v>57</v>
      </c>
      <c r="AJ727" s="33" t="s">
        <v>58</v>
      </c>
      <c r="AK727" s="33" t="s">
        <v>56</v>
      </c>
      <c r="AL727" s="27"/>
      <c r="AM727" s="34" t="s">
        <v>57</v>
      </c>
      <c r="AN727" s="35" t="str">
        <f t="shared" si="58"/>
        <v>✓ OK</v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2778</v>
      </c>
      <c r="C728" s="41" t="s">
        <v>2779</v>
      </c>
      <c r="D728" s="39" t="s">
        <v>2301</v>
      </c>
      <c r="E728" s="42">
        <v>46132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42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70">
        <v>46248</v>
      </c>
      <c r="X728" s="30" t="s">
        <v>55</v>
      </c>
      <c r="Y728" s="30" t="s">
        <v>56</v>
      </c>
      <c r="Z728" s="30" t="s">
        <v>57</v>
      </c>
      <c r="AA728" s="30" t="s">
        <v>58</v>
      </c>
      <c r="AB728" s="30" t="s">
        <v>56</v>
      </c>
      <c r="AC728" s="27"/>
      <c r="AD728" s="31" t="s">
        <v>57</v>
      </c>
      <c r="AE728" s="32" t="str">
        <f t="shared" si="57"/>
        <v>✓ OK</v>
      </c>
      <c r="AF728" s="33" t="s">
        <v>61</v>
      </c>
      <c r="AG728" s="33" t="s">
        <v>55</v>
      </c>
      <c r="AH728" s="33" t="s">
        <v>56</v>
      </c>
      <c r="AI728" s="33" t="s">
        <v>57</v>
      </c>
      <c r="AJ728" s="33" t="s">
        <v>58</v>
      </c>
      <c r="AK728" s="33" t="s">
        <v>56</v>
      </c>
      <c r="AL728" s="27"/>
      <c r="AM728" s="34" t="s">
        <v>57</v>
      </c>
      <c r="AN728" s="35" t="str">
        <f t="shared" si="58"/>
        <v>✓ OK</v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2780</v>
      </c>
      <c r="C729" s="25" t="s">
        <v>2781</v>
      </c>
      <c r="D729" s="23" t="s">
        <v>2301</v>
      </c>
      <c r="E729" s="42">
        <v>46132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42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70">
        <v>46248</v>
      </c>
      <c r="X729" s="30" t="s">
        <v>55</v>
      </c>
      <c r="Y729" s="30" t="s">
        <v>56</v>
      </c>
      <c r="Z729" s="30" t="s">
        <v>57</v>
      </c>
      <c r="AA729" s="30" t="s">
        <v>58</v>
      </c>
      <c r="AB729" s="30" t="s">
        <v>56</v>
      </c>
      <c r="AC729" s="27"/>
      <c r="AD729" s="31" t="s">
        <v>57</v>
      </c>
      <c r="AE729" s="32" t="str">
        <f t="shared" si="57"/>
        <v>✓ OK</v>
      </c>
      <c r="AF729" s="33" t="s">
        <v>61</v>
      </c>
      <c r="AG729" s="33" t="s">
        <v>55</v>
      </c>
      <c r="AH729" s="33" t="s">
        <v>56</v>
      </c>
      <c r="AI729" s="33" t="s">
        <v>57</v>
      </c>
      <c r="AJ729" s="33" t="s">
        <v>58</v>
      </c>
      <c r="AK729" s="33" t="s">
        <v>56</v>
      </c>
      <c r="AL729" s="27"/>
      <c r="AM729" s="34" t="s">
        <v>57</v>
      </c>
      <c r="AN729" s="35" t="str">
        <f t="shared" si="58"/>
        <v>✓ OK</v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2782</v>
      </c>
      <c r="C730" s="41" t="s">
        <v>2783</v>
      </c>
      <c r="D730" s="39" t="s">
        <v>2301</v>
      </c>
      <c r="E730" s="42">
        <v>46129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42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70">
        <v>46248</v>
      </c>
      <c r="X730" s="30" t="s">
        <v>55</v>
      </c>
      <c r="Y730" s="30" t="s">
        <v>56</v>
      </c>
      <c r="Z730" s="30" t="s">
        <v>57</v>
      </c>
      <c r="AA730" s="30" t="s">
        <v>58</v>
      </c>
      <c r="AB730" s="30" t="s">
        <v>56</v>
      </c>
      <c r="AC730" s="27"/>
      <c r="AD730" s="31" t="s">
        <v>57</v>
      </c>
      <c r="AE730" s="32" t="str">
        <f t="shared" si="57"/>
        <v>✓ OK</v>
      </c>
      <c r="AF730" s="33" t="s">
        <v>61</v>
      </c>
      <c r="AG730" s="33" t="s">
        <v>55</v>
      </c>
      <c r="AH730" s="33" t="s">
        <v>56</v>
      </c>
      <c r="AI730" s="33" t="s">
        <v>57</v>
      </c>
      <c r="AJ730" s="33" t="s">
        <v>58</v>
      </c>
      <c r="AK730" s="33" t="s">
        <v>56</v>
      </c>
      <c r="AL730" s="27"/>
      <c r="AM730" s="34" t="s">
        <v>57</v>
      </c>
      <c r="AN730" s="35" t="str">
        <f t="shared" si="58"/>
        <v>✓ OK</v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2784</v>
      </c>
      <c r="C731" s="25" t="s">
        <v>2785</v>
      </c>
      <c r="D731" s="23" t="s">
        <v>2301</v>
      </c>
      <c r="E731" s="42">
        <v>46129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42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70">
        <v>46248</v>
      </c>
      <c r="X731" s="30" t="s">
        <v>55</v>
      </c>
      <c r="Y731" s="30" t="s">
        <v>56</v>
      </c>
      <c r="Z731" s="30" t="s">
        <v>57</v>
      </c>
      <c r="AA731" s="30" t="s">
        <v>58</v>
      </c>
      <c r="AB731" s="30" t="s">
        <v>56</v>
      </c>
      <c r="AC731" s="27"/>
      <c r="AD731" s="31" t="s">
        <v>57</v>
      </c>
      <c r="AE731" s="32" t="str">
        <f t="shared" si="57"/>
        <v>✓ OK</v>
      </c>
      <c r="AF731" s="33" t="s">
        <v>61</v>
      </c>
      <c r="AG731" s="33" t="s">
        <v>55</v>
      </c>
      <c r="AH731" s="33" t="s">
        <v>56</v>
      </c>
      <c r="AI731" s="33" t="s">
        <v>57</v>
      </c>
      <c r="AJ731" s="33" t="s">
        <v>58</v>
      </c>
      <c r="AK731" s="33" t="s">
        <v>56</v>
      </c>
      <c r="AL731" s="27"/>
      <c r="AM731" s="34" t="s">
        <v>57</v>
      </c>
      <c r="AN731" s="35" t="str">
        <f t="shared" si="58"/>
        <v>✓ OK</v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2786</v>
      </c>
      <c r="C732" s="41" t="s">
        <v>2787</v>
      </c>
      <c r="D732" s="39" t="s">
        <v>2301</v>
      </c>
      <c r="E732" s="42">
        <v>46129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42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70">
        <v>46248</v>
      </c>
      <c r="X732" s="30" t="s">
        <v>55</v>
      </c>
      <c r="Y732" s="30" t="s">
        <v>56</v>
      </c>
      <c r="Z732" s="30" t="s">
        <v>57</v>
      </c>
      <c r="AA732" s="30" t="s">
        <v>58</v>
      </c>
      <c r="AB732" s="30" t="s">
        <v>56</v>
      </c>
      <c r="AC732" s="27"/>
      <c r="AD732" s="31" t="s">
        <v>57</v>
      </c>
      <c r="AE732" s="32" t="str">
        <f t="shared" si="57"/>
        <v>✓ OK</v>
      </c>
      <c r="AF732" s="33" t="s">
        <v>61</v>
      </c>
      <c r="AG732" s="33" t="s">
        <v>55</v>
      </c>
      <c r="AH732" s="33" t="s">
        <v>56</v>
      </c>
      <c r="AI732" s="33" t="s">
        <v>57</v>
      </c>
      <c r="AJ732" s="33" t="s">
        <v>58</v>
      </c>
      <c r="AK732" s="33" t="s">
        <v>56</v>
      </c>
      <c r="AL732" s="27"/>
      <c r="AM732" s="34" t="s">
        <v>57</v>
      </c>
      <c r="AN732" s="35" t="str">
        <f t="shared" si="58"/>
        <v>✓ OK</v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2788</v>
      </c>
      <c r="C733" s="25" t="s">
        <v>2789</v>
      </c>
      <c r="D733" s="23" t="s">
        <v>2301</v>
      </c>
      <c r="E733" s="42">
        <v>46129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42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70">
        <v>46248</v>
      </c>
      <c r="X733" s="30" t="s">
        <v>55</v>
      </c>
      <c r="Y733" s="30" t="s">
        <v>56</v>
      </c>
      <c r="Z733" s="30" t="s">
        <v>57</v>
      </c>
      <c r="AA733" s="30" t="s">
        <v>58</v>
      </c>
      <c r="AB733" s="30" t="s">
        <v>56</v>
      </c>
      <c r="AC733" s="27"/>
      <c r="AD733" s="31" t="s">
        <v>57</v>
      </c>
      <c r="AE733" s="32" t="str">
        <f t="shared" si="57"/>
        <v>✓ OK</v>
      </c>
      <c r="AF733" s="33" t="s">
        <v>61</v>
      </c>
      <c r="AG733" s="33" t="s">
        <v>55</v>
      </c>
      <c r="AH733" s="33" t="s">
        <v>56</v>
      </c>
      <c r="AI733" s="33" t="s">
        <v>57</v>
      </c>
      <c r="AJ733" s="33" t="s">
        <v>58</v>
      </c>
      <c r="AK733" s="33" t="s">
        <v>56</v>
      </c>
      <c r="AL733" s="27"/>
      <c r="AM733" s="34" t="s">
        <v>57</v>
      </c>
      <c r="AN733" s="35" t="str">
        <f t="shared" si="58"/>
        <v>✓ OK</v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2790</v>
      </c>
      <c r="C734" s="41" t="s">
        <v>2791</v>
      </c>
      <c r="D734" s="39" t="s">
        <v>2301</v>
      </c>
      <c r="E734" s="42">
        <v>46129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42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70">
        <v>46248</v>
      </c>
      <c r="X734" s="30" t="s">
        <v>55</v>
      </c>
      <c r="Y734" s="30" t="s">
        <v>56</v>
      </c>
      <c r="Z734" s="30" t="s">
        <v>57</v>
      </c>
      <c r="AA734" s="30" t="s">
        <v>58</v>
      </c>
      <c r="AB734" s="30" t="s">
        <v>56</v>
      </c>
      <c r="AC734" s="27"/>
      <c r="AD734" s="31" t="s">
        <v>57</v>
      </c>
      <c r="AE734" s="32" t="str">
        <f t="shared" si="57"/>
        <v>✓ OK</v>
      </c>
      <c r="AF734" s="33" t="s">
        <v>61</v>
      </c>
      <c r="AG734" s="33" t="s">
        <v>55</v>
      </c>
      <c r="AH734" s="33" t="s">
        <v>56</v>
      </c>
      <c r="AI734" s="33" t="s">
        <v>57</v>
      </c>
      <c r="AJ734" s="33" t="s">
        <v>58</v>
      </c>
      <c r="AK734" s="33" t="s">
        <v>56</v>
      </c>
      <c r="AL734" s="27"/>
      <c r="AM734" s="34" t="s">
        <v>57</v>
      </c>
      <c r="AN734" s="35" t="str">
        <f t="shared" si="58"/>
        <v>✓ OK</v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2792</v>
      </c>
      <c r="C735" s="25" t="s">
        <v>2793</v>
      </c>
      <c r="D735" s="23" t="s">
        <v>2301</v>
      </c>
      <c r="E735" s="42">
        <v>46129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42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70">
        <v>46248</v>
      </c>
      <c r="X735" s="30" t="s">
        <v>55</v>
      </c>
      <c r="Y735" s="30" t="s">
        <v>56</v>
      </c>
      <c r="Z735" s="30" t="s">
        <v>57</v>
      </c>
      <c r="AA735" s="30" t="s">
        <v>58</v>
      </c>
      <c r="AB735" s="30" t="s">
        <v>56</v>
      </c>
      <c r="AC735" s="27"/>
      <c r="AD735" s="31" t="s">
        <v>57</v>
      </c>
      <c r="AE735" s="32" t="str">
        <f t="shared" si="57"/>
        <v>✓ OK</v>
      </c>
      <c r="AF735" s="33" t="s">
        <v>61</v>
      </c>
      <c r="AG735" s="33" t="s">
        <v>55</v>
      </c>
      <c r="AH735" s="33" t="s">
        <v>56</v>
      </c>
      <c r="AI735" s="33" t="s">
        <v>57</v>
      </c>
      <c r="AJ735" s="33" t="s">
        <v>58</v>
      </c>
      <c r="AK735" s="33" t="s">
        <v>56</v>
      </c>
      <c r="AL735" s="27"/>
      <c r="AM735" s="34" t="s">
        <v>57</v>
      </c>
      <c r="AN735" s="35" t="str">
        <f t="shared" si="58"/>
        <v>✓ OK</v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2794</v>
      </c>
      <c r="C736" s="41" t="s">
        <v>2795</v>
      </c>
      <c r="D736" s="39" t="s">
        <v>2301</v>
      </c>
      <c r="E736" s="42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42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70">
        <v>46248</v>
      </c>
      <c r="X736" s="30" t="s">
        <v>55</v>
      </c>
      <c r="Y736" s="30" t="s">
        <v>56</v>
      </c>
      <c r="Z736" s="30" t="s">
        <v>57</v>
      </c>
      <c r="AA736" s="30" t="s">
        <v>58</v>
      </c>
      <c r="AB736" s="30" t="s">
        <v>56</v>
      </c>
      <c r="AC736" s="27"/>
      <c r="AD736" s="31" t="s">
        <v>57</v>
      </c>
      <c r="AE736" s="32" t="str">
        <f t="shared" si="57"/>
        <v>✓ OK</v>
      </c>
      <c r="AF736" s="33" t="s">
        <v>61</v>
      </c>
      <c r="AG736" s="33" t="s">
        <v>55</v>
      </c>
      <c r="AH736" s="33" t="s">
        <v>56</v>
      </c>
      <c r="AI736" s="33" t="s">
        <v>57</v>
      </c>
      <c r="AJ736" s="33" t="s">
        <v>58</v>
      </c>
      <c r="AK736" s="33" t="s">
        <v>56</v>
      </c>
      <c r="AL736" s="27"/>
      <c r="AM736" s="34" t="s">
        <v>57</v>
      </c>
      <c r="AN736" s="35" t="str">
        <f t="shared" si="58"/>
        <v>✓ OK</v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2796</v>
      </c>
      <c r="C737" s="25" t="s">
        <v>2797</v>
      </c>
      <c r="D737" s="23" t="s">
        <v>2301</v>
      </c>
      <c r="E737" s="42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42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70">
        <v>46248</v>
      </c>
      <c r="X737" s="30" t="s">
        <v>55</v>
      </c>
      <c r="Y737" s="30" t="s">
        <v>56</v>
      </c>
      <c r="Z737" s="30" t="s">
        <v>57</v>
      </c>
      <c r="AA737" s="30" t="s">
        <v>58</v>
      </c>
      <c r="AB737" s="30" t="s">
        <v>56</v>
      </c>
      <c r="AC737" s="27"/>
      <c r="AD737" s="31" t="s">
        <v>57</v>
      </c>
      <c r="AE737" s="32" t="str">
        <f t="shared" si="57"/>
        <v>✓ OK</v>
      </c>
      <c r="AF737" s="33" t="s">
        <v>61</v>
      </c>
      <c r="AG737" s="33" t="s">
        <v>55</v>
      </c>
      <c r="AH737" s="33" t="s">
        <v>56</v>
      </c>
      <c r="AI737" s="33" t="s">
        <v>57</v>
      </c>
      <c r="AJ737" s="33" t="s">
        <v>58</v>
      </c>
      <c r="AK737" s="33" t="s">
        <v>56</v>
      </c>
      <c r="AL737" s="27"/>
      <c r="AM737" s="34" t="s">
        <v>57</v>
      </c>
      <c r="AN737" s="35" t="str">
        <f t="shared" si="58"/>
        <v>✓ OK</v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2798</v>
      </c>
      <c r="C738" s="41" t="s">
        <v>2799</v>
      </c>
      <c r="D738" s="39" t="s">
        <v>2301</v>
      </c>
      <c r="E738" s="42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42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70">
        <v>46248</v>
      </c>
      <c r="X738" s="30" t="s">
        <v>55</v>
      </c>
      <c r="Y738" s="30" t="s">
        <v>56</v>
      </c>
      <c r="Z738" s="30" t="s">
        <v>57</v>
      </c>
      <c r="AA738" s="30" t="s">
        <v>58</v>
      </c>
      <c r="AB738" s="30" t="s">
        <v>56</v>
      </c>
      <c r="AC738" s="27"/>
      <c r="AD738" s="31" t="s">
        <v>57</v>
      </c>
      <c r="AE738" s="32" t="str">
        <f t="shared" si="57"/>
        <v>✓ OK</v>
      </c>
      <c r="AF738" s="33" t="s">
        <v>61</v>
      </c>
      <c r="AG738" s="33" t="s">
        <v>55</v>
      </c>
      <c r="AH738" s="33" t="s">
        <v>56</v>
      </c>
      <c r="AI738" s="33" t="s">
        <v>57</v>
      </c>
      <c r="AJ738" s="33" t="s">
        <v>58</v>
      </c>
      <c r="AK738" s="33" t="s">
        <v>56</v>
      </c>
      <c r="AL738" s="27"/>
      <c r="AM738" s="34" t="s">
        <v>57</v>
      </c>
      <c r="AN738" s="35" t="str">
        <f t="shared" si="58"/>
        <v>✓ OK</v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2800</v>
      </c>
      <c r="C739" s="25" t="s">
        <v>2801</v>
      </c>
      <c r="D739" s="23" t="s">
        <v>2301</v>
      </c>
      <c r="E739" s="42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42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70">
        <v>46248</v>
      </c>
      <c r="X739" s="30" t="s">
        <v>55</v>
      </c>
      <c r="Y739" s="30" t="s">
        <v>56</v>
      </c>
      <c r="Z739" s="30" t="s">
        <v>57</v>
      </c>
      <c r="AA739" s="30" t="s">
        <v>58</v>
      </c>
      <c r="AB739" s="30" t="s">
        <v>56</v>
      </c>
      <c r="AC739" s="27"/>
      <c r="AD739" s="31" t="s">
        <v>57</v>
      </c>
      <c r="AE739" s="32" t="str">
        <f t="shared" si="57"/>
        <v>✓ OK</v>
      </c>
      <c r="AF739" s="33" t="s">
        <v>61</v>
      </c>
      <c r="AG739" s="33" t="s">
        <v>55</v>
      </c>
      <c r="AH739" s="33" t="s">
        <v>56</v>
      </c>
      <c r="AI739" s="33" t="s">
        <v>57</v>
      </c>
      <c r="AJ739" s="33" t="s">
        <v>58</v>
      </c>
      <c r="AK739" s="33" t="s">
        <v>56</v>
      </c>
      <c r="AL739" s="27"/>
      <c r="AM739" s="34" t="s">
        <v>57</v>
      </c>
      <c r="AN739" s="35" t="str">
        <f t="shared" si="58"/>
        <v>✓ OK</v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2802</v>
      </c>
      <c r="C740" s="41" t="s">
        <v>2803</v>
      </c>
      <c r="D740" s="39" t="s">
        <v>2301</v>
      </c>
      <c r="E740" s="42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42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70">
        <v>46248</v>
      </c>
      <c r="X740" s="30" t="s">
        <v>55</v>
      </c>
      <c r="Y740" s="30" t="s">
        <v>56</v>
      </c>
      <c r="Z740" s="30" t="s">
        <v>57</v>
      </c>
      <c r="AA740" s="30" t="s">
        <v>58</v>
      </c>
      <c r="AB740" s="30" t="s">
        <v>56</v>
      </c>
      <c r="AC740" s="27"/>
      <c r="AD740" s="31" t="s">
        <v>57</v>
      </c>
      <c r="AE740" s="32" t="str">
        <f t="shared" si="57"/>
        <v>✓ OK</v>
      </c>
      <c r="AF740" s="33" t="s">
        <v>61</v>
      </c>
      <c r="AG740" s="33" t="s">
        <v>55</v>
      </c>
      <c r="AH740" s="33" t="s">
        <v>56</v>
      </c>
      <c r="AI740" s="33" t="s">
        <v>57</v>
      </c>
      <c r="AJ740" s="33" t="s">
        <v>58</v>
      </c>
      <c r="AK740" s="33" t="s">
        <v>56</v>
      </c>
      <c r="AL740" s="27"/>
      <c r="AM740" s="34" t="s">
        <v>57</v>
      </c>
      <c r="AN740" s="35" t="str">
        <f t="shared" si="58"/>
        <v>✓ OK</v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2804</v>
      </c>
      <c r="C741" s="25" t="s">
        <v>2805</v>
      </c>
      <c r="D741" s="23" t="s">
        <v>2301</v>
      </c>
      <c r="E741" s="42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42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70">
        <v>46248</v>
      </c>
      <c r="X741" s="30" t="s">
        <v>55</v>
      </c>
      <c r="Y741" s="30" t="s">
        <v>56</v>
      </c>
      <c r="Z741" s="30" t="s">
        <v>57</v>
      </c>
      <c r="AA741" s="30" t="s">
        <v>58</v>
      </c>
      <c r="AB741" s="30" t="s">
        <v>56</v>
      </c>
      <c r="AC741" s="27"/>
      <c r="AD741" s="31" t="s">
        <v>57</v>
      </c>
      <c r="AE741" s="32" t="str">
        <f t="shared" si="57"/>
        <v>✓ OK</v>
      </c>
      <c r="AF741" s="33" t="s">
        <v>61</v>
      </c>
      <c r="AG741" s="33" t="s">
        <v>55</v>
      </c>
      <c r="AH741" s="33" t="s">
        <v>56</v>
      </c>
      <c r="AI741" s="33" t="s">
        <v>57</v>
      </c>
      <c r="AJ741" s="33" t="s">
        <v>58</v>
      </c>
      <c r="AK741" s="33" t="s">
        <v>56</v>
      </c>
      <c r="AL741" s="27"/>
      <c r="AM741" s="34" t="s">
        <v>57</v>
      </c>
      <c r="AN741" s="35" t="str">
        <f t="shared" si="58"/>
        <v>✓ OK</v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2806</v>
      </c>
      <c r="C742" s="41" t="s">
        <v>2807</v>
      </c>
      <c r="D742" s="39" t="s">
        <v>2301</v>
      </c>
      <c r="E742" s="42">
        <v>46129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42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70">
        <v>46248</v>
      </c>
      <c r="X742" s="30" t="s">
        <v>55</v>
      </c>
      <c r="Y742" s="30" t="s">
        <v>56</v>
      </c>
      <c r="Z742" s="30" t="s">
        <v>57</v>
      </c>
      <c r="AA742" s="30" t="s">
        <v>58</v>
      </c>
      <c r="AB742" s="30" t="s">
        <v>56</v>
      </c>
      <c r="AC742" s="27"/>
      <c r="AD742" s="31" t="s">
        <v>57</v>
      </c>
      <c r="AE742" s="32" t="str">
        <f t="shared" si="57"/>
        <v>✓ OK</v>
      </c>
      <c r="AF742" s="33" t="s">
        <v>61</v>
      </c>
      <c r="AG742" s="33" t="s">
        <v>55</v>
      </c>
      <c r="AH742" s="33" t="s">
        <v>56</v>
      </c>
      <c r="AI742" s="33" t="s">
        <v>57</v>
      </c>
      <c r="AJ742" s="33" t="s">
        <v>58</v>
      </c>
      <c r="AK742" s="33" t="s">
        <v>56</v>
      </c>
      <c r="AL742" s="27"/>
      <c r="AM742" s="34" t="s">
        <v>57</v>
      </c>
      <c r="AN742" s="35" t="str">
        <f t="shared" si="58"/>
        <v>✓ OK</v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2808</v>
      </c>
      <c r="C743" s="25" t="s">
        <v>2809</v>
      </c>
      <c r="D743" s="23" t="s">
        <v>2301</v>
      </c>
      <c r="E743" s="42">
        <v>46129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42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70">
        <v>46248</v>
      </c>
      <c r="X743" s="30" t="s">
        <v>55</v>
      </c>
      <c r="Y743" s="30" t="s">
        <v>56</v>
      </c>
      <c r="Z743" s="30" t="s">
        <v>57</v>
      </c>
      <c r="AA743" s="30" t="s">
        <v>58</v>
      </c>
      <c r="AB743" s="30" t="s">
        <v>56</v>
      </c>
      <c r="AC743" s="27"/>
      <c r="AD743" s="31" t="s">
        <v>57</v>
      </c>
      <c r="AE743" s="32" t="str">
        <f t="shared" si="57"/>
        <v>✓ OK</v>
      </c>
      <c r="AF743" s="33" t="s">
        <v>61</v>
      </c>
      <c r="AG743" s="33" t="s">
        <v>55</v>
      </c>
      <c r="AH743" s="33" t="s">
        <v>56</v>
      </c>
      <c r="AI743" s="33" t="s">
        <v>57</v>
      </c>
      <c r="AJ743" s="33" t="s">
        <v>58</v>
      </c>
      <c r="AK743" s="33" t="s">
        <v>56</v>
      </c>
      <c r="AL743" s="27"/>
      <c r="AM743" s="34" t="s">
        <v>57</v>
      </c>
      <c r="AN743" s="35" t="str">
        <f t="shared" si="58"/>
        <v>✓ OK</v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2810</v>
      </c>
      <c r="C744" s="41" t="s">
        <v>2811</v>
      </c>
      <c r="D744" s="39" t="s">
        <v>2301</v>
      </c>
      <c r="E744" s="42">
        <v>46132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42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70">
        <v>46248</v>
      </c>
      <c r="X744" s="30" t="s">
        <v>55</v>
      </c>
      <c r="Y744" s="30" t="s">
        <v>56</v>
      </c>
      <c r="Z744" s="30" t="s">
        <v>57</v>
      </c>
      <c r="AA744" s="30" t="s">
        <v>58</v>
      </c>
      <c r="AB744" s="30" t="s">
        <v>56</v>
      </c>
      <c r="AC744" s="27"/>
      <c r="AD744" s="31" t="s">
        <v>57</v>
      </c>
      <c r="AE744" s="32" t="str">
        <f t="shared" si="57"/>
        <v>✓ OK</v>
      </c>
      <c r="AF744" s="33" t="s">
        <v>61</v>
      </c>
      <c r="AG744" s="33" t="s">
        <v>55</v>
      </c>
      <c r="AH744" s="33" t="s">
        <v>56</v>
      </c>
      <c r="AI744" s="33" t="s">
        <v>57</v>
      </c>
      <c r="AJ744" s="33" t="s">
        <v>58</v>
      </c>
      <c r="AK744" s="33" t="s">
        <v>56</v>
      </c>
      <c r="AL744" s="27"/>
      <c r="AM744" s="34" t="s">
        <v>57</v>
      </c>
      <c r="AN744" s="35" t="str">
        <f t="shared" si="58"/>
        <v>✓ OK</v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2812</v>
      </c>
      <c r="C745" s="25" t="s">
        <v>2813</v>
      </c>
      <c r="D745" s="23" t="s">
        <v>2301</v>
      </c>
      <c r="E745" s="42">
        <v>46132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42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70">
        <v>46248</v>
      </c>
      <c r="X745" s="30" t="s">
        <v>55</v>
      </c>
      <c r="Y745" s="30" t="s">
        <v>56</v>
      </c>
      <c r="Z745" s="30" t="s">
        <v>57</v>
      </c>
      <c r="AA745" s="30" t="s">
        <v>58</v>
      </c>
      <c r="AB745" s="30" t="s">
        <v>56</v>
      </c>
      <c r="AC745" s="27"/>
      <c r="AD745" s="31" t="s">
        <v>57</v>
      </c>
      <c r="AE745" s="32" t="str">
        <f t="shared" si="57"/>
        <v>✓ OK</v>
      </c>
      <c r="AF745" s="33" t="s">
        <v>61</v>
      </c>
      <c r="AG745" s="33" t="s">
        <v>55</v>
      </c>
      <c r="AH745" s="33" t="s">
        <v>56</v>
      </c>
      <c r="AI745" s="33" t="s">
        <v>57</v>
      </c>
      <c r="AJ745" s="33" t="s">
        <v>58</v>
      </c>
      <c r="AK745" s="33" t="s">
        <v>56</v>
      </c>
      <c r="AL745" s="27"/>
      <c r="AM745" s="34" t="s">
        <v>57</v>
      </c>
      <c r="AN745" s="35" t="str">
        <f t="shared" si="58"/>
        <v>✓ OK</v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2814</v>
      </c>
      <c r="C746" s="41" t="s">
        <v>2815</v>
      </c>
      <c r="D746" s="39" t="s">
        <v>2301</v>
      </c>
      <c r="E746" s="42">
        <v>46129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42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70">
        <v>46248</v>
      </c>
      <c r="X746" s="30" t="s">
        <v>55</v>
      </c>
      <c r="Y746" s="30" t="s">
        <v>56</v>
      </c>
      <c r="Z746" s="30" t="s">
        <v>57</v>
      </c>
      <c r="AA746" s="30" t="s">
        <v>58</v>
      </c>
      <c r="AB746" s="30" t="s">
        <v>56</v>
      </c>
      <c r="AC746" s="27"/>
      <c r="AD746" s="31" t="s">
        <v>57</v>
      </c>
      <c r="AE746" s="32" t="str">
        <f t="shared" si="57"/>
        <v>✓ OK</v>
      </c>
      <c r="AF746" s="33" t="s">
        <v>61</v>
      </c>
      <c r="AG746" s="33" t="s">
        <v>55</v>
      </c>
      <c r="AH746" s="33" t="s">
        <v>56</v>
      </c>
      <c r="AI746" s="33" t="s">
        <v>57</v>
      </c>
      <c r="AJ746" s="33" t="s">
        <v>58</v>
      </c>
      <c r="AK746" s="33" t="s">
        <v>56</v>
      </c>
      <c r="AL746" s="27"/>
      <c r="AM746" s="34" t="s">
        <v>57</v>
      </c>
      <c r="AN746" s="35" t="str">
        <f t="shared" si="58"/>
        <v>✓ OK</v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2816</v>
      </c>
      <c r="C747" s="25" t="s">
        <v>2817</v>
      </c>
      <c r="D747" s="23" t="s">
        <v>2301</v>
      </c>
      <c r="E747" s="42">
        <v>46129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42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70">
        <v>46248</v>
      </c>
      <c r="X747" s="30" t="s">
        <v>55</v>
      </c>
      <c r="Y747" s="30" t="s">
        <v>56</v>
      </c>
      <c r="Z747" s="30" t="s">
        <v>57</v>
      </c>
      <c r="AA747" s="30" t="s">
        <v>58</v>
      </c>
      <c r="AB747" s="30" t="s">
        <v>56</v>
      </c>
      <c r="AC747" s="27"/>
      <c r="AD747" s="31" t="s">
        <v>57</v>
      </c>
      <c r="AE747" s="32" t="str">
        <f t="shared" si="57"/>
        <v>✓ OK</v>
      </c>
      <c r="AF747" s="33" t="s">
        <v>61</v>
      </c>
      <c r="AG747" s="33" t="s">
        <v>55</v>
      </c>
      <c r="AH747" s="33" t="s">
        <v>56</v>
      </c>
      <c r="AI747" s="33" t="s">
        <v>57</v>
      </c>
      <c r="AJ747" s="33" t="s">
        <v>58</v>
      </c>
      <c r="AK747" s="33" t="s">
        <v>56</v>
      </c>
      <c r="AL747" s="27"/>
      <c r="AM747" s="34" t="s">
        <v>57</v>
      </c>
      <c r="AN747" s="35" t="str">
        <f t="shared" si="58"/>
        <v>✓ OK</v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2818</v>
      </c>
      <c r="C748" s="41" t="s">
        <v>2819</v>
      </c>
      <c r="D748" s="39" t="s">
        <v>2301</v>
      </c>
      <c r="E748" s="42">
        <v>46129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42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70">
        <v>46248</v>
      </c>
      <c r="X748" s="30" t="s">
        <v>55</v>
      </c>
      <c r="Y748" s="30" t="s">
        <v>56</v>
      </c>
      <c r="Z748" s="30" t="s">
        <v>57</v>
      </c>
      <c r="AA748" s="30" t="s">
        <v>58</v>
      </c>
      <c r="AB748" s="30" t="s">
        <v>56</v>
      </c>
      <c r="AC748" s="27"/>
      <c r="AD748" s="31" t="s">
        <v>57</v>
      </c>
      <c r="AE748" s="32" t="str">
        <f t="shared" si="57"/>
        <v>✓ OK</v>
      </c>
      <c r="AF748" s="33" t="s">
        <v>61</v>
      </c>
      <c r="AG748" s="33" t="s">
        <v>55</v>
      </c>
      <c r="AH748" s="33" t="s">
        <v>56</v>
      </c>
      <c r="AI748" s="33" t="s">
        <v>57</v>
      </c>
      <c r="AJ748" s="33" t="s">
        <v>58</v>
      </c>
      <c r="AK748" s="33" t="s">
        <v>56</v>
      </c>
      <c r="AL748" s="27"/>
      <c r="AM748" s="34" t="s">
        <v>57</v>
      </c>
      <c r="AN748" s="35" t="str">
        <f t="shared" si="58"/>
        <v>✓ OK</v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2820</v>
      </c>
      <c r="C749" s="25" t="s">
        <v>2821</v>
      </c>
      <c r="D749" s="23" t="s">
        <v>2301</v>
      </c>
      <c r="E749" s="42">
        <v>46129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42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70">
        <v>46248</v>
      </c>
      <c r="X749" s="30" t="s">
        <v>55</v>
      </c>
      <c r="Y749" s="30" t="s">
        <v>56</v>
      </c>
      <c r="Z749" s="30" t="s">
        <v>57</v>
      </c>
      <c r="AA749" s="30" t="s">
        <v>58</v>
      </c>
      <c r="AB749" s="30" t="s">
        <v>56</v>
      </c>
      <c r="AC749" s="27"/>
      <c r="AD749" s="31" t="s">
        <v>57</v>
      </c>
      <c r="AE749" s="32" t="str">
        <f t="shared" si="57"/>
        <v>✓ OK</v>
      </c>
      <c r="AF749" s="33" t="s">
        <v>61</v>
      </c>
      <c r="AG749" s="33" t="s">
        <v>55</v>
      </c>
      <c r="AH749" s="33" t="s">
        <v>56</v>
      </c>
      <c r="AI749" s="33" t="s">
        <v>57</v>
      </c>
      <c r="AJ749" s="33" t="s">
        <v>58</v>
      </c>
      <c r="AK749" s="33" t="s">
        <v>56</v>
      </c>
      <c r="AL749" s="27"/>
      <c r="AM749" s="34" t="s">
        <v>57</v>
      </c>
      <c r="AN749" s="35" t="str">
        <f t="shared" si="58"/>
        <v>✓ OK</v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2822</v>
      </c>
      <c r="C750" s="41" t="s">
        <v>2823</v>
      </c>
      <c r="D750" s="39" t="s">
        <v>2301</v>
      </c>
      <c r="E750" s="42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42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70">
        <v>46248</v>
      </c>
      <c r="X750" s="30" t="s">
        <v>55</v>
      </c>
      <c r="Y750" s="30" t="s">
        <v>56</v>
      </c>
      <c r="Z750" s="30" t="s">
        <v>57</v>
      </c>
      <c r="AA750" s="30" t="s">
        <v>58</v>
      </c>
      <c r="AB750" s="30" t="s">
        <v>56</v>
      </c>
      <c r="AC750" s="27"/>
      <c r="AD750" s="31" t="s">
        <v>57</v>
      </c>
      <c r="AE750" s="32" t="str">
        <f t="shared" si="57"/>
        <v>✓ OK</v>
      </c>
      <c r="AF750" s="33" t="s">
        <v>61</v>
      </c>
      <c r="AG750" s="33" t="s">
        <v>55</v>
      </c>
      <c r="AH750" s="33" t="s">
        <v>56</v>
      </c>
      <c r="AI750" s="33" t="s">
        <v>57</v>
      </c>
      <c r="AJ750" s="33" t="s">
        <v>58</v>
      </c>
      <c r="AK750" s="33" t="s">
        <v>56</v>
      </c>
      <c r="AL750" s="27"/>
      <c r="AM750" s="34" t="s">
        <v>57</v>
      </c>
      <c r="AN750" s="35" t="str">
        <f t="shared" si="58"/>
        <v>✓ OK</v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2824</v>
      </c>
      <c r="C751" s="25" t="s">
        <v>2825</v>
      </c>
      <c r="D751" s="23" t="s">
        <v>2301</v>
      </c>
      <c r="E751" s="42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42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70">
        <v>46248</v>
      </c>
      <c r="X751" s="30" t="s">
        <v>55</v>
      </c>
      <c r="Y751" s="30" t="s">
        <v>56</v>
      </c>
      <c r="Z751" s="30" t="s">
        <v>57</v>
      </c>
      <c r="AA751" s="30" t="s">
        <v>58</v>
      </c>
      <c r="AB751" s="30" t="s">
        <v>56</v>
      </c>
      <c r="AC751" s="27"/>
      <c r="AD751" s="31" t="s">
        <v>57</v>
      </c>
      <c r="AE751" s="32" t="str">
        <f t="shared" si="57"/>
        <v>✓ OK</v>
      </c>
      <c r="AF751" s="33" t="s">
        <v>61</v>
      </c>
      <c r="AG751" s="33" t="s">
        <v>55</v>
      </c>
      <c r="AH751" s="33" t="s">
        <v>56</v>
      </c>
      <c r="AI751" s="33" t="s">
        <v>57</v>
      </c>
      <c r="AJ751" s="33" t="s">
        <v>58</v>
      </c>
      <c r="AK751" s="33" t="s">
        <v>56</v>
      </c>
      <c r="AL751" s="27"/>
      <c r="AM751" s="34" t="s">
        <v>57</v>
      </c>
      <c r="AN751" s="35" t="str">
        <f t="shared" si="58"/>
        <v>✓ OK</v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2826</v>
      </c>
      <c r="C752" s="41" t="s">
        <v>2827</v>
      </c>
      <c r="D752" s="39" t="s">
        <v>2301</v>
      </c>
      <c r="E752" s="42">
        <v>46129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42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70">
        <v>46248</v>
      </c>
      <c r="X752" s="30" t="s">
        <v>55</v>
      </c>
      <c r="Y752" s="30" t="s">
        <v>56</v>
      </c>
      <c r="Z752" s="30" t="s">
        <v>57</v>
      </c>
      <c r="AA752" s="30" t="s">
        <v>58</v>
      </c>
      <c r="AB752" s="30" t="s">
        <v>56</v>
      </c>
      <c r="AC752" s="27"/>
      <c r="AD752" s="31" t="s">
        <v>57</v>
      </c>
      <c r="AE752" s="32" t="str">
        <f t="shared" si="57"/>
        <v>✓ OK</v>
      </c>
      <c r="AF752" s="33" t="s">
        <v>61</v>
      </c>
      <c r="AG752" s="33" t="s">
        <v>55</v>
      </c>
      <c r="AH752" s="33" t="s">
        <v>56</v>
      </c>
      <c r="AI752" s="33" t="s">
        <v>57</v>
      </c>
      <c r="AJ752" s="33" t="s">
        <v>58</v>
      </c>
      <c r="AK752" s="33" t="s">
        <v>56</v>
      </c>
      <c r="AL752" s="27"/>
      <c r="AM752" s="34" t="s">
        <v>57</v>
      </c>
      <c r="AN752" s="35" t="str">
        <f t="shared" si="58"/>
        <v>✓ OK</v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2828</v>
      </c>
      <c r="C753" s="25" t="s">
        <v>2829</v>
      </c>
      <c r="D753" s="23" t="s">
        <v>2301</v>
      </c>
      <c r="E753" s="42">
        <v>46129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42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70">
        <v>46248</v>
      </c>
      <c r="X753" s="30" t="s">
        <v>55</v>
      </c>
      <c r="Y753" s="30" t="s">
        <v>56</v>
      </c>
      <c r="Z753" s="30" t="s">
        <v>57</v>
      </c>
      <c r="AA753" s="30" t="s">
        <v>58</v>
      </c>
      <c r="AB753" s="30" t="s">
        <v>56</v>
      </c>
      <c r="AC753" s="27"/>
      <c r="AD753" s="31" t="s">
        <v>57</v>
      </c>
      <c r="AE753" s="32" t="str">
        <f t="shared" si="57"/>
        <v>✓ OK</v>
      </c>
      <c r="AF753" s="33" t="s">
        <v>61</v>
      </c>
      <c r="AG753" s="33" t="s">
        <v>55</v>
      </c>
      <c r="AH753" s="33" t="s">
        <v>56</v>
      </c>
      <c r="AI753" s="33" t="s">
        <v>57</v>
      </c>
      <c r="AJ753" s="33" t="s">
        <v>58</v>
      </c>
      <c r="AK753" s="33" t="s">
        <v>56</v>
      </c>
      <c r="AL753" s="27"/>
      <c r="AM753" s="34" t="s">
        <v>57</v>
      </c>
      <c r="AN753" s="35" t="str">
        <f t="shared" si="58"/>
        <v>✓ OK</v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2830</v>
      </c>
      <c r="C754" s="41" t="s">
        <v>2831</v>
      </c>
      <c r="D754" s="39" t="s">
        <v>2301</v>
      </c>
      <c r="E754" s="42">
        <v>46132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42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70">
        <v>46248</v>
      </c>
      <c r="X754" s="30" t="s">
        <v>55</v>
      </c>
      <c r="Y754" s="30" t="s">
        <v>56</v>
      </c>
      <c r="Z754" s="30" t="s">
        <v>57</v>
      </c>
      <c r="AA754" s="30" t="s">
        <v>58</v>
      </c>
      <c r="AB754" s="30" t="s">
        <v>56</v>
      </c>
      <c r="AC754" s="27"/>
      <c r="AD754" s="31" t="s">
        <v>57</v>
      </c>
      <c r="AE754" s="32" t="str">
        <f t="shared" si="57"/>
        <v>✓ OK</v>
      </c>
      <c r="AF754" s="33" t="s">
        <v>61</v>
      </c>
      <c r="AG754" s="33" t="s">
        <v>55</v>
      </c>
      <c r="AH754" s="33" t="s">
        <v>56</v>
      </c>
      <c r="AI754" s="33" t="s">
        <v>57</v>
      </c>
      <c r="AJ754" s="33" t="s">
        <v>58</v>
      </c>
      <c r="AK754" s="33" t="s">
        <v>56</v>
      </c>
      <c r="AL754" s="27"/>
      <c r="AM754" s="34" t="s">
        <v>57</v>
      </c>
      <c r="AN754" s="35" t="str">
        <f t="shared" si="58"/>
        <v>✓ OK</v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2832</v>
      </c>
      <c r="C755" s="25" t="s">
        <v>2833</v>
      </c>
      <c r="D755" s="23" t="s">
        <v>2301</v>
      </c>
      <c r="E755" s="42">
        <v>46132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42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70">
        <v>46248</v>
      </c>
      <c r="X755" s="30" t="s">
        <v>55</v>
      </c>
      <c r="Y755" s="30" t="s">
        <v>56</v>
      </c>
      <c r="Z755" s="30" t="s">
        <v>57</v>
      </c>
      <c r="AA755" s="30" t="s">
        <v>58</v>
      </c>
      <c r="AB755" s="30" t="s">
        <v>56</v>
      </c>
      <c r="AC755" s="27"/>
      <c r="AD755" s="31" t="s">
        <v>57</v>
      </c>
      <c r="AE755" s="32" t="str">
        <f t="shared" si="57"/>
        <v>✓ OK</v>
      </c>
      <c r="AF755" s="33" t="s">
        <v>61</v>
      </c>
      <c r="AG755" s="33" t="s">
        <v>55</v>
      </c>
      <c r="AH755" s="33" t="s">
        <v>56</v>
      </c>
      <c r="AI755" s="33" t="s">
        <v>57</v>
      </c>
      <c r="AJ755" s="33" t="s">
        <v>58</v>
      </c>
      <c r="AK755" s="33" t="s">
        <v>56</v>
      </c>
      <c r="AL755" s="27"/>
      <c r="AM755" s="34" t="s">
        <v>57</v>
      </c>
      <c r="AN755" s="35" t="str">
        <f t="shared" si="58"/>
        <v>✓ OK</v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2834</v>
      </c>
      <c r="C756" s="41" t="s">
        <v>2835</v>
      </c>
      <c r="D756" s="39" t="s">
        <v>2301</v>
      </c>
      <c r="E756" s="42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42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70">
        <v>46248</v>
      </c>
      <c r="X756" s="30" t="s">
        <v>55</v>
      </c>
      <c r="Y756" s="30" t="s">
        <v>56</v>
      </c>
      <c r="Z756" s="30" t="s">
        <v>57</v>
      </c>
      <c r="AA756" s="30" t="s">
        <v>58</v>
      </c>
      <c r="AB756" s="30" t="s">
        <v>56</v>
      </c>
      <c r="AC756" s="27"/>
      <c r="AD756" s="31" t="s">
        <v>57</v>
      </c>
      <c r="AE756" s="32" t="str">
        <f t="shared" si="57"/>
        <v>✓ OK</v>
      </c>
      <c r="AF756" s="33" t="s">
        <v>61</v>
      </c>
      <c r="AG756" s="33" t="s">
        <v>55</v>
      </c>
      <c r="AH756" s="33" t="s">
        <v>56</v>
      </c>
      <c r="AI756" s="33" t="s">
        <v>57</v>
      </c>
      <c r="AJ756" s="33" t="s">
        <v>58</v>
      </c>
      <c r="AK756" s="33" t="s">
        <v>56</v>
      </c>
      <c r="AL756" s="27"/>
      <c r="AM756" s="34" t="s">
        <v>57</v>
      </c>
      <c r="AN756" s="35" t="str">
        <f t="shared" si="58"/>
        <v>✓ OK</v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2836</v>
      </c>
      <c r="C757" s="25" t="s">
        <v>2837</v>
      </c>
      <c r="D757" s="23" t="s">
        <v>2301</v>
      </c>
      <c r="E757" s="42">
        <v>46129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42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70">
        <v>46248</v>
      </c>
      <c r="X757" s="30" t="s">
        <v>55</v>
      </c>
      <c r="Y757" s="30" t="s">
        <v>56</v>
      </c>
      <c r="Z757" s="30" t="s">
        <v>57</v>
      </c>
      <c r="AA757" s="30" t="s">
        <v>58</v>
      </c>
      <c r="AB757" s="30" t="s">
        <v>56</v>
      </c>
      <c r="AC757" s="27"/>
      <c r="AD757" s="31" t="s">
        <v>57</v>
      </c>
      <c r="AE757" s="32" t="str">
        <f t="shared" si="57"/>
        <v>✓ OK</v>
      </c>
      <c r="AF757" s="33" t="s">
        <v>61</v>
      </c>
      <c r="AG757" s="33" t="s">
        <v>55</v>
      </c>
      <c r="AH757" s="33" t="s">
        <v>56</v>
      </c>
      <c r="AI757" s="33" t="s">
        <v>57</v>
      </c>
      <c r="AJ757" s="33" t="s">
        <v>58</v>
      </c>
      <c r="AK757" s="33" t="s">
        <v>56</v>
      </c>
      <c r="AL757" s="27"/>
      <c r="AM757" s="34" t="s">
        <v>57</v>
      </c>
      <c r="AN757" s="35" t="str">
        <f t="shared" si="58"/>
        <v>✓ OK</v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2838</v>
      </c>
      <c r="C758" s="41" t="s">
        <v>2839</v>
      </c>
      <c r="D758" s="39" t="s">
        <v>2301</v>
      </c>
      <c r="E758" s="42">
        <v>46129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42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70">
        <v>46248</v>
      </c>
      <c r="X758" s="30" t="s">
        <v>55</v>
      </c>
      <c r="Y758" s="30" t="s">
        <v>56</v>
      </c>
      <c r="Z758" s="30" t="s">
        <v>57</v>
      </c>
      <c r="AA758" s="30" t="s">
        <v>58</v>
      </c>
      <c r="AB758" s="30" t="s">
        <v>56</v>
      </c>
      <c r="AC758" s="27"/>
      <c r="AD758" s="31" t="s">
        <v>57</v>
      </c>
      <c r="AE758" s="32" t="str">
        <f t="shared" si="57"/>
        <v>✓ OK</v>
      </c>
      <c r="AF758" s="33" t="s">
        <v>61</v>
      </c>
      <c r="AG758" s="33" t="s">
        <v>55</v>
      </c>
      <c r="AH758" s="33" t="s">
        <v>56</v>
      </c>
      <c r="AI758" s="33" t="s">
        <v>57</v>
      </c>
      <c r="AJ758" s="33" t="s">
        <v>58</v>
      </c>
      <c r="AK758" s="33" t="s">
        <v>56</v>
      </c>
      <c r="AL758" s="27"/>
      <c r="AM758" s="34" t="s">
        <v>57</v>
      </c>
      <c r="AN758" s="35" t="str">
        <f t="shared" si="58"/>
        <v>✓ OK</v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2840</v>
      </c>
      <c r="C759" s="25" t="s">
        <v>2841</v>
      </c>
      <c r="D759" s="23" t="s">
        <v>2301</v>
      </c>
      <c r="E759" s="42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42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70">
        <v>46248</v>
      </c>
      <c r="X759" s="30" t="s">
        <v>55</v>
      </c>
      <c r="Y759" s="30" t="s">
        <v>56</v>
      </c>
      <c r="Z759" s="30" t="s">
        <v>57</v>
      </c>
      <c r="AA759" s="30" t="s">
        <v>58</v>
      </c>
      <c r="AB759" s="30" t="s">
        <v>56</v>
      </c>
      <c r="AC759" s="27"/>
      <c r="AD759" s="31" t="s">
        <v>57</v>
      </c>
      <c r="AE759" s="32" t="str">
        <f t="shared" si="57"/>
        <v>✓ OK</v>
      </c>
      <c r="AF759" s="33" t="s">
        <v>61</v>
      </c>
      <c r="AG759" s="33" t="s">
        <v>55</v>
      </c>
      <c r="AH759" s="33" t="s">
        <v>56</v>
      </c>
      <c r="AI759" s="33" t="s">
        <v>57</v>
      </c>
      <c r="AJ759" s="33" t="s">
        <v>58</v>
      </c>
      <c r="AK759" s="33" t="s">
        <v>56</v>
      </c>
      <c r="AL759" s="27"/>
      <c r="AM759" s="34" t="s">
        <v>57</v>
      </c>
      <c r="AN759" s="35" t="str">
        <f t="shared" si="58"/>
        <v>✓ OK</v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2842</v>
      </c>
      <c r="C760" s="41" t="s">
        <v>2843</v>
      </c>
      <c r="D760" s="39" t="s">
        <v>2301</v>
      </c>
      <c r="E760" s="42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42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70">
        <v>46248</v>
      </c>
      <c r="X760" s="30" t="s">
        <v>55</v>
      </c>
      <c r="Y760" s="30" t="s">
        <v>56</v>
      </c>
      <c r="Z760" s="30" t="s">
        <v>57</v>
      </c>
      <c r="AA760" s="30" t="s">
        <v>58</v>
      </c>
      <c r="AB760" s="30" t="s">
        <v>56</v>
      </c>
      <c r="AC760" s="27"/>
      <c r="AD760" s="31" t="s">
        <v>57</v>
      </c>
      <c r="AE760" s="32" t="str">
        <f t="shared" si="57"/>
        <v>✓ OK</v>
      </c>
      <c r="AF760" s="33" t="s">
        <v>61</v>
      </c>
      <c r="AG760" s="33" t="s">
        <v>55</v>
      </c>
      <c r="AH760" s="33" t="s">
        <v>56</v>
      </c>
      <c r="AI760" s="33" t="s">
        <v>57</v>
      </c>
      <c r="AJ760" s="33" t="s">
        <v>58</v>
      </c>
      <c r="AK760" s="33" t="s">
        <v>56</v>
      </c>
      <c r="AL760" s="27"/>
      <c r="AM760" s="34" t="s">
        <v>57</v>
      </c>
      <c r="AN760" s="35" t="str">
        <f t="shared" si="58"/>
        <v>✓ OK</v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2844</v>
      </c>
      <c r="C761" s="25" t="s">
        <v>2845</v>
      </c>
      <c r="D761" s="23" t="s">
        <v>2301</v>
      </c>
      <c r="E761" s="42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42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70">
        <v>46248</v>
      </c>
      <c r="X761" s="30" t="s">
        <v>55</v>
      </c>
      <c r="Y761" s="30" t="s">
        <v>56</v>
      </c>
      <c r="Z761" s="30" t="s">
        <v>57</v>
      </c>
      <c r="AA761" s="30" t="s">
        <v>58</v>
      </c>
      <c r="AB761" s="30" t="s">
        <v>56</v>
      </c>
      <c r="AC761" s="27"/>
      <c r="AD761" s="31" t="s">
        <v>57</v>
      </c>
      <c r="AE761" s="32" t="str">
        <f t="shared" si="57"/>
        <v>✓ OK</v>
      </c>
      <c r="AF761" s="33" t="s">
        <v>61</v>
      </c>
      <c r="AG761" s="33" t="s">
        <v>55</v>
      </c>
      <c r="AH761" s="33" t="s">
        <v>56</v>
      </c>
      <c r="AI761" s="33" t="s">
        <v>57</v>
      </c>
      <c r="AJ761" s="33" t="s">
        <v>58</v>
      </c>
      <c r="AK761" s="33" t="s">
        <v>56</v>
      </c>
      <c r="AL761" s="27"/>
      <c r="AM761" s="34" t="s">
        <v>57</v>
      </c>
      <c r="AN761" s="35" t="str">
        <f t="shared" si="58"/>
        <v>✓ OK</v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2846</v>
      </c>
      <c r="C762" s="41" t="s">
        <v>2847</v>
      </c>
      <c r="D762" s="39" t="s">
        <v>2301</v>
      </c>
      <c r="E762" s="42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42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70">
        <v>46248</v>
      </c>
      <c r="X762" s="30" t="s">
        <v>55</v>
      </c>
      <c r="Y762" s="30" t="s">
        <v>56</v>
      </c>
      <c r="Z762" s="30" t="s">
        <v>57</v>
      </c>
      <c r="AA762" s="30" t="s">
        <v>58</v>
      </c>
      <c r="AB762" s="30" t="s">
        <v>56</v>
      </c>
      <c r="AC762" s="27"/>
      <c r="AD762" s="31" t="s">
        <v>57</v>
      </c>
      <c r="AE762" s="32" t="str">
        <f t="shared" si="57"/>
        <v>✓ OK</v>
      </c>
      <c r="AF762" s="33" t="s">
        <v>61</v>
      </c>
      <c r="AG762" s="33" t="s">
        <v>55</v>
      </c>
      <c r="AH762" s="33" t="s">
        <v>56</v>
      </c>
      <c r="AI762" s="33" t="s">
        <v>57</v>
      </c>
      <c r="AJ762" s="33" t="s">
        <v>58</v>
      </c>
      <c r="AK762" s="33" t="s">
        <v>56</v>
      </c>
      <c r="AL762" s="27"/>
      <c r="AM762" s="34" t="s">
        <v>57</v>
      </c>
      <c r="AN762" s="35" t="str">
        <f t="shared" si="58"/>
        <v>✓ OK</v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2848</v>
      </c>
      <c r="C763" s="25" t="s">
        <v>2849</v>
      </c>
      <c r="D763" s="23" t="s">
        <v>2301</v>
      </c>
      <c r="E763" s="42">
        <v>46132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42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70">
        <v>46248</v>
      </c>
      <c r="X763" s="30" t="s">
        <v>55</v>
      </c>
      <c r="Y763" s="30" t="s">
        <v>56</v>
      </c>
      <c r="Z763" s="30" t="s">
        <v>57</v>
      </c>
      <c r="AA763" s="30" t="s">
        <v>58</v>
      </c>
      <c r="AB763" s="30" t="s">
        <v>56</v>
      </c>
      <c r="AC763" s="27"/>
      <c r="AD763" s="31" t="s">
        <v>57</v>
      </c>
      <c r="AE763" s="32" t="str">
        <f t="shared" si="57"/>
        <v>✓ OK</v>
      </c>
      <c r="AF763" s="33" t="s">
        <v>61</v>
      </c>
      <c r="AG763" s="33" t="s">
        <v>55</v>
      </c>
      <c r="AH763" s="33" t="s">
        <v>56</v>
      </c>
      <c r="AI763" s="33" t="s">
        <v>57</v>
      </c>
      <c r="AJ763" s="33" t="s">
        <v>58</v>
      </c>
      <c r="AK763" s="33" t="s">
        <v>56</v>
      </c>
      <c r="AL763" s="27"/>
      <c r="AM763" s="34" t="s">
        <v>57</v>
      </c>
      <c r="AN763" s="35" t="str">
        <f t="shared" si="58"/>
        <v>✓ OK</v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2850</v>
      </c>
      <c r="C764" s="41" t="s">
        <v>2851</v>
      </c>
      <c r="D764" s="39" t="s">
        <v>2301</v>
      </c>
      <c r="E764" s="42">
        <v>46132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42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70">
        <v>46248</v>
      </c>
      <c r="X764" s="30" t="s">
        <v>55</v>
      </c>
      <c r="Y764" s="30" t="s">
        <v>56</v>
      </c>
      <c r="Z764" s="30" t="s">
        <v>57</v>
      </c>
      <c r="AA764" s="30" t="s">
        <v>58</v>
      </c>
      <c r="AB764" s="30" t="s">
        <v>56</v>
      </c>
      <c r="AC764" s="27"/>
      <c r="AD764" s="31" t="s">
        <v>57</v>
      </c>
      <c r="AE764" s="32" t="str">
        <f t="shared" si="57"/>
        <v>✓ OK</v>
      </c>
      <c r="AF764" s="33" t="s">
        <v>61</v>
      </c>
      <c r="AG764" s="33" t="s">
        <v>55</v>
      </c>
      <c r="AH764" s="33" t="s">
        <v>56</v>
      </c>
      <c r="AI764" s="33" t="s">
        <v>57</v>
      </c>
      <c r="AJ764" s="33" t="s">
        <v>58</v>
      </c>
      <c r="AK764" s="33" t="s">
        <v>56</v>
      </c>
      <c r="AL764" s="27"/>
      <c r="AM764" s="34" t="s">
        <v>57</v>
      </c>
      <c r="AN764" s="35" t="str">
        <f t="shared" si="58"/>
        <v>✓ OK</v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2852</v>
      </c>
      <c r="C765" s="25" t="s">
        <v>2853</v>
      </c>
      <c r="D765" s="23" t="s">
        <v>2301</v>
      </c>
      <c r="E765" s="42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42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70">
        <v>46248</v>
      </c>
      <c r="X765" s="30" t="s">
        <v>55</v>
      </c>
      <c r="Y765" s="30" t="s">
        <v>56</v>
      </c>
      <c r="Z765" s="30" t="s">
        <v>57</v>
      </c>
      <c r="AA765" s="30" t="s">
        <v>58</v>
      </c>
      <c r="AB765" s="30" t="s">
        <v>56</v>
      </c>
      <c r="AC765" s="27"/>
      <c r="AD765" s="31" t="s">
        <v>57</v>
      </c>
      <c r="AE765" s="32" t="str">
        <f t="shared" si="57"/>
        <v>✓ OK</v>
      </c>
      <c r="AF765" s="33" t="s">
        <v>61</v>
      </c>
      <c r="AG765" s="33" t="s">
        <v>55</v>
      </c>
      <c r="AH765" s="33" t="s">
        <v>56</v>
      </c>
      <c r="AI765" s="33" t="s">
        <v>57</v>
      </c>
      <c r="AJ765" s="33" t="s">
        <v>58</v>
      </c>
      <c r="AK765" s="33" t="s">
        <v>56</v>
      </c>
      <c r="AL765" s="27"/>
      <c r="AM765" s="34" t="s">
        <v>57</v>
      </c>
      <c r="AN765" s="35" t="str">
        <f t="shared" si="58"/>
        <v>✓ OK</v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2854</v>
      </c>
      <c r="C766" s="41" t="s">
        <v>2855</v>
      </c>
      <c r="D766" s="39" t="s">
        <v>2301</v>
      </c>
      <c r="E766" s="42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42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70">
        <v>46248</v>
      </c>
      <c r="X766" s="30" t="s">
        <v>55</v>
      </c>
      <c r="Y766" s="30" t="s">
        <v>56</v>
      </c>
      <c r="Z766" s="30" t="s">
        <v>57</v>
      </c>
      <c r="AA766" s="30" t="s">
        <v>58</v>
      </c>
      <c r="AB766" s="30" t="s">
        <v>56</v>
      </c>
      <c r="AC766" s="27"/>
      <c r="AD766" s="31" t="s">
        <v>57</v>
      </c>
      <c r="AE766" s="32" t="str">
        <f t="shared" si="57"/>
        <v>✓ OK</v>
      </c>
      <c r="AF766" s="33" t="s">
        <v>61</v>
      </c>
      <c r="AG766" s="33" t="s">
        <v>55</v>
      </c>
      <c r="AH766" s="33" t="s">
        <v>56</v>
      </c>
      <c r="AI766" s="33" t="s">
        <v>57</v>
      </c>
      <c r="AJ766" s="33" t="s">
        <v>58</v>
      </c>
      <c r="AK766" s="33" t="s">
        <v>56</v>
      </c>
      <c r="AL766" s="27"/>
      <c r="AM766" s="34" t="s">
        <v>57</v>
      </c>
      <c r="AN766" s="35" t="str">
        <f t="shared" si="58"/>
        <v>✓ OK</v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2856</v>
      </c>
      <c r="C767" s="25" t="s">
        <v>2857</v>
      </c>
      <c r="D767" s="23" t="s">
        <v>2301</v>
      </c>
      <c r="E767" s="42">
        <v>46132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42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70">
        <v>46248</v>
      </c>
      <c r="X767" s="30" t="s">
        <v>55</v>
      </c>
      <c r="Y767" s="30" t="s">
        <v>56</v>
      </c>
      <c r="Z767" s="30" t="s">
        <v>57</v>
      </c>
      <c r="AA767" s="30" t="s">
        <v>58</v>
      </c>
      <c r="AB767" s="30" t="s">
        <v>56</v>
      </c>
      <c r="AC767" s="27"/>
      <c r="AD767" s="31" t="s">
        <v>57</v>
      </c>
      <c r="AE767" s="32" t="str">
        <f t="shared" si="57"/>
        <v>✓ OK</v>
      </c>
      <c r="AF767" s="33" t="s">
        <v>61</v>
      </c>
      <c r="AG767" s="33" t="s">
        <v>55</v>
      </c>
      <c r="AH767" s="33" t="s">
        <v>56</v>
      </c>
      <c r="AI767" s="33" t="s">
        <v>57</v>
      </c>
      <c r="AJ767" s="33" t="s">
        <v>58</v>
      </c>
      <c r="AK767" s="33" t="s">
        <v>56</v>
      </c>
      <c r="AL767" s="27"/>
      <c r="AM767" s="34" t="s">
        <v>57</v>
      </c>
      <c r="AN767" s="35" t="str">
        <f t="shared" si="58"/>
        <v>✓ OK</v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2858</v>
      </c>
      <c r="C768" s="41" t="s">
        <v>2859</v>
      </c>
      <c r="D768" s="39" t="s">
        <v>2301</v>
      </c>
      <c r="E768" s="42">
        <v>46132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42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70">
        <v>46248</v>
      </c>
      <c r="X768" s="30" t="s">
        <v>55</v>
      </c>
      <c r="Y768" s="30" t="s">
        <v>56</v>
      </c>
      <c r="Z768" s="30" t="s">
        <v>57</v>
      </c>
      <c r="AA768" s="30" t="s">
        <v>58</v>
      </c>
      <c r="AB768" s="30" t="s">
        <v>56</v>
      </c>
      <c r="AC768" s="27"/>
      <c r="AD768" s="31" t="s">
        <v>57</v>
      </c>
      <c r="AE768" s="32" t="str">
        <f t="shared" si="57"/>
        <v>✓ OK</v>
      </c>
      <c r="AF768" s="33" t="s">
        <v>61</v>
      </c>
      <c r="AG768" s="33" t="s">
        <v>55</v>
      </c>
      <c r="AH768" s="33" t="s">
        <v>56</v>
      </c>
      <c r="AI768" s="33" t="s">
        <v>57</v>
      </c>
      <c r="AJ768" s="33" t="s">
        <v>58</v>
      </c>
      <c r="AK768" s="33" t="s">
        <v>56</v>
      </c>
      <c r="AL768" s="27"/>
      <c r="AM768" s="34" t="s">
        <v>57</v>
      </c>
      <c r="AN768" s="35" t="str">
        <f t="shared" si="58"/>
        <v>✓ OK</v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2860</v>
      </c>
      <c r="C769" s="25" t="s">
        <v>2861</v>
      </c>
      <c r="D769" s="23" t="s">
        <v>2301</v>
      </c>
      <c r="E769" s="42">
        <v>46132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42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70">
        <v>46248</v>
      </c>
      <c r="X769" s="30" t="s">
        <v>55</v>
      </c>
      <c r="Y769" s="30" t="s">
        <v>56</v>
      </c>
      <c r="Z769" s="30" t="s">
        <v>57</v>
      </c>
      <c r="AA769" s="30" t="s">
        <v>58</v>
      </c>
      <c r="AB769" s="30" t="s">
        <v>56</v>
      </c>
      <c r="AC769" s="27"/>
      <c r="AD769" s="31" t="s">
        <v>57</v>
      </c>
      <c r="AE769" s="32" t="str">
        <f t="shared" si="57"/>
        <v>✓ OK</v>
      </c>
      <c r="AF769" s="33" t="s">
        <v>61</v>
      </c>
      <c r="AG769" s="33" t="s">
        <v>55</v>
      </c>
      <c r="AH769" s="33" t="s">
        <v>56</v>
      </c>
      <c r="AI769" s="33" t="s">
        <v>57</v>
      </c>
      <c r="AJ769" s="33" t="s">
        <v>58</v>
      </c>
      <c r="AK769" s="33" t="s">
        <v>56</v>
      </c>
      <c r="AL769" s="27"/>
      <c r="AM769" s="34" t="s">
        <v>57</v>
      </c>
      <c r="AN769" s="35" t="str">
        <f t="shared" si="58"/>
        <v>✓ OK</v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2862</v>
      </c>
      <c r="C770" s="41" t="s">
        <v>2863</v>
      </c>
      <c r="D770" s="39" t="s">
        <v>2301</v>
      </c>
      <c r="E770" s="42">
        <v>46132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42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70">
        <v>46248</v>
      </c>
      <c r="X770" s="30" t="s">
        <v>55</v>
      </c>
      <c r="Y770" s="30" t="s">
        <v>56</v>
      </c>
      <c r="Z770" s="30" t="s">
        <v>57</v>
      </c>
      <c r="AA770" s="30" t="s">
        <v>58</v>
      </c>
      <c r="AB770" s="30" t="s">
        <v>56</v>
      </c>
      <c r="AC770" s="27"/>
      <c r="AD770" s="31" t="s">
        <v>57</v>
      </c>
      <c r="AE770" s="32" t="str">
        <f t="shared" si="57"/>
        <v>✓ OK</v>
      </c>
      <c r="AF770" s="33" t="s">
        <v>61</v>
      </c>
      <c r="AG770" s="33" t="s">
        <v>55</v>
      </c>
      <c r="AH770" s="33" t="s">
        <v>56</v>
      </c>
      <c r="AI770" s="33" t="s">
        <v>57</v>
      </c>
      <c r="AJ770" s="33" t="s">
        <v>58</v>
      </c>
      <c r="AK770" s="33" t="s">
        <v>56</v>
      </c>
      <c r="AL770" s="27"/>
      <c r="AM770" s="34" t="s">
        <v>57</v>
      </c>
      <c r="AN770" s="35" t="str">
        <f t="shared" si="58"/>
        <v>✓ OK</v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2864</v>
      </c>
      <c r="C771" s="25" t="s">
        <v>2865</v>
      </c>
      <c r="D771" s="23" t="s">
        <v>2301</v>
      </c>
      <c r="E771" s="42">
        <v>46132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42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70">
        <v>46248</v>
      </c>
      <c r="X771" s="30" t="s">
        <v>55</v>
      </c>
      <c r="Y771" s="30" t="s">
        <v>56</v>
      </c>
      <c r="Z771" s="30" t="s">
        <v>57</v>
      </c>
      <c r="AA771" s="30" t="s">
        <v>58</v>
      </c>
      <c r="AB771" s="30" t="s">
        <v>56</v>
      </c>
      <c r="AC771" s="27"/>
      <c r="AD771" s="31" t="s">
        <v>57</v>
      </c>
      <c r="AE771" s="32" t="str">
        <f t="shared" si="57"/>
        <v>✓ OK</v>
      </c>
      <c r="AF771" s="33" t="s">
        <v>61</v>
      </c>
      <c r="AG771" s="33" t="s">
        <v>55</v>
      </c>
      <c r="AH771" s="33" t="s">
        <v>56</v>
      </c>
      <c r="AI771" s="33" t="s">
        <v>57</v>
      </c>
      <c r="AJ771" s="33" t="s">
        <v>58</v>
      </c>
      <c r="AK771" s="33" t="s">
        <v>56</v>
      </c>
      <c r="AL771" s="27"/>
      <c r="AM771" s="34" t="s">
        <v>57</v>
      </c>
      <c r="AN771" s="35" t="str">
        <f t="shared" si="58"/>
        <v>✓ OK</v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2866</v>
      </c>
      <c r="C772" s="41" t="s">
        <v>2867</v>
      </c>
      <c r="D772" s="39" t="s">
        <v>2301</v>
      </c>
      <c r="E772" s="42">
        <v>46132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42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70">
        <v>46248</v>
      </c>
      <c r="X772" s="30" t="s">
        <v>55</v>
      </c>
      <c r="Y772" s="30" t="s">
        <v>56</v>
      </c>
      <c r="Z772" s="30" t="s">
        <v>57</v>
      </c>
      <c r="AA772" s="30" t="s">
        <v>58</v>
      </c>
      <c r="AB772" s="30" t="s">
        <v>56</v>
      </c>
      <c r="AC772" s="27"/>
      <c r="AD772" s="31" t="s">
        <v>57</v>
      </c>
      <c r="AE772" s="32" t="str">
        <f t="shared" si="57"/>
        <v>✓ OK</v>
      </c>
      <c r="AF772" s="33" t="s">
        <v>61</v>
      </c>
      <c r="AG772" s="33" t="s">
        <v>55</v>
      </c>
      <c r="AH772" s="33" t="s">
        <v>56</v>
      </c>
      <c r="AI772" s="33" t="s">
        <v>57</v>
      </c>
      <c r="AJ772" s="33" t="s">
        <v>58</v>
      </c>
      <c r="AK772" s="33" t="s">
        <v>56</v>
      </c>
      <c r="AL772" s="27"/>
      <c r="AM772" s="34" t="s">
        <v>57</v>
      </c>
      <c r="AN772" s="35" t="str">
        <f t="shared" si="58"/>
        <v>✓ OK</v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2868</v>
      </c>
      <c r="C773" s="25" t="s">
        <v>2869</v>
      </c>
      <c r="D773" s="23" t="s">
        <v>2301</v>
      </c>
      <c r="E773" s="42">
        <v>46132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42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70">
        <v>46248</v>
      </c>
      <c r="X773" s="30" t="s">
        <v>55</v>
      </c>
      <c r="Y773" s="30" t="s">
        <v>56</v>
      </c>
      <c r="Z773" s="30" t="s">
        <v>57</v>
      </c>
      <c r="AA773" s="30" t="s">
        <v>58</v>
      </c>
      <c r="AB773" s="30" t="s">
        <v>56</v>
      </c>
      <c r="AC773" s="27"/>
      <c r="AD773" s="31" t="s">
        <v>57</v>
      </c>
      <c r="AE773" s="32" t="str">
        <f t="shared" ref="AE773:AE836" si="62">IF(W773="","",IF(Z773="Yes","❌ Disc",IF(Y773="No","⚠ Missing",IF(AB773="Yes","✓ OK","⚠ Check"))))</f>
        <v>✓ OK</v>
      </c>
      <c r="AF773" s="33" t="s">
        <v>61</v>
      </c>
      <c r="AG773" s="33" t="s">
        <v>55</v>
      </c>
      <c r="AH773" s="33" t="s">
        <v>56</v>
      </c>
      <c r="AI773" s="33" t="s">
        <v>57</v>
      </c>
      <c r="AJ773" s="33" t="s">
        <v>58</v>
      </c>
      <c r="AK773" s="33" t="s">
        <v>56</v>
      </c>
      <c r="AL773" s="27"/>
      <c r="AM773" s="34" t="s">
        <v>57</v>
      </c>
      <c r="AN773" s="35" t="str">
        <f t="shared" ref="AN773:AN836" si="63">IF(AF773="","",IF(AI773="Yes","❌ Disc",IF(AH773="No","⚠ Missing",IF(AK773="Yes","✓ OK","⚠ Check"))))</f>
        <v>✓ OK</v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2870</v>
      </c>
      <c r="C774" s="41" t="s">
        <v>2871</v>
      </c>
      <c r="D774" s="39" t="s">
        <v>2301</v>
      </c>
      <c r="E774" s="42">
        <v>46132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42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70">
        <v>46248</v>
      </c>
      <c r="X774" s="30" t="s">
        <v>55</v>
      </c>
      <c r="Y774" s="30" t="s">
        <v>56</v>
      </c>
      <c r="Z774" s="30" t="s">
        <v>57</v>
      </c>
      <c r="AA774" s="30" t="s">
        <v>58</v>
      </c>
      <c r="AB774" s="30" t="s">
        <v>56</v>
      </c>
      <c r="AC774" s="27"/>
      <c r="AD774" s="31" t="s">
        <v>57</v>
      </c>
      <c r="AE774" s="32" t="str">
        <f t="shared" si="62"/>
        <v>✓ OK</v>
      </c>
      <c r="AF774" s="33" t="s">
        <v>61</v>
      </c>
      <c r="AG774" s="33" t="s">
        <v>55</v>
      </c>
      <c r="AH774" s="33" t="s">
        <v>56</v>
      </c>
      <c r="AI774" s="33" t="s">
        <v>57</v>
      </c>
      <c r="AJ774" s="33" t="s">
        <v>58</v>
      </c>
      <c r="AK774" s="33" t="s">
        <v>56</v>
      </c>
      <c r="AL774" s="27"/>
      <c r="AM774" s="34" t="s">
        <v>57</v>
      </c>
      <c r="AN774" s="35" t="str">
        <f t="shared" si="63"/>
        <v>✓ OK</v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2872</v>
      </c>
      <c r="C775" s="25" t="s">
        <v>2873</v>
      </c>
      <c r="D775" s="23" t="s">
        <v>2301</v>
      </c>
      <c r="E775" s="42">
        <v>46132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42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70">
        <v>46248</v>
      </c>
      <c r="X775" s="30" t="s">
        <v>55</v>
      </c>
      <c r="Y775" s="30" t="s">
        <v>56</v>
      </c>
      <c r="Z775" s="30" t="s">
        <v>57</v>
      </c>
      <c r="AA775" s="30" t="s">
        <v>58</v>
      </c>
      <c r="AB775" s="30" t="s">
        <v>56</v>
      </c>
      <c r="AC775" s="27"/>
      <c r="AD775" s="31" t="s">
        <v>57</v>
      </c>
      <c r="AE775" s="32" t="str">
        <f t="shared" si="62"/>
        <v>✓ OK</v>
      </c>
      <c r="AF775" s="33" t="s">
        <v>61</v>
      </c>
      <c r="AG775" s="33" t="s">
        <v>55</v>
      </c>
      <c r="AH775" s="33" t="s">
        <v>56</v>
      </c>
      <c r="AI775" s="33" t="s">
        <v>57</v>
      </c>
      <c r="AJ775" s="33" t="s">
        <v>58</v>
      </c>
      <c r="AK775" s="33" t="s">
        <v>56</v>
      </c>
      <c r="AL775" s="27"/>
      <c r="AM775" s="34" t="s">
        <v>57</v>
      </c>
      <c r="AN775" s="35" t="str">
        <f t="shared" si="63"/>
        <v>✓ OK</v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2874</v>
      </c>
      <c r="C776" s="41" t="s">
        <v>2875</v>
      </c>
      <c r="D776" s="39" t="s">
        <v>2301</v>
      </c>
      <c r="E776" s="42">
        <v>46132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42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70">
        <v>46248</v>
      </c>
      <c r="X776" s="30" t="s">
        <v>55</v>
      </c>
      <c r="Y776" s="30" t="s">
        <v>56</v>
      </c>
      <c r="Z776" s="30" t="s">
        <v>57</v>
      </c>
      <c r="AA776" s="30" t="s">
        <v>58</v>
      </c>
      <c r="AB776" s="30" t="s">
        <v>56</v>
      </c>
      <c r="AC776" s="27"/>
      <c r="AD776" s="31" t="s">
        <v>57</v>
      </c>
      <c r="AE776" s="32" t="str">
        <f t="shared" si="62"/>
        <v>✓ OK</v>
      </c>
      <c r="AF776" s="33" t="s">
        <v>61</v>
      </c>
      <c r="AG776" s="33" t="s">
        <v>55</v>
      </c>
      <c r="AH776" s="33" t="s">
        <v>56</v>
      </c>
      <c r="AI776" s="33" t="s">
        <v>57</v>
      </c>
      <c r="AJ776" s="33" t="s">
        <v>58</v>
      </c>
      <c r="AK776" s="33" t="s">
        <v>56</v>
      </c>
      <c r="AL776" s="27"/>
      <c r="AM776" s="34" t="s">
        <v>57</v>
      </c>
      <c r="AN776" s="35" t="str">
        <f t="shared" si="63"/>
        <v>✓ OK</v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2876</v>
      </c>
      <c r="C777" s="25" t="s">
        <v>2877</v>
      </c>
      <c r="D777" s="23" t="s">
        <v>2301</v>
      </c>
      <c r="E777" s="42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42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70">
        <v>46248</v>
      </c>
      <c r="X777" s="30" t="s">
        <v>55</v>
      </c>
      <c r="Y777" s="30" t="s">
        <v>56</v>
      </c>
      <c r="Z777" s="30" t="s">
        <v>57</v>
      </c>
      <c r="AA777" s="30" t="s">
        <v>58</v>
      </c>
      <c r="AB777" s="30" t="s">
        <v>56</v>
      </c>
      <c r="AC777" s="27"/>
      <c r="AD777" s="31" t="s">
        <v>57</v>
      </c>
      <c r="AE777" s="32" t="str">
        <f t="shared" si="62"/>
        <v>✓ OK</v>
      </c>
      <c r="AF777" s="33" t="s">
        <v>61</v>
      </c>
      <c r="AG777" s="33" t="s">
        <v>55</v>
      </c>
      <c r="AH777" s="33" t="s">
        <v>56</v>
      </c>
      <c r="AI777" s="33" t="s">
        <v>57</v>
      </c>
      <c r="AJ777" s="33" t="s">
        <v>58</v>
      </c>
      <c r="AK777" s="33" t="s">
        <v>56</v>
      </c>
      <c r="AL777" s="27"/>
      <c r="AM777" s="34" t="s">
        <v>57</v>
      </c>
      <c r="AN777" s="35" t="str">
        <f t="shared" si="63"/>
        <v>✓ OK</v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2878</v>
      </c>
      <c r="C778" s="41" t="s">
        <v>2879</v>
      </c>
      <c r="D778" s="39" t="s">
        <v>2301</v>
      </c>
      <c r="E778" s="42">
        <v>46129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42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70">
        <v>46248</v>
      </c>
      <c r="X778" s="30" t="s">
        <v>55</v>
      </c>
      <c r="Y778" s="30" t="s">
        <v>56</v>
      </c>
      <c r="Z778" s="30" t="s">
        <v>57</v>
      </c>
      <c r="AA778" s="30" t="s">
        <v>58</v>
      </c>
      <c r="AB778" s="30" t="s">
        <v>56</v>
      </c>
      <c r="AC778" s="27"/>
      <c r="AD778" s="31" t="s">
        <v>57</v>
      </c>
      <c r="AE778" s="32" t="str">
        <f t="shared" si="62"/>
        <v>✓ OK</v>
      </c>
      <c r="AF778" s="33" t="s">
        <v>61</v>
      </c>
      <c r="AG778" s="33" t="s">
        <v>55</v>
      </c>
      <c r="AH778" s="33" t="s">
        <v>56</v>
      </c>
      <c r="AI778" s="33" t="s">
        <v>57</v>
      </c>
      <c r="AJ778" s="33" t="s">
        <v>58</v>
      </c>
      <c r="AK778" s="33" t="s">
        <v>56</v>
      </c>
      <c r="AL778" s="27"/>
      <c r="AM778" s="34" t="s">
        <v>57</v>
      </c>
      <c r="AN778" s="35" t="str">
        <f t="shared" si="63"/>
        <v>✓ OK</v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2880</v>
      </c>
      <c r="C779" s="25" t="s">
        <v>2881</v>
      </c>
      <c r="D779" s="23" t="s">
        <v>2301</v>
      </c>
      <c r="E779" s="42">
        <v>46129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42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70">
        <v>46248</v>
      </c>
      <c r="X779" s="30" t="s">
        <v>55</v>
      </c>
      <c r="Y779" s="30" t="s">
        <v>56</v>
      </c>
      <c r="Z779" s="30" t="s">
        <v>57</v>
      </c>
      <c r="AA779" s="30" t="s">
        <v>58</v>
      </c>
      <c r="AB779" s="30" t="s">
        <v>56</v>
      </c>
      <c r="AC779" s="27"/>
      <c r="AD779" s="31" t="s">
        <v>57</v>
      </c>
      <c r="AE779" s="32" t="str">
        <f t="shared" si="62"/>
        <v>✓ OK</v>
      </c>
      <c r="AF779" s="33" t="s">
        <v>61</v>
      </c>
      <c r="AG779" s="33" t="s">
        <v>55</v>
      </c>
      <c r="AH779" s="33" t="s">
        <v>56</v>
      </c>
      <c r="AI779" s="33" t="s">
        <v>57</v>
      </c>
      <c r="AJ779" s="33" t="s">
        <v>58</v>
      </c>
      <c r="AK779" s="33" t="s">
        <v>56</v>
      </c>
      <c r="AL779" s="27"/>
      <c r="AM779" s="34" t="s">
        <v>57</v>
      </c>
      <c r="AN779" s="35" t="str">
        <f t="shared" si="63"/>
        <v>✓ OK</v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2882</v>
      </c>
      <c r="C780" s="41" t="s">
        <v>2883</v>
      </c>
      <c r="D780" s="39" t="s">
        <v>2301</v>
      </c>
      <c r="E780" s="42">
        <v>46129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42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70">
        <v>46248</v>
      </c>
      <c r="X780" s="30" t="s">
        <v>55</v>
      </c>
      <c r="Y780" s="30" t="s">
        <v>56</v>
      </c>
      <c r="Z780" s="30" t="s">
        <v>57</v>
      </c>
      <c r="AA780" s="30" t="s">
        <v>58</v>
      </c>
      <c r="AB780" s="30" t="s">
        <v>56</v>
      </c>
      <c r="AC780" s="27"/>
      <c r="AD780" s="31" t="s">
        <v>57</v>
      </c>
      <c r="AE780" s="32" t="str">
        <f t="shared" si="62"/>
        <v>✓ OK</v>
      </c>
      <c r="AF780" s="33" t="s">
        <v>61</v>
      </c>
      <c r="AG780" s="33" t="s">
        <v>55</v>
      </c>
      <c r="AH780" s="33" t="s">
        <v>56</v>
      </c>
      <c r="AI780" s="33" t="s">
        <v>57</v>
      </c>
      <c r="AJ780" s="33" t="s">
        <v>58</v>
      </c>
      <c r="AK780" s="33" t="s">
        <v>56</v>
      </c>
      <c r="AL780" s="27"/>
      <c r="AM780" s="34" t="s">
        <v>57</v>
      </c>
      <c r="AN780" s="35" t="str">
        <f t="shared" si="63"/>
        <v>✓ OK</v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2884</v>
      </c>
      <c r="C781" s="25" t="s">
        <v>2885</v>
      </c>
      <c r="D781" s="23" t="s">
        <v>2301</v>
      </c>
      <c r="E781" s="42">
        <v>46129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42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70">
        <v>46248</v>
      </c>
      <c r="X781" s="30" t="s">
        <v>55</v>
      </c>
      <c r="Y781" s="30" t="s">
        <v>56</v>
      </c>
      <c r="Z781" s="30" t="s">
        <v>57</v>
      </c>
      <c r="AA781" s="30" t="s">
        <v>58</v>
      </c>
      <c r="AB781" s="30" t="s">
        <v>56</v>
      </c>
      <c r="AC781" s="27"/>
      <c r="AD781" s="31" t="s">
        <v>57</v>
      </c>
      <c r="AE781" s="32" t="str">
        <f t="shared" si="62"/>
        <v>✓ OK</v>
      </c>
      <c r="AF781" s="33" t="s">
        <v>61</v>
      </c>
      <c r="AG781" s="33" t="s">
        <v>55</v>
      </c>
      <c r="AH781" s="33" t="s">
        <v>56</v>
      </c>
      <c r="AI781" s="33" t="s">
        <v>57</v>
      </c>
      <c r="AJ781" s="33" t="s">
        <v>58</v>
      </c>
      <c r="AK781" s="33" t="s">
        <v>56</v>
      </c>
      <c r="AL781" s="27"/>
      <c r="AM781" s="34" t="s">
        <v>57</v>
      </c>
      <c r="AN781" s="35" t="str">
        <f t="shared" si="63"/>
        <v>✓ OK</v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2886</v>
      </c>
      <c r="C782" s="41" t="s">
        <v>2887</v>
      </c>
      <c r="D782" s="39" t="s">
        <v>2301</v>
      </c>
      <c r="E782" s="42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42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70">
        <v>46248</v>
      </c>
      <c r="X782" s="30" t="s">
        <v>55</v>
      </c>
      <c r="Y782" s="30" t="s">
        <v>56</v>
      </c>
      <c r="Z782" s="30" t="s">
        <v>57</v>
      </c>
      <c r="AA782" s="30" t="s">
        <v>58</v>
      </c>
      <c r="AB782" s="30" t="s">
        <v>56</v>
      </c>
      <c r="AC782" s="27"/>
      <c r="AD782" s="31" t="s">
        <v>57</v>
      </c>
      <c r="AE782" s="32" t="str">
        <f t="shared" si="62"/>
        <v>✓ OK</v>
      </c>
      <c r="AF782" s="33" t="s">
        <v>61</v>
      </c>
      <c r="AG782" s="33" t="s">
        <v>55</v>
      </c>
      <c r="AH782" s="33" t="s">
        <v>56</v>
      </c>
      <c r="AI782" s="33" t="s">
        <v>57</v>
      </c>
      <c r="AJ782" s="33" t="s">
        <v>58</v>
      </c>
      <c r="AK782" s="33" t="s">
        <v>56</v>
      </c>
      <c r="AL782" s="27"/>
      <c r="AM782" s="34" t="s">
        <v>57</v>
      </c>
      <c r="AN782" s="35" t="str">
        <f t="shared" si="63"/>
        <v>✓ OK</v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2888</v>
      </c>
      <c r="C783" s="25" t="s">
        <v>2889</v>
      </c>
      <c r="D783" s="23" t="s">
        <v>2301</v>
      </c>
      <c r="E783" s="42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42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70">
        <v>46248</v>
      </c>
      <c r="X783" s="30" t="s">
        <v>55</v>
      </c>
      <c r="Y783" s="30" t="s">
        <v>56</v>
      </c>
      <c r="Z783" s="30" t="s">
        <v>57</v>
      </c>
      <c r="AA783" s="30" t="s">
        <v>58</v>
      </c>
      <c r="AB783" s="30" t="s">
        <v>56</v>
      </c>
      <c r="AC783" s="27"/>
      <c r="AD783" s="31" t="s">
        <v>57</v>
      </c>
      <c r="AE783" s="32" t="str">
        <f t="shared" si="62"/>
        <v>✓ OK</v>
      </c>
      <c r="AF783" s="33" t="s">
        <v>61</v>
      </c>
      <c r="AG783" s="33" t="s">
        <v>55</v>
      </c>
      <c r="AH783" s="33" t="s">
        <v>56</v>
      </c>
      <c r="AI783" s="33" t="s">
        <v>57</v>
      </c>
      <c r="AJ783" s="33" t="s">
        <v>58</v>
      </c>
      <c r="AK783" s="33" t="s">
        <v>56</v>
      </c>
      <c r="AL783" s="27"/>
      <c r="AM783" s="34" t="s">
        <v>57</v>
      </c>
      <c r="AN783" s="35" t="str">
        <f t="shared" si="63"/>
        <v>✓ OK</v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2890</v>
      </c>
      <c r="C784" s="41" t="s">
        <v>2891</v>
      </c>
      <c r="D784" s="39" t="s">
        <v>2301</v>
      </c>
      <c r="E784" s="42">
        <v>46129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42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70">
        <v>46248</v>
      </c>
      <c r="X784" s="30" t="s">
        <v>55</v>
      </c>
      <c r="Y784" s="30" t="s">
        <v>56</v>
      </c>
      <c r="Z784" s="30" t="s">
        <v>57</v>
      </c>
      <c r="AA784" s="30" t="s">
        <v>58</v>
      </c>
      <c r="AB784" s="30" t="s">
        <v>56</v>
      </c>
      <c r="AC784" s="27"/>
      <c r="AD784" s="31" t="s">
        <v>57</v>
      </c>
      <c r="AE784" s="32" t="str">
        <f t="shared" si="62"/>
        <v>✓ OK</v>
      </c>
      <c r="AF784" s="33" t="s">
        <v>61</v>
      </c>
      <c r="AG784" s="33" t="s">
        <v>55</v>
      </c>
      <c r="AH784" s="33" t="s">
        <v>56</v>
      </c>
      <c r="AI784" s="33" t="s">
        <v>57</v>
      </c>
      <c r="AJ784" s="33" t="s">
        <v>58</v>
      </c>
      <c r="AK784" s="33" t="s">
        <v>56</v>
      </c>
      <c r="AL784" s="27"/>
      <c r="AM784" s="34" t="s">
        <v>57</v>
      </c>
      <c r="AN784" s="35" t="str">
        <f t="shared" si="63"/>
        <v>✓ OK</v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2892</v>
      </c>
      <c r="C785" s="25" t="s">
        <v>2893</v>
      </c>
      <c r="D785" s="23" t="s">
        <v>2301</v>
      </c>
      <c r="E785" s="42">
        <v>46129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42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70">
        <v>46248</v>
      </c>
      <c r="X785" s="30" t="s">
        <v>55</v>
      </c>
      <c r="Y785" s="30" t="s">
        <v>56</v>
      </c>
      <c r="Z785" s="30" t="s">
        <v>57</v>
      </c>
      <c r="AA785" s="30" t="s">
        <v>58</v>
      </c>
      <c r="AB785" s="30" t="s">
        <v>56</v>
      </c>
      <c r="AC785" s="27"/>
      <c r="AD785" s="31" t="s">
        <v>57</v>
      </c>
      <c r="AE785" s="32" t="str">
        <f t="shared" si="62"/>
        <v>✓ OK</v>
      </c>
      <c r="AF785" s="33" t="s">
        <v>61</v>
      </c>
      <c r="AG785" s="33" t="s">
        <v>55</v>
      </c>
      <c r="AH785" s="33" t="s">
        <v>56</v>
      </c>
      <c r="AI785" s="33" t="s">
        <v>57</v>
      </c>
      <c r="AJ785" s="33" t="s">
        <v>58</v>
      </c>
      <c r="AK785" s="33" t="s">
        <v>56</v>
      </c>
      <c r="AL785" s="27"/>
      <c r="AM785" s="34" t="s">
        <v>57</v>
      </c>
      <c r="AN785" s="35" t="str">
        <f t="shared" si="63"/>
        <v>✓ OK</v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2894</v>
      </c>
      <c r="C786" s="41" t="s">
        <v>2895</v>
      </c>
      <c r="D786" s="39" t="s">
        <v>2301</v>
      </c>
      <c r="E786" s="42">
        <v>46129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42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70">
        <v>46248</v>
      </c>
      <c r="X786" s="30" t="s">
        <v>55</v>
      </c>
      <c r="Y786" s="30" t="s">
        <v>56</v>
      </c>
      <c r="Z786" s="30" t="s">
        <v>57</v>
      </c>
      <c r="AA786" s="30" t="s">
        <v>58</v>
      </c>
      <c r="AB786" s="30" t="s">
        <v>56</v>
      </c>
      <c r="AC786" s="27"/>
      <c r="AD786" s="31" t="s">
        <v>57</v>
      </c>
      <c r="AE786" s="32" t="str">
        <f t="shared" si="62"/>
        <v>✓ OK</v>
      </c>
      <c r="AF786" s="33" t="s">
        <v>61</v>
      </c>
      <c r="AG786" s="33" t="s">
        <v>55</v>
      </c>
      <c r="AH786" s="33" t="s">
        <v>56</v>
      </c>
      <c r="AI786" s="33" t="s">
        <v>57</v>
      </c>
      <c r="AJ786" s="33" t="s">
        <v>58</v>
      </c>
      <c r="AK786" s="33" t="s">
        <v>56</v>
      </c>
      <c r="AL786" s="27"/>
      <c r="AM786" s="34" t="s">
        <v>57</v>
      </c>
      <c r="AN786" s="35" t="str">
        <f t="shared" si="63"/>
        <v>✓ OK</v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2896</v>
      </c>
      <c r="C787" s="25" t="s">
        <v>2897</v>
      </c>
      <c r="D787" s="23" t="s">
        <v>2301</v>
      </c>
      <c r="E787" s="42">
        <v>46129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42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70">
        <v>46248</v>
      </c>
      <c r="X787" s="30" t="s">
        <v>55</v>
      </c>
      <c r="Y787" s="30" t="s">
        <v>56</v>
      </c>
      <c r="Z787" s="30" t="s">
        <v>57</v>
      </c>
      <c r="AA787" s="30" t="s">
        <v>58</v>
      </c>
      <c r="AB787" s="30" t="s">
        <v>56</v>
      </c>
      <c r="AC787" s="27"/>
      <c r="AD787" s="31" t="s">
        <v>57</v>
      </c>
      <c r="AE787" s="32" t="str">
        <f t="shared" si="62"/>
        <v>✓ OK</v>
      </c>
      <c r="AF787" s="33" t="s">
        <v>61</v>
      </c>
      <c r="AG787" s="33" t="s">
        <v>55</v>
      </c>
      <c r="AH787" s="33" t="s">
        <v>56</v>
      </c>
      <c r="AI787" s="33" t="s">
        <v>57</v>
      </c>
      <c r="AJ787" s="33" t="s">
        <v>58</v>
      </c>
      <c r="AK787" s="33" t="s">
        <v>56</v>
      </c>
      <c r="AL787" s="27"/>
      <c r="AM787" s="34" t="s">
        <v>57</v>
      </c>
      <c r="AN787" s="35" t="str">
        <f t="shared" si="63"/>
        <v>✓ OK</v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2898</v>
      </c>
      <c r="C788" s="41" t="s">
        <v>2899</v>
      </c>
      <c r="D788" s="39" t="s">
        <v>2301</v>
      </c>
      <c r="E788" s="42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42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70">
        <v>46248</v>
      </c>
      <c r="X788" s="30" t="s">
        <v>55</v>
      </c>
      <c r="Y788" s="30" t="s">
        <v>56</v>
      </c>
      <c r="Z788" s="30" t="s">
        <v>57</v>
      </c>
      <c r="AA788" s="30" t="s">
        <v>58</v>
      </c>
      <c r="AB788" s="30" t="s">
        <v>56</v>
      </c>
      <c r="AC788" s="27"/>
      <c r="AD788" s="31" t="s">
        <v>57</v>
      </c>
      <c r="AE788" s="32" t="str">
        <f t="shared" si="62"/>
        <v>✓ OK</v>
      </c>
      <c r="AF788" s="33" t="s">
        <v>61</v>
      </c>
      <c r="AG788" s="33" t="s">
        <v>55</v>
      </c>
      <c r="AH788" s="33" t="s">
        <v>56</v>
      </c>
      <c r="AI788" s="33" t="s">
        <v>57</v>
      </c>
      <c r="AJ788" s="33" t="s">
        <v>58</v>
      </c>
      <c r="AK788" s="33" t="s">
        <v>56</v>
      </c>
      <c r="AL788" s="27"/>
      <c r="AM788" s="34" t="s">
        <v>57</v>
      </c>
      <c r="AN788" s="35" t="str">
        <f t="shared" si="63"/>
        <v>✓ OK</v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2900</v>
      </c>
      <c r="C789" s="25" t="s">
        <v>2901</v>
      </c>
      <c r="D789" s="23" t="s">
        <v>2301</v>
      </c>
      <c r="E789" s="42">
        <v>46132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42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70">
        <v>46248</v>
      </c>
      <c r="X789" s="30" t="s">
        <v>55</v>
      </c>
      <c r="Y789" s="30" t="s">
        <v>56</v>
      </c>
      <c r="Z789" s="30" t="s">
        <v>57</v>
      </c>
      <c r="AA789" s="30" t="s">
        <v>58</v>
      </c>
      <c r="AB789" s="30" t="s">
        <v>56</v>
      </c>
      <c r="AC789" s="27"/>
      <c r="AD789" s="31" t="s">
        <v>57</v>
      </c>
      <c r="AE789" s="32" t="str">
        <f t="shared" si="62"/>
        <v>✓ OK</v>
      </c>
      <c r="AF789" s="33" t="s">
        <v>61</v>
      </c>
      <c r="AG789" s="33" t="s">
        <v>55</v>
      </c>
      <c r="AH789" s="33" t="s">
        <v>56</v>
      </c>
      <c r="AI789" s="33" t="s">
        <v>57</v>
      </c>
      <c r="AJ789" s="33" t="s">
        <v>58</v>
      </c>
      <c r="AK789" s="33" t="s">
        <v>56</v>
      </c>
      <c r="AL789" s="27"/>
      <c r="AM789" s="34" t="s">
        <v>57</v>
      </c>
      <c r="AN789" s="35" t="str">
        <f t="shared" si="63"/>
        <v>✓ OK</v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2902</v>
      </c>
      <c r="C790" s="41" t="s">
        <v>2903</v>
      </c>
      <c r="D790" s="39" t="s">
        <v>2301</v>
      </c>
      <c r="E790" s="42">
        <v>46132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42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70">
        <v>46248</v>
      </c>
      <c r="X790" s="30" t="s">
        <v>55</v>
      </c>
      <c r="Y790" s="30" t="s">
        <v>56</v>
      </c>
      <c r="Z790" s="30" t="s">
        <v>57</v>
      </c>
      <c r="AA790" s="30" t="s">
        <v>58</v>
      </c>
      <c r="AB790" s="30" t="s">
        <v>56</v>
      </c>
      <c r="AC790" s="27"/>
      <c r="AD790" s="31" t="s">
        <v>57</v>
      </c>
      <c r="AE790" s="32" t="str">
        <f t="shared" si="62"/>
        <v>✓ OK</v>
      </c>
      <c r="AF790" s="33" t="s">
        <v>61</v>
      </c>
      <c r="AG790" s="33" t="s">
        <v>55</v>
      </c>
      <c r="AH790" s="33" t="s">
        <v>56</v>
      </c>
      <c r="AI790" s="33" t="s">
        <v>57</v>
      </c>
      <c r="AJ790" s="33" t="s">
        <v>58</v>
      </c>
      <c r="AK790" s="33" t="s">
        <v>56</v>
      </c>
      <c r="AL790" s="27"/>
      <c r="AM790" s="34" t="s">
        <v>57</v>
      </c>
      <c r="AN790" s="35" t="str">
        <f t="shared" si="63"/>
        <v>✓ OK</v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2904</v>
      </c>
      <c r="C791" s="25" t="s">
        <v>2905</v>
      </c>
      <c r="D791" s="23" t="s">
        <v>2301</v>
      </c>
      <c r="E791" s="42">
        <v>46129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42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70">
        <v>46248</v>
      </c>
      <c r="X791" s="30" t="s">
        <v>55</v>
      </c>
      <c r="Y791" s="30" t="s">
        <v>56</v>
      </c>
      <c r="Z791" s="30" t="s">
        <v>57</v>
      </c>
      <c r="AA791" s="30" t="s">
        <v>58</v>
      </c>
      <c r="AB791" s="30" t="s">
        <v>56</v>
      </c>
      <c r="AC791" s="27"/>
      <c r="AD791" s="31" t="s">
        <v>57</v>
      </c>
      <c r="AE791" s="32" t="str">
        <f t="shared" si="62"/>
        <v>✓ OK</v>
      </c>
      <c r="AF791" s="33" t="s">
        <v>61</v>
      </c>
      <c r="AG791" s="33" t="s">
        <v>55</v>
      </c>
      <c r="AH791" s="33" t="s">
        <v>56</v>
      </c>
      <c r="AI791" s="33" t="s">
        <v>57</v>
      </c>
      <c r="AJ791" s="33" t="s">
        <v>58</v>
      </c>
      <c r="AK791" s="33" t="s">
        <v>56</v>
      </c>
      <c r="AL791" s="27"/>
      <c r="AM791" s="34" t="s">
        <v>57</v>
      </c>
      <c r="AN791" s="35" t="str">
        <f t="shared" si="63"/>
        <v>✓ OK</v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2906</v>
      </c>
      <c r="C792" s="41" t="s">
        <v>2907</v>
      </c>
      <c r="D792" s="39" t="s">
        <v>2301</v>
      </c>
      <c r="E792" s="42">
        <v>46129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42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70">
        <v>46248</v>
      </c>
      <c r="X792" s="30" t="s">
        <v>55</v>
      </c>
      <c r="Y792" s="30" t="s">
        <v>56</v>
      </c>
      <c r="Z792" s="30" t="s">
        <v>57</v>
      </c>
      <c r="AA792" s="30" t="s">
        <v>58</v>
      </c>
      <c r="AB792" s="30" t="s">
        <v>56</v>
      </c>
      <c r="AC792" s="27"/>
      <c r="AD792" s="31" t="s">
        <v>57</v>
      </c>
      <c r="AE792" s="32" t="str">
        <f t="shared" si="62"/>
        <v>✓ OK</v>
      </c>
      <c r="AF792" s="33" t="s">
        <v>61</v>
      </c>
      <c r="AG792" s="33" t="s">
        <v>55</v>
      </c>
      <c r="AH792" s="33" t="s">
        <v>56</v>
      </c>
      <c r="AI792" s="33" t="s">
        <v>57</v>
      </c>
      <c r="AJ792" s="33" t="s">
        <v>58</v>
      </c>
      <c r="AK792" s="33" t="s">
        <v>56</v>
      </c>
      <c r="AL792" s="27"/>
      <c r="AM792" s="34" t="s">
        <v>57</v>
      </c>
      <c r="AN792" s="35" t="str">
        <f t="shared" si="63"/>
        <v>✓ OK</v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2908</v>
      </c>
      <c r="C793" s="25" t="s">
        <v>2909</v>
      </c>
      <c r="D793" s="23" t="s">
        <v>2301</v>
      </c>
      <c r="E793" s="42">
        <v>46132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42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70">
        <v>46248</v>
      </c>
      <c r="X793" s="30" t="s">
        <v>55</v>
      </c>
      <c r="Y793" s="30" t="s">
        <v>56</v>
      </c>
      <c r="Z793" s="30" t="s">
        <v>57</v>
      </c>
      <c r="AA793" s="30" t="s">
        <v>58</v>
      </c>
      <c r="AB793" s="30" t="s">
        <v>56</v>
      </c>
      <c r="AC793" s="27"/>
      <c r="AD793" s="31" t="s">
        <v>57</v>
      </c>
      <c r="AE793" s="32" t="str">
        <f t="shared" si="62"/>
        <v>✓ OK</v>
      </c>
      <c r="AF793" s="33" t="s">
        <v>61</v>
      </c>
      <c r="AG793" s="33" t="s">
        <v>55</v>
      </c>
      <c r="AH793" s="33" t="s">
        <v>56</v>
      </c>
      <c r="AI793" s="33" t="s">
        <v>57</v>
      </c>
      <c r="AJ793" s="33" t="s">
        <v>58</v>
      </c>
      <c r="AK793" s="33" t="s">
        <v>56</v>
      </c>
      <c r="AL793" s="27"/>
      <c r="AM793" s="34" t="s">
        <v>57</v>
      </c>
      <c r="AN793" s="35" t="str">
        <f t="shared" si="63"/>
        <v>✓ OK</v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2910</v>
      </c>
      <c r="C794" s="41" t="s">
        <v>2911</v>
      </c>
      <c r="D794" s="39" t="s">
        <v>2301</v>
      </c>
      <c r="E794" s="42">
        <v>46132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42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70">
        <v>46248</v>
      </c>
      <c r="X794" s="30" t="s">
        <v>55</v>
      </c>
      <c r="Y794" s="30" t="s">
        <v>56</v>
      </c>
      <c r="Z794" s="30" t="s">
        <v>57</v>
      </c>
      <c r="AA794" s="30" t="s">
        <v>58</v>
      </c>
      <c r="AB794" s="30" t="s">
        <v>56</v>
      </c>
      <c r="AC794" s="27"/>
      <c r="AD794" s="31" t="s">
        <v>57</v>
      </c>
      <c r="AE794" s="32" t="str">
        <f t="shared" si="62"/>
        <v>✓ OK</v>
      </c>
      <c r="AF794" s="33" t="s">
        <v>61</v>
      </c>
      <c r="AG794" s="33" t="s">
        <v>55</v>
      </c>
      <c r="AH794" s="33" t="s">
        <v>56</v>
      </c>
      <c r="AI794" s="33" t="s">
        <v>57</v>
      </c>
      <c r="AJ794" s="33" t="s">
        <v>58</v>
      </c>
      <c r="AK794" s="33" t="s">
        <v>56</v>
      </c>
      <c r="AL794" s="27"/>
      <c r="AM794" s="34" t="s">
        <v>57</v>
      </c>
      <c r="AN794" s="35" t="str">
        <f t="shared" si="63"/>
        <v>✓ OK</v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2912</v>
      </c>
      <c r="C795" s="25" t="s">
        <v>2913</v>
      </c>
      <c r="D795" s="23" t="s">
        <v>2301</v>
      </c>
      <c r="E795" s="42">
        <v>46132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42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70">
        <v>46248</v>
      </c>
      <c r="X795" s="30" t="s">
        <v>55</v>
      </c>
      <c r="Y795" s="30" t="s">
        <v>56</v>
      </c>
      <c r="Z795" s="30" t="s">
        <v>57</v>
      </c>
      <c r="AA795" s="30" t="s">
        <v>58</v>
      </c>
      <c r="AB795" s="30" t="s">
        <v>56</v>
      </c>
      <c r="AC795" s="27"/>
      <c r="AD795" s="31" t="s">
        <v>57</v>
      </c>
      <c r="AE795" s="32" t="str">
        <f t="shared" si="62"/>
        <v>✓ OK</v>
      </c>
      <c r="AF795" s="33" t="s">
        <v>61</v>
      </c>
      <c r="AG795" s="33" t="s">
        <v>55</v>
      </c>
      <c r="AH795" s="33" t="s">
        <v>56</v>
      </c>
      <c r="AI795" s="33" t="s">
        <v>57</v>
      </c>
      <c r="AJ795" s="33" t="s">
        <v>58</v>
      </c>
      <c r="AK795" s="33" t="s">
        <v>56</v>
      </c>
      <c r="AL795" s="27"/>
      <c r="AM795" s="34" t="s">
        <v>57</v>
      </c>
      <c r="AN795" s="35" t="str">
        <f t="shared" si="63"/>
        <v>✓ OK</v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2914</v>
      </c>
      <c r="C796" s="41" t="s">
        <v>2915</v>
      </c>
      <c r="D796" s="39" t="s">
        <v>2301</v>
      </c>
      <c r="E796" s="42">
        <v>46132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42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70">
        <v>46248</v>
      </c>
      <c r="X796" s="30" t="s">
        <v>55</v>
      </c>
      <c r="Y796" s="30" t="s">
        <v>56</v>
      </c>
      <c r="Z796" s="30" t="s">
        <v>57</v>
      </c>
      <c r="AA796" s="30" t="s">
        <v>58</v>
      </c>
      <c r="AB796" s="30" t="s">
        <v>56</v>
      </c>
      <c r="AC796" s="27"/>
      <c r="AD796" s="31" t="s">
        <v>57</v>
      </c>
      <c r="AE796" s="32" t="str">
        <f t="shared" si="62"/>
        <v>✓ OK</v>
      </c>
      <c r="AF796" s="33" t="s">
        <v>61</v>
      </c>
      <c r="AG796" s="33" t="s">
        <v>55</v>
      </c>
      <c r="AH796" s="33" t="s">
        <v>56</v>
      </c>
      <c r="AI796" s="33" t="s">
        <v>57</v>
      </c>
      <c r="AJ796" s="33" t="s">
        <v>58</v>
      </c>
      <c r="AK796" s="33" t="s">
        <v>56</v>
      </c>
      <c r="AL796" s="27"/>
      <c r="AM796" s="34" t="s">
        <v>57</v>
      </c>
      <c r="AN796" s="35" t="str">
        <f t="shared" si="63"/>
        <v>✓ OK</v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2916</v>
      </c>
      <c r="C797" s="25" t="s">
        <v>2917</v>
      </c>
      <c r="D797" s="23" t="s">
        <v>2301</v>
      </c>
      <c r="E797" s="42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42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70">
        <v>46248</v>
      </c>
      <c r="X797" s="30" t="s">
        <v>55</v>
      </c>
      <c r="Y797" s="30" t="s">
        <v>56</v>
      </c>
      <c r="Z797" s="30" t="s">
        <v>57</v>
      </c>
      <c r="AA797" s="30" t="s">
        <v>58</v>
      </c>
      <c r="AB797" s="30" t="s">
        <v>56</v>
      </c>
      <c r="AC797" s="27"/>
      <c r="AD797" s="31" t="s">
        <v>57</v>
      </c>
      <c r="AE797" s="32" t="str">
        <f t="shared" si="62"/>
        <v>✓ OK</v>
      </c>
      <c r="AF797" s="33" t="s">
        <v>61</v>
      </c>
      <c r="AG797" s="33" t="s">
        <v>55</v>
      </c>
      <c r="AH797" s="33" t="s">
        <v>56</v>
      </c>
      <c r="AI797" s="33" t="s">
        <v>57</v>
      </c>
      <c r="AJ797" s="33" t="s">
        <v>58</v>
      </c>
      <c r="AK797" s="33" t="s">
        <v>56</v>
      </c>
      <c r="AL797" s="27"/>
      <c r="AM797" s="34" t="s">
        <v>57</v>
      </c>
      <c r="AN797" s="35" t="str">
        <f t="shared" si="63"/>
        <v>✓ OK</v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2918</v>
      </c>
      <c r="C798" s="41" t="s">
        <v>2919</v>
      </c>
      <c r="D798" s="39" t="s">
        <v>2301</v>
      </c>
      <c r="E798" s="42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42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70">
        <v>46248</v>
      </c>
      <c r="X798" s="30" t="s">
        <v>55</v>
      </c>
      <c r="Y798" s="30" t="s">
        <v>56</v>
      </c>
      <c r="Z798" s="30" t="s">
        <v>57</v>
      </c>
      <c r="AA798" s="30" t="s">
        <v>58</v>
      </c>
      <c r="AB798" s="30" t="s">
        <v>56</v>
      </c>
      <c r="AC798" s="27"/>
      <c r="AD798" s="31" t="s">
        <v>57</v>
      </c>
      <c r="AE798" s="32" t="str">
        <f t="shared" si="62"/>
        <v>✓ OK</v>
      </c>
      <c r="AF798" s="33" t="s">
        <v>61</v>
      </c>
      <c r="AG798" s="33" t="s">
        <v>55</v>
      </c>
      <c r="AH798" s="33" t="s">
        <v>56</v>
      </c>
      <c r="AI798" s="33" t="s">
        <v>57</v>
      </c>
      <c r="AJ798" s="33" t="s">
        <v>58</v>
      </c>
      <c r="AK798" s="33" t="s">
        <v>56</v>
      </c>
      <c r="AL798" s="27"/>
      <c r="AM798" s="34" t="s">
        <v>57</v>
      </c>
      <c r="AN798" s="35" t="str">
        <f t="shared" si="63"/>
        <v>✓ OK</v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2920</v>
      </c>
      <c r="C799" s="25" t="s">
        <v>2921</v>
      </c>
      <c r="D799" s="23" t="s">
        <v>2301</v>
      </c>
      <c r="E799" s="42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42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70">
        <v>46248</v>
      </c>
      <c r="X799" s="30" t="s">
        <v>55</v>
      </c>
      <c r="Y799" s="30" t="s">
        <v>56</v>
      </c>
      <c r="Z799" s="30" t="s">
        <v>57</v>
      </c>
      <c r="AA799" s="30" t="s">
        <v>58</v>
      </c>
      <c r="AB799" s="30" t="s">
        <v>56</v>
      </c>
      <c r="AC799" s="27"/>
      <c r="AD799" s="31" t="s">
        <v>57</v>
      </c>
      <c r="AE799" s="32" t="str">
        <f t="shared" si="62"/>
        <v>✓ OK</v>
      </c>
      <c r="AF799" s="33" t="s">
        <v>61</v>
      </c>
      <c r="AG799" s="33" t="s">
        <v>55</v>
      </c>
      <c r="AH799" s="33" t="s">
        <v>56</v>
      </c>
      <c r="AI799" s="33" t="s">
        <v>57</v>
      </c>
      <c r="AJ799" s="33" t="s">
        <v>58</v>
      </c>
      <c r="AK799" s="33" t="s">
        <v>56</v>
      </c>
      <c r="AL799" s="27"/>
      <c r="AM799" s="34" t="s">
        <v>57</v>
      </c>
      <c r="AN799" s="35" t="str">
        <f t="shared" si="63"/>
        <v>✓ OK</v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2922</v>
      </c>
      <c r="C800" s="41" t="s">
        <v>2923</v>
      </c>
      <c r="D800" s="39" t="s">
        <v>2301</v>
      </c>
      <c r="E800" s="42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42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70">
        <v>46248</v>
      </c>
      <c r="X800" s="30" t="s">
        <v>55</v>
      </c>
      <c r="Y800" s="30" t="s">
        <v>56</v>
      </c>
      <c r="Z800" s="30" t="s">
        <v>57</v>
      </c>
      <c r="AA800" s="30" t="s">
        <v>58</v>
      </c>
      <c r="AB800" s="30" t="s">
        <v>56</v>
      </c>
      <c r="AC800" s="27"/>
      <c r="AD800" s="31" t="s">
        <v>57</v>
      </c>
      <c r="AE800" s="32" t="str">
        <f t="shared" si="62"/>
        <v>✓ OK</v>
      </c>
      <c r="AF800" s="33" t="s">
        <v>61</v>
      </c>
      <c r="AG800" s="33" t="s">
        <v>55</v>
      </c>
      <c r="AH800" s="33" t="s">
        <v>56</v>
      </c>
      <c r="AI800" s="33" t="s">
        <v>57</v>
      </c>
      <c r="AJ800" s="33" t="s">
        <v>58</v>
      </c>
      <c r="AK800" s="33" t="s">
        <v>56</v>
      </c>
      <c r="AL800" s="27"/>
      <c r="AM800" s="34" t="s">
        <v>57</v>
      </c>
      <c r="AN800" s="35" t="str">
        <f t="shared" si="63"/>
        <v>✓ OK</v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2924</v>
      </c>
      <c r="C801" s="25" t="s">
        <v>2925</v>
      </c>
      <c r="D801" s="23" t="s">
        <v>2301</v>
      </c>
      <c r="E801" s="42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42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70">
        <v>46248</v>
      </c>
      <c r="X801" s="30" t="s">
        <v>55</v>
      </c>
      <c r="Y801" s="30" t="s">
        <v>56</v>
      </c>
      <c r="Z801" s="30" t="s">
        <v>57</v>
      </c>
      <c r="AA801" s="30" t="s">
        <v>58</v>
      </c>
      <c r="AB801" s="30" t="s">
        <v>56</v>
      </c>
      <c r="AC801" s="27"/>
      <c r="AD801" s="31" t="s">
        <v>57</v>
      </c>
      <c r="AE801" s="32" t="str">
        <f t="shared" si="62"/>
        <v>✓ OK</v>
      </c>
      <c r="AF801" s="33" t="s">
        <v>61</v>
      </c>
      <c r="AG801" s="33" t="s">
        <v>55</v>
      </c>
      <c r="AH801" s="33" t="s">
        <v>56</v>
      </c>
      <c r="AI801" s="33" t="s">
        <v>57</v>
      </c>
      <c r="AJ801" s="33" t="s">
        <v>58</v>
      </c>
      <c r="AK801" s="33" t="s">
        <v>56</v>
      </c>
      <c r="AL801" s="27"/>
      <c r="AM801" s="34" t="s">
        <v>57</v>
      </c>
      <c r="AN801" s="35" t="str">
        <f t="shared" si="63"/>
        <v>✓ OK</v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2926</v>
      </c>
      <c r="C802" s="41" t="s">
        <v>2927</v>
      </c>
      <c r="D802" s="39" t="s">
        <v>2301</v>
      </c>
      <c r="E802" s="42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42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70">
        <v>46248</v>
      </c>
      <c r="X802" s="30" t="s">
        <v>55</v>
      </c>
      <c r="Y802" s="30" t="s">
        <v>56</v>
      </c>
      <c r="Z802" s="30" t="s">
        <v>57</v>
      </c>
      <c r="AA802" s="30" t="s">
        <v>58</v>
      </c>
      <c r="AB802" s="30" t="s">
        <v>56</v>
      </c>
      <c r="AC802" s="27"/>
      <c r="AD802" s="31" t="s">
        <v>57</v>
      </c>
      <c r="AE802" s="32" t="str">
        <f t="shared" si="62"/>
        <v>✓ OK</v>
      </c>
      <c r="AF802" s="33" t="s">
        <v>61</v>
      </c>
      <c r="AG802" s="33" t="s">
        <v>55</v>
      </c>
      <c r="AH802" s="33" t="s">
        <v>56</v>
      </c>
      <c r="AI802" s="33" t="s">
        <v>57</v>
      </c>
      <c r="AJ802" s="33" t="s">
        <v>58</v>
      </c>
      <c r="AK802" s="33" t="s">
        <v>56</v>
      </c>
      <c r="AL802" s="27"/>
      <c r="AM802" s="34" t="s">
        <v>57</v>
      </c>
      <c r="AN802" s="35" t="str">
        <f t="shared" si="63"/>
        <v>✓ OK</v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2928</v>
      </c>
      <c r="C803" s="25" t="s">
        <v>2929</v>
      </c>
      <c r="D803" s="23" t="s">
        <v>2301</v>
      </c>
      <c r="E803" s="42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42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70">
        <v>46248</v>
      </c>
      <c r="X803" s="30" t="s">
        <v>55</v>
      </c>
      <c r="Y803" s="30" t="s">
        <v>56</v>
      </c>
      <c r="Z803" s="30" t="s">
        <v>57</v>
      </c>
      <c r="AA803" s="30" t="s">
        <v>58</v>
      </c>
      <c r="AB803" s="30" t="s">
        <v>56</v>
      </c>
      <c r="AC803" s="27"/>
      <c r="AD803" s="31" t="s">
        <v>57</v>
      </c>
      <c r="AE803" s="32" t="str">
        <f t="shared" si="62"/>
        <v>✓ OK</v>
      </c>
      <c r="AF803" s="33" t="s">
        <v>61</v>
      </c>
      <c r="AG803" s="33" t="s">
        <v>55</v>
      </c>
      <c r="AH803" s="33" t="s">
        <v>56</v>
      </c>
      <c r="AI803" s="33" t="s">
        <v>57</v>
      </c>
      <c r="AJ803" s="33" t="s">
        <v>58</v>
      </c>
      <c r="AK803" s="33" t="s">
        <v>56</v>
      </c>
      <c r="AL803" s="27"/>
      <c r="AM803" s="34" t="s">
        <v>57</v>
      </c>
      <c r="AN803" s="35" t="str">
        <f t="shared" si="63"/>
        <v>✓ OK</v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2930</v>
      </c>
      <c r="C804" s="41" t="s">
        <v>2931</v>
      </c>
      <c r="D804" s="39" t="s">
        <v>2301</v>
      </c>
      <c r="E804" s="42">
        <v>46132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42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70">
        <v>46248</v>
      </c>
      <c r="X804" s="30" t="s">
        <v>55</v>
      </c>
      <c r="Y804" s="30" t="s">
        <v>56</v>
      </c>
      <c r="Z804" s="30" t="s">
        <v>57</v>
      </c>
      <c r="AA804" s="30" t="s">
        <v>58</v>
      </c>
      <c r="AB804" s="30" t="s">
        <v>56</v>
      </c>
      <c r="AC804" s="27"/>
      <c r="AD804" s="31" t="s">
        <v>57</v>
      </c>
      <c r="AE804" s="32" t="str">
        <f t="shared" si="62"/>
        <v>✓ OK</v>
      </c>
      <c r="AF804" s="33" t="s">
        <v>61</v>
      </c>
      <c r="AG804" s="33" t="s">
        <v>55</v>
      </c>
      <c r="AH804" s="33" t="s">
        <v>56</v>
      </c>
      <c r="AI804" s="33" t="s">
        <v>57</v>
      </c>
      <c r="AJ804" s="33" t="s">
        <v>58</v>
      </c>
      <c r="AK804" s="33" t="s">
        <v>56</v>
      </c>
      <c r="AL804" s="27"/>
      <c r="AM804" s="34" t="s">
        <v>57</v>
      </c>
      <c r="AN804" s="35" t="str">
        <f t="shared" si="63"/>
        <v>✓ OK</v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2932</v>
      </c>
      <c r="C805" s="25" t="s">
        <v>2933</v>
      </c>
      <c r="D805" s="23" t="s">
        <v>2301</v>
      </c>
      <c r="E805" s="42">
        <v>46132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42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70">
        <v>46248</v>
      </c>
      <c r="X805" s="30" t="s">
        <v>55</v>
      </c>
      <c r="Y805" s="30" t="s">
        <v>56</v>
      </c>
      <c r="Z805" s="30" t="s">
        <v>57</v>
      </c>
      <c r="AA805" s="30" t="s">
        <v>58</v>
      </c>
      <c r="AB805" s="30" t="s">
        <v>56</v>
      </c>
      <c r="AC805" s="27"/>
      <c r="AD805" s="31" t="s">
        <v>57</v>
      </c>
      <c r="AE805" s="32" t="str">
        <f t="shared" si="62"/>
        <v>✓ OK</v>
      </c>
      <c r="AF805" s="33" t="s">
        <v>61</v>
      </c>
      <c r="AG805" s="33" t="s">
        <v>55</v>
      </c>
      <c r="AH805" s="33" t="s">
        <v>56</v>
      </c>
      <c r="AI805" s="33" t="s">
        <v>57</v>
      </c>
      <c r="AJ805" s="33" t="s">
        <v>58</v>
      </c>
      <c r="AK805" s="33" t="s">
        <v>56</v>
      </c>
      <c r="AL805" s="27"/>
      <c r="AM805" s="34" t="s">
        <v>57</v>
      </c>
      <c r="AN805" s="35" t="str">
        <f t="shared" si="63"/>
        <v>✓ OK</v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2934</v>
      </c>
      <c r="C806" s="41" t="s">
        <v>2935</v>
      </c>
      <c r="D806" s="39" t="s">
        <v>2301</v>
      </c>
      <c r="E806" s="42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42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70">
        <v>46248</v>
      </c>
      <c r="X806" s="30" t="s">
        <v>55</v>
      </c>
      <c r="Y806" s="30" t="s">
        <v>56</v>
      </c>
      <c r="Z806" s="30" t="s">
        <v>57</v>
      </c>
      <c r="AA806" s="30" t="s">
        <v>58</v>
      </c>
      <c r="AB806" s="30" t="s">
        <v>56</v>
      </c>
      <c r="AC806" s="27"/>
      <c r="AD806" s="31" t="s">
        <v>57</v>
      </c>
      <c r="AE806" s="32" t="str">
        <f t="shared" si="62"/>
        <v>✓ OK</v>
      </c>
      <c r="AF806" s="33" t="s">
        <v>61</v>
      </c>
      <c r="AG806" s="33" t="s">
        <v>55</v>
      </c>
      <c r="AH806" s="33" t="s">
        <v>56</v>
      </c>
      <c r="AI806" s="33" t="s">
        <v>57</v>
      </c>
      <c r="AJ806" s="33" t="s">
        <v>58</v>
      </c>
      <c r="AK806" s="33" t="s">
        <v>56</v>
      </c>
      <c r="AL806" s="27"/>
      <c r="AM806" s="34" t="s">
        <v>57</v>
      </c>
      <c r="AN806" s="35" t="str">
        <f t="shared" si="63"/>
        <v>✓ OK</v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2936</v>
      </c>
      <c r="C807" s="25" t="s">
        <v>2937</v>
      </c>
      <c r="D807" s="23" t="s">
        <v>2301</v>
      </c>
      <c r="E807" s="42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42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70">
        <v>46248</v>
      </c>
      <c r="X807" s="30" t="s">
        <v>55</v>
      </c>
      <c r="Y807" s="30" t="s">
        <v>56</v>
      </c>
      <c r="Z807" s="30" t="s">
        <v>57</v>
      </c>
      <c r="AA807" s="30" t="s">
        <v>58</v>
      </c>
      <c r="AB807" s="30" t="s">
        <v>56</v>
      </c>
      <c r="AC807" s="27"/>
      <c r="AD807" s="31" t="s">
        <v>57</v>
      </c>
      <c r="AE807" s="32" t="str">
        <f t="shared" si="62"/>
        <v>✓ OK</v>
      </c>
      <c r="AF807" s="33" t="s">
        <v>61</v>
      </c>
      <c r="AG807" s="33" t="s">
        <v>55</v>
      </c>
      <c r="AH807" s="33" t="s">
        <v>56</v>
      </c>
      <c r="AI807" s="33" t="s">
        <v>57</v>
      </c>
      <c r="AJ807" s="33" t="s">
        <v>58</v>
      </c>
      <c r="AK807" s="33" t="s">
        <v>56</v>
      </c>
      <c r="AL807" s="27"/>
      <c r="AM807" s="34" t="s">
        <v>57</v>
      </c>
      <c r="AN807" s="35" t="str">
        <f t="shared" si="63"/>
        <v>✓ OK</v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2938</v>
      </c>
      <c r="C808" s="41" t="s">
        <v>2939</v>
      </c>
      <c r="D808" s="39" t="s">
        <v>2301</v>
      </c>
      <c r="E808" s="42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42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70">
        <v>46248</v>
      </c>
      <c r="X808" s="30" t="s">
        <v>55</v>
      </c>
      <c r="Y808" s="30" t="s">
        <v>56</v>
      </c>
      <c r="Z808" s="30" t="s">
        <v>57</v>
      </c>
      <c r="AA808" s="30" t="s">
        <v>58</v>
      </c>
      <c r="AB808" s="30" t="s">
        <v>56</v>
      </c>
      <c r="AC808" s="27"/>
      <c r="AD808" s="31" t="s">
        <v>57</v>
      </c>
      <c r="AE808" s="32" t="str">
        <f t="shared" si="62"/>
        <v>✓ OK</v>
      </c>
      <c r="AF808" s="33" t="s">
        <v>61</v>
      </c>
      <c r="AG808" s="33" t="s">
        <v>55</v>
      </c>
      <c r="AH808" s="33" t="s">
        <v>56</v>
      </c>
      <c r="AI808" s="33" t="s">
        <v>57</v>
      </c>
      <c r="AJ808" s="33" t="s">
        <v>58</v>
      </c>
      <c r="AK808" s="33" t="s">
        <v>56</v>
      </c>
      <c r="AL808" s="27"/>
      <c r="AM808" s="34" t="s">
        <v>57</v>
      </c>
      <c r="AN808" s="35" t="str">
        <f t="shared" si="63"/>
        <v>✓ OK</v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2940</v>
      </c>
      <c r="C809" s="25" t="s">
        <v>2941</v>
      </c>
      <c r="D809" s="23" t="s">
        <v>2301</v>
      </c>
      <c r="E809" s="42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42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70">
        <v>46248</v>
      </c>
      <c r="X809" s="30" t="s">
        <v>55</v>
      </c>
      <c r="Y809" s="30" t="s">
        <v>56</v>
      </c>
      <c r="Z809" s="30" t="s">
        <v>57</v>
      </c>
      <c r="AA809" s="30" t="s">
        <v>58</v>
      </c>
      <c r="AB809" s="30" t="s">
        <v>56</v>
      </c>
      <c r="AC809" s="27"/>
      <c r="AD809" s="31" t="s">
        <v>57</v>
      </c>
      <c r="AE809" s="32" t="str">
        <f t="shared" si="62"/>
        <v>✓ OK</v>
      </c>
      <c r="AF809" s="33" t="s">
        <v>61</v>
      </c>
      <c r="AG809" s="33" t="s">
        <v>55</v>
      </c>
      <c r="AH809" s="33" t="s">
        <v>56</v>
      </c>
      <c r="AI809" s="33" t="s">
        <v>57</v>
      </c>
      <c r="AJ809" s="33" t="s">
        <v>58</v>
      </c>
      <c r="AK809" s="33" t="s">
        <v>56</v>
      </c>
      <c r="AL809" s="27"/>
      <c r="AM809" s="34" t="s">
        <v>57</v>
      </c>
      <c r="AN809" s="35" t="str">
        <f t="shared" si="63"/>
        <v>✓ OK</v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2942</v>
      </c>
      <c r="C810" s="41" t="s">
        <v>2943</v>
      </c>
      <c r="D810" s="39" t="s">
        <v>2301</v>
      </c>
      <c r="E810" s="42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42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70">
        <v>46248</v>
      </c>
      <c r="X810" s="30" t="s">
        <v>55</v>
      </c>
      <c r="Y810" s="30" t="s">
        <v>56</v>
      </c>
      <c r="Z810" s="30" t="s">
        <v>57</v>
      </c>
      <c r="AA810" s="30" t="s">
        <v>58</v>
      </c>
      <c r="AB810" s="30" t="s">
        <v>56</v>
      </c>
      <c r="AC810" s="27"/>
      <c r="AD810" s="31" t="s">
        <v>57</v>
      </c>
      <c r="AE810" s="32" t="str">
        <f t="shared" si="62"/>
        <v>✓ OK</v>
      </c>
      <c r="AF810" s="33" t="s">
        <v>61</v>
      </c>
      <c r="AG810" s="33" t="s">
        <v>55</v>
      </c>
      <c r="AH810" s="33" t="s">
        <v>56</v>
      </c>
      <c r="AI810" s="33" t="s">
        <v>57</v>
      </c>
      <c r="AJ810" s="33" t="s">
        <v>58</v>
      </c>
      <c r="AK810" s="33" t="s">
        <v>56</v>
      </c>
      <c r="AL810" s="27"/>
      <c r="AM810" s="34" t="s">
        <v>57</v>
      </c>
      <c r="AN810" s="35" t="str">
        <f t="shared" si="63"/>
        <v>✓ OK</v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2944</v>
      </c>
      <c r="C811" s="25" t="s">
        <v>2945</v>
      </c>
      <c r="D811" s="23" t="s">
        <v>2301</v>
      </c>
      <c r="E811" s="42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42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70">
        <v>46248</v>
      </c>
      <c r="X811" s="30" t="s">
        <v>55</v>
      </c>
      <c r="Y811" s="30" t="s">
        <v>56</v>
      </c>
      <c r="Z811" s="30" t="s">
        <v>57</v>
      </c>
      <c r="AA811" s="30" t="s">
        <v>58</v>
      </c>
      <c r="AB811" s="30" t="s">
        <v>56</v>
      </c>
      <c r="AC811" s="27"/>
      <c r="AD811" s="31" t="s">
        <v>57</v>
      </c>
      <c r="AE811" s="32" t="str">
        <f t="shared" si="62"/>
        <v>✓ OK</v>
      </c>
      <c r="AF811" s="33" t="s">
        <v>61</v>
      </c>
      <c r="AG811" s="33" t="s">
        <v>55</v>
      </c>
      <c r="AH811" s="33" t="s">
        <v>56</v>
      </c>
      <c r="AI811" s="33" t="s">
        <v>57</v>
      </c>
      <c r="AJ811" s="33" t="s">
        <v>58</v>
      </c>
      <c r="AK811" s="33" t="s">
        <v>56</v>
      </c>
      <c r="AL811" s="27"/>
      <c r="AM811" s="34" t="s">
        <v>57</v>
      </c>
      <c r="AN811" s="35" t="str">
        <f t="shared" si="63"/>
        <v>✓ OK</v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2946</v>
      </c>
      <c r="C812" s="41" t="s">
        <v>2947</v>
      </c>
      <c r="D812" s="39" t="s">
        <v>2301</v>
      </c>
      <c r="E812" s="42">
        <v>46129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42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70">
        <v>46248</v>
      </c>
      <c r="X812" s="30" t="s">
        <v>55</v>
      </c>
      <c r="Y812" s="30" t="s">
        <v>56</v>
      </c>
      <c r="Z812" s="30" t="s">
        <v>57</v>
      </c>
      <c r="AA812" s="30" t="s">
        <v>58</v>
      </c>
      <c r="AB812" s="30" t="s">
        <v>56</v>
      </c>
      <c r="AC812" s="27"/>
      <c r="AD812" s="31" t="s">
        <v>57</v>
      </c>
      <c r="AE812" s="32" t="str">
        <f t="shared" si="62"/>
        <v>✓ OK</v>
      </c>
      <c r="AF812" s="33" t="s">
        <v>61</v>
      </c>
      <c r="AG812" s="33" t="s">
        <v>55</v>
      </c>
      <c r="AH812" s="33" t="s">
        <v>56</v>
      </c>
      <c r="AI812" s="33" t="s">
        <v>57</v>
      </c>
      <c r="AJ812" s="33" t="s">
        <v>58</v>
      </c>
      <c r="AK812" s="33" t="s">
        <v>56</v>
      </c>
      <c r="AL812" s="27"/>
      <c r="AM812" s="34" t="s">
        <v>57</v>
      </c>
      <c r="AN812" s="35" t="str">
        <f t="shared" si="63"/>
        <v>✓ OK</v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2948</v>
      </c>
      <c r="C813" s="25" t="s">
        <v>2949</v>
      </c>
      <c r="D813" s="23" t="s">
        <v>2301</v>
      </c>
      <c r="E813" s="42">
        <v>46129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42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70">
        <v>46248</v>
      </c>
      <c r="X813" s="30" t="s">
        <v>55</v>
      </c>
      <c r="Y813" s="30" t="s">
        <v>56</v>
      </c>
      <c r="Z813" s="30" t="s">
        <v>57</v>
      </c>
      <c r="AA813" s="30" t="s">
        <v>58</v>
      </c>
      <c r="AB813" s="30" t="s">
        <v>56</v>
      </c>
      <c r="AC813" s="27"/>
      <c r="AD813" s="31" t="s">
        <v>57</v>
      </c>
      <c r="AE813" s="32" t="str">
        <f t="shared" si="62"/>
        <v>✓ OK</v>
      </c>
      <c r="AF813" s="33" t="s">
        <v>61</v>
      </c>
      <c r="AG813" s="33" t="s">
        <v>55</v>
      </c>
      <c r="AH813" s="33" t="s">
        <v>56</v>
      </c>
      <c r="AI813" s="33" t="s">
        <v>57</v>
      </c>
      <c r="AJ813" s="33" t="s">
        <v>58</v>
      </c>
      <c r="AK813" s="33" t="s">
        <v>56</v>
      </c>
      <c r="AL813" s="27"/>
      <c r="AM813" s="34" t="s">
        <v>57</v>
      </c>
      <c r="AN813" s="35" t="str">
        <f t="shared" si="63"/>
        <v>✓ OK</v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2950</v>
      </c>
      <c r="C814" s="41" t="s">
        <v>2951</v>
      </c>
      <c r="D814" s="39" t="s">
        <v>2301</v>
      </c>
      <c r="E814" s="42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42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70">
        <v>46248</v>
      </c>
      <c r="X814" s="30" t="s">
        <v>55</v>
      </c>
      <c r="Y814" s="30" t="s">
        <v>56</v>
      </c>
      <c r="Z814" s="30" t="s">
        <v>57</v>
      </c>
      <c r="AA814" s="30" t="s">
        <v>58</v>
      </c>
      <c r="AB814" s="30" t="s">
        <v>56</v>
      </c>
      <c r="AC814" s="27"/>
      <c r="AD814" s="31" t="s">
        <v>57</v>
      </c>
      <c r="AE814" s="32" t="str">
        <f t="shared" si="62"/>
        <v>✓ OK</v>
      </c>
      <c r="AF814" s="33" t="s">
        <v>61</v>
      </c>
      <c r="AG814" s="33" t="s">
        <v>55</v>
      </c>
      <c r="AH814" s="33" t="s">
        <v>56</v>
      </c>
      <c r="AI814" s="33" t="s">
        <v>57</v>
      </c>
      <c r="AJ814" s="33" t="s">
        <v>58</v>
      </c>
      <c r="AK814" s="33" t="s">
        <v>56</v>
      </c>
      <c r="AL814" s="27"/>
      <c r="AM814" s="34" t="s">
        <v>57</v>
      </c>
      <c r="AN814" s="35" t="str">
        <f t="shared" si="63"/>
        <v>✓ OK</v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2952</v>
      </c>
      <c r="C815" s="25" t="s">
        <v>2953</v>
      </c>
      <c r="D815" s="23" t="s">
        <v>2301</v>
      </c>
      <c r="E815" s="42">
        <v>46132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42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70">
        <v>46248</v>
      </c>
      <c r="X815" s="30" t="s">
        <v>55</v>
      </c>
      <c r="Y815" s="30" t="s">
        <v>56</v>
      </c>
      <c r="Z815" s="30" t="s">
        <v>57</v>
      </c>
      <c r="AA815" s="30" t="s">
        <v>58</v>
      </c>
      <c r="AB815" s="30" t="s">
        <v>56</v>
      </c>
      <c r="AC815" s="27"/>
      <c r="AD815" s="31" t="s">
        <v>57</v>
      </c>
      <c r="AE815" s="32" t="str">
        <f t="shared" si="62"/>
        <v>✓ OK</v>
      </c>
      <c r="AF815" s="33" t="s">
        <v>61</v>
      </c>
      <c r="AG815" s="33" t="s">
        <v>55</v>
      </c>
      <c r="AH815" s="33" t="s">
        <v>56</v>
      </c>
      <c r="AI815" s="33" t="s">
        <v>57</v>
      </c>
      <c r="AJ815" s="33" t="s">
        <v>58</v>
      </c>
      <c r="AK815" s="33" t="s">
        <v>56</v>
      </c>
      <c r="AL815" s="27"/>
      <c r="AM815" s="34" t="s">
        <v>57</v>
      </c>
      <c r="AN815" s="35" t="str">
        <f t="shared" si="63"/>
        <v>✓ OK</v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2954</v>
      </c>
      <c r="C816" s="41" t="s">
        <v>2955</v>
      </c>
      <c r="D816" s="39" t="s">
        <v>2301</v>
      </c>
      <c r="E816" s="42">
        <v>46132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42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70">
        <v>46248</v>
      </c>
      <c r="X816" s="30" t="s">
        <v>55</v>
      </c>
      <c r="Y816" s="30" t="s">
        <v>56</v>
      </c>
      <c r="Z816" s="30" t="s">
        <v>57</v>
      </c>
      <c r="AA816" s="30" t="s">
        <v>58</v>
      </c>
      <c r="AB816" s="30" t="s">
        <v>56</v>
      </c>
      <c r="AC816" s="27"/>
      <c r="AD816" s="31" t="s">
        <v>57</v>
      </c>
      <c r="AE816" s="32" t="str">
        <f t="shared" si="62"/>
        <v>✓ OK</v>
      </c>
      <c r="AF816" s="33" t="s">
        <v>61</v>
      </c>
      <c r="AG816" s="33" t="s">
        <v>55</v>
      </c>
      <c r="AH816" s="33" t="s">
        <v>56</v>
      </c>
      <c r="AI816" s="33" t="s">
        <v>57</v>
      </c>
      <c r="AJ816" s="33" t="s">
        <v>58</v>
      </c>
      <c r="AK816" s="33" t="s">
        <v>56</v>
      </c>
      <c r="AL816" s="27"/>
      <c r="AM816" s="34" t="s">
        <v>57</v>
      </c>
      <c r="AN816" s="35" t="str">
        <f t="shared" si="63"/>
        <v>✓ OK</v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2956</v>
      </c>
      <c r="C817" s="25" t="s">
        <v>2957</v>
      </c>
      <c r="D817" s="23" t="s">
        <v>2301</v>
      </c>
      <c r="E817" s="42">
        <v>46129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42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70">
        <v>46248</v>
      </c>
      <c r="X817" s="30" t="s">
        <v>55</v>
      </c>
      <c r="Y817" s="30" t="s">
        <v>56</v>
      </c>
      <c r="Z817" s="30" t="s">
        <v>57</v>
      </c>
      <c r="AA817" s="30" t="s">
        <v>58</v>
      </c>
      <c r="AB817" s="30" t="s">
        <v>56</v>
      </c>
      <c r="AC817" s="27"/>
      <c r="AD817" s="31" t="s">
        <v>57</v>
      </c>
      <c r="AE817" s="32" t="str">
        <f t="shared" si="62"/>
        <v>✓ OK</v>
      </c>
      <c r="AF817" s="33" t="s">
        <v>61</v>
      </c>
      <c r="AG817" s="33" t="s">
        <v>55</v>
      </c>
      <c r="AH817" s="33" t="s">
        <v>56</v>
      </c>
      <c r="AI817" s="33" t="s">
        <v>57</v>
      </c>
      <c r="AJ817" s="33" t="s">
        <v>58</v>
      </c>
      <c r="AK817" s="33" t="s">
        <v>56</v>
      </c>
      <c r="AL817" s="27"/>
      <c r="AM817" s="34" t="s">
        <v>57</v>
      </c>
      <c r="AN817" s="35" t="str">
        <f t="shared" si="63"/>
        <v>✓ OK</v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2958</v>
      </c>
      <c r="C818" s="41" t="s">
        <v>2959</v>
      </c>
      <c r="D818" s="39" t="s">
        <v>2301</v>
      </c>
      <c r="E818" s="42">
        <v>46129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42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70">
        <v>46248</v>
      </c>
      <c r="X818" s="30" t="s">
        <v>55</v>
      </c>
      <c r="Y818" s="30" t="s">
        <v>56</v>
      </c>
      <c r="Z818" s="30" t="s">
        <v>57</v>
      </c>
      <c r="AA818" s="30" t="s">
        <v>58</v>
      </c>
      <c r="AB818" s="30" t="s">
        <v>56</v>
      </c>
      <c r="AC818" s="27"/>
      <c r="AD818" s="31" t="s">
        <v>57</v>
      </c>
      <c r="AE818" s="32" t="str">
        <f t="shared" si="62"/>
        <v>✓ OK</v>
      </c>
      <c r="AF818" s="33" t="s">
        <v>61</v>
      </c>
      <c r="AG818" s="33" t="s">
        <v>55</v>
      </c>
      <c r="AH818" s="33" t="s">
        <v>56</v>
      </c>
      <c r="AI818" s="33" t="s">
        <v>57</v>
      </c>
      <c r="AJ818" s="33" t="s">
        <v>58</v>
      </c>
      <c r="AK818" s="33" t="s">
        <v>56</v>
      </c>
      <c r="AL818" s="27"/>
      <c r="AM818" s="34" t="s">
        <v>57</v>
      </c>
      <c r="AN818" s="35" t="str">
        <f t="shared" si="63"/>
        <v>✓ OK</v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2960</v>
      </c>
      <c r="C819" s="25" t="s">
        <v>2961</v>
      </c>
      <c r="D819" s="23" t="s">
        <v>2301</v>
      </c>
      <c r="E819" s="42">
        <v>46129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42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70">
        <v>46248</v>
      </c>
      <c r="X819" s="30" t="s">
        <v>55</v>
      </c>
      <c r="Y819" s="30" t="s">
        <v>56</v>
      </c>
      <c r="Z819" s="30" t="s">
        <v>57</v>
      </c>
      <c r="AA819" s="30" t="s">
        <v>58</v>
      </c>
      <c r="AB819" s="30" t="s">
        <v>56</v>
      </c>
      <c r="AC819" s="27"/>
      <c r="AD819" s="31" t="s">
        <v>57</v>
      </c>
      <c r="AE819" s="32" t="str">
        <f t="shared" si="62"/>
        <v>✓ OK</v>
      </c>
      <c r="AF819" s="33" t="s">
        <v>61</v>
      </c>
      <c r="AG819" s="33" t="s">
        <v>55</v>
      </c>
      <c r="AH819" s="33" t="s">
        <v>56</v>
      </c>
      <c r="AI819" s="33" t="s">
        <v>57</v>
      </c>
      <c r="AJ819" s="33" t="s">
        <v>58</v>
      </c>
      <c r="AK819" s="33" t="s">
        <v>56</v>
      </c>
      <c r="AL819" s="27"/>
      <c r="AM819" s="34" t="s">
        <v>57</v>
      </c>
      <c r="AN819" s="35" t="str">
        <f t="shared" si="63"/>
        <v>✓ OK</v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2962</v>
      </c>
      <c r="C820" s="41" t="s">
        <v>2963</v>
      </c>
      <c r="D820" s="39" t="s">
        <v>2301</v>
      </c>
      <c r="E820" s="42">
        <v>46129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42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70">
        <v>46248</v>
      </c>
      <c r="X820" s="30" t="s">
        <v>55</v>
      </c>
      <c r="Y820" s="30" t="s">
        <v>56</v>
      </c>
      <c r="Z820" s="30" t="s">
        <v>57</v>
      </c>
      <c r="AA820" s="30" t="s">
        <v>58</v>
      </c>
      <c r="AB820" s="30" t="s">
        <v>56</v>
      </c>
      <c r="AC820" s="27"/>
      <c r="AD820" s="31" t="s">
        <v>57</v>
      </c>
      <c r="AE820" s="32" t="str">
        <f t="shared" si="62"/>
        <v>✓ OK</v>
      </c>
      <c r="AF820" s="33" t="s">
        <v>61</v>
      </c>
      <c r="AG820" s="33" t="s">
        <v>55</v>
      </c>
      <c r="AH820" s="33" t="s">
        <v>56</v>
      </c>
      <c r="AI820" s="33" t="s">
        <v>57</v>
      </c>
      <c r="AJ820" s="33" t="s">
        <v>58</v>
      </c>
      <c r="AK820" s="33" t="s">
        <v>56</v>
      </c>
      <c r="AL820" s="27"/>
      <c r="AM820" s="34" t="s">
        <v>57</v>
      </c>
      <c r="AN820" s="35" t="str">
        <f t="shared" si="63"/>
        <v>✓ OK</v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2964</v>
      </c>
      <c r="C821" s="25" t="s">
        <v>2965</v>
      </c>
      <c r="D821" s="23" t="s">
        <v>2301</v>
      </c>
      <c r="E821" s="42">
        <v>46129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42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70">
        <v>46248</v>
      </c>
      <c r="X821" s="30" t="s">
        <v>55</v>
      </c>
      <c r="Y821" s="30" t="s">
        <v>56</v>
      </c>
      <c r="Z821" s="30" t="s">
        <v>57</v>
      </c>
      <c r="AA821" s="30" t="s">
        <v>58</v>
      </c>
      <c r="AB821" s="30" t="s">
        <v>56</v>
      </c>
      <c r="AC821" s="27"/>
      <c r="AD821" s="31" t="s">
        <v>57</v>
      </c>
      <c r="AE821" s="32" t="str">
        <f t="shared" si="62"/>
        <v>✓ OK</v>
      </c>
      <c r="AF821" s="33" t="s">
        <v>61</v>
      </c>
      <c r="AG821" s="33" t="s">
        <v>55</v>
      </c>
      <c r="AH821" s="33" t="s">
        <v>56</v>
      </c>
      <c r="AI821" s="33" t="s">
        <v>57</v>
      </c>
      <c r="AJ821" s="33" t="s">
        <v>58</v>
      </c>
      <c r="AK821" s="33" t="s">
        <v>56</v>
      </c>
      <c r="AL821" s="27"/>
      <c r="AM821" s="34" t="s">
        <v>57</v>
      </c>
      <c r="AN821" s="35" t="str">
        <f t="shared" si="63"/>
        <v>✓ OK</v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2966</v>
      </c>
      <c r="C822" s="41" t="s">
        <v>2967</v>
      </c>
      <c r="D822" s="39" t="s">
        <v>2301</v>
      </c>
      <c r="E822" s="42">
        <v>46129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42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70">
        <v>46248</v>
      </c>
      <c r="X822" s="30" t="s">
        <v>55</v>
      </c>
      <c r="Y822" s="30" t="s">
        <v>56</v>
      </c>
      <c r="Z822" s="30" t="s">
        <v>57</v>
      </c>
      <c r="AA822" s="30" t="s">
        <v>58</v>
      </c>
      <c r="AB822" s="30" t="s">
        <v>56</v>
      </c>
      <c r="AC822" s="27"/>
      <c r="AD822" s="31" t="s">
        <v>57</v>
      </c>
      <c r="AE822" s="32" t="str">
        <f t="shared" si="62"/>
        <v>✓ OK</v>
      </c>
      <c r="AF822" s="33" t="s">
        <v>61</v>
      </c>
      <c r="AG822" s="33" t="s">
        <v>55</v>
      </c>
      <c r="AH822" s="33" t="s">
        <v>56</v>
      </c>
      <c r="AI822" s="33" t="s">
        <v>57</v>
      </c>
      <c r="AJ822" s="33" t="s">
        <v>58</v>
      </c>
      <c r="AK822" s="33" t="s">
        <v>56</v>
      </c>
      <c r="AL822" s="27"/>
      <c r="AM822" s="34" t="s">
        <v>57</v>
      </c>
      <c r="AN822" s="35" t="str">
        <f t="shared" si="63"/>
        <v>✓ OK</v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2968</v>
      </c>
      <c r="C823" s="25" t="s">
        <v>2969</v>
      </c>
      <c r="D823" s="23" t="s">
        <v>2301</v>
      </c>
      <c r="E823" s="42">
        <v>46132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42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70">
        <v>46248</v>
      </c>
      <c r="X823" s="30" t="s">
        <v>55</v>
      </c>
      <c r="Y823" s="30" t="s">
        <v>56</v>
      </c>
      <c r="Z823" s="30" t="s">
        <v>57</v>
      </c>
      <c r="AA823" s="30" t="s">
        <v>58</v>
      </c>
      <c r="AB823" s="30" t="s">
        <v>56</v>
      </c>
      <c r="AC823" s="27"/>
      <c r="AD823" s="31" t="s">
        <v>57</v>
      </c>
      <c r="AE823" s="32" t="str">
        <f t="shared" si="62"/>
        <v>✓ OK</v>
      </c>
      <c r="AF823" s="33" t="s">
        <v>61</v>
      </c>
      <c r="AG823" s="33" t="s">
        <v>55</v>
      </c>
      <c r="AH823" s="33" t="s">
        <v>56</v>
      </c>
      <c r="AI823" s="33" t="s">
        <v>57</v>
      </c>
      <c r="AJ823" s="33" t="s">
        <v>58</v>
      </c>
      <c r="AK823" s="33" t="s">
        <v>56</v>
      </c>
      <c r="AL823" s="27"/>
      <c r="AM823" s="34" t="s">
        <v>57</v>
      </c>
      <c r="AN823" s="35" t="str">
        <f t="shared" si="63"/>
        <v>✓ OK</v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2970</v>
      </c>
      <c r="C824" s="41" t="s">
        <v>2971</v>
      </c>
      <c r="D824" s="39" t="s">
        <v>2301</v>
      </c>
      <c r="E824" s="42">
        <v>46132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42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70">
        <v>46248</v>
      </c>
      <c r="X824" s="30" t="s">
        <v>55</v>
      </c>
      <c r="Y824" s="30" t="s">
        <v>56</v>
      </c>
      <c r="Z824" s="30" t="s">
        <v>57</v>
      </c>
      <c r="AA824" s="30" t="s">
        <v>58</v>
      </c>
      <c r="AB824" s="30" t="s">
        <v>56</v>
      </c>
      <c r="AC824" s="27"/>
      <c r="AD824" s="31" t="s">
        <v>57</v>
      </c>
      <c r="AE824" s="32" t="str">
        <f t="shared" si="62"/>
        <v>✓ OK</v>
      </c>
      <c r="AF824" s="33" t="s">
        <v>61</v>
      </c>
      <c r="AG824" s="33" t="s">
        <v>55</v>
      </c>
      <c r="AH824" s="33" t="s">
        <v>56</v>
      </c>
      <c r="AI824" s="33" t="s">
        <v>57</v>
      </c>
      <c r="AJ824" s="33" t="s">
        <v>58</v>
      </c>
      <c r="AK824" s="33" t="s">
        <v>56</v>
      </c>
      <c r="AL824" s="27"/>
      <c r="AM824" s="34" t="s">
        <v>57</v>
      </c>
      <c r="AN824" s="35" t="str">
        <f t="shared" si="63"/>
        <v>✓ OK</v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2972</v>
      </c>
      <c r="C825" s="25" t="s">
        <v>2973</v>
      </c>
      <c r="D825" s="23" t="s">
        <v>2301</v>
      </c>
      <c r="E825" s="42">
        <v>46129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42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70">
        <v>46248</v>
      </c>
      <c r="X825" s="30" t="s">
        <v>55</v>
      </c>
      <c r="Y825" s="30" t="s">
        <v>56</v>
      </c>
      <c r="Z825" s="30" t="s">
        <v>57</v>
      </c>
      <c r="AA825" s="30" t="s">
        <v>58</v>
      </c>
      <c r="AB825" s="30" t="s">
        <v>56</v>
      </c>
      <c r="AC825" s="27"/>
      <c r="AD825" s="31" t="s">
        <v>57</v>
      </c>
      <c r="AE825" s="32" t="str">
        <f t="shared" si="62"/>
        <v>✓ OK</v>
      </c>
      <c r="AF825" s="33" t="s">
        <v>61</v>
      </c>
      <c r="AG825" s="33" t="s">
        <v>55</v>
      </c>
      <c r="AH825" s="33" t="s">
        <v>56</v>
      </c>
      <c r="AI825" s="33" t="s">
        <v>57</v>
      </c>
      <c r="AJ825" s="33" t="s">
        <v>58</v>
      </c>
      <c r="AK825" s="33" t="s">
        <v>56</v>
      </c>
      <c r="AL825" s="27"/>
      <c r="AM825" s="34" t="s">
        <v>57</v>
      </c>
      <c r="AN825" s="35" t="str">
        <f t="shared" si="63"/>
        <v>✓ OK</v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2974</v>
      </c>
      <c r="C826" s="41" t="s">
        <v>2975</v>
      </c>
      <c r="D826" s="39" t="s">
        <v>2301</v>
      </c>
      <c r="E826" s="42">
        <v>46129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42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70">
        <v>46248</v>
      </c>
      <c r="X826" s="30" t="s">
        <v>55</v>
      </c>
      <c r="Y826" s="30" t="s">
        <v>56</v>
      </c>
      <c r="Z826" s="30" t="s">
        <v>57</v>
      </c>
      <c r="AA826" s="30" t="s">
        <v>58</v>
      </c>
      <c r="AB826" s="30" t="s">
        <v>56</v>
      </c>
      <c r="AC826" s="27"/>
      <c r="AD826" s="31" t="s">
        <v>57</v>
      </c>
      <c r="AE826" s="32" t="str">
        <f t="shared" si="62"/>
        <v>✓ OK</v>
      </c>
      <c r="AF826" s="33" t="s">
        <v>61</v>
      </c>
      <c r="AG826" s="33" t="s">
        <v>55</v>
      </c>
      <c r="AH826" s="33" t="s">
        <v>56</v>
      </c>
      <c r="AI826" s="33" t="s">
        <v>57</v>
      </c>
      <c r="AJ826" s="33" t="s">
        <v>58</v>
      </c>
      <c r="AK826" s="33" t="s">
        <v>56</v>
      </c>
      <c r="AL826" s="27"/>
      <c r="AM826" s="34" t="s">
        <v>57</v>
      </c>
      <c r="AN826" s="35" t="str">
        <f t="shared" si="63"/>
        <v>✓ OK</v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2976</v>
      </c>
      <c r="C827" s="25" t="s">
        <v>2977</v>
      </c>
      <c r="D827" s="23" t="s">
        <v>2301</v>
      </c>
      <c r="E827" s="42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42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70">
        <v>46248</v>
      </c>
      <c r="X827" s="30" t="s">
        <v>55</v>
      </c>
      <c r="Y827" s="30" t="s">
        <v>56</v>
      </c>
      <c r="Z827" s="30" t="s">
        <v>57</v>
      </c>
      <c r="AA827" s="30" t="s">
        <v>58</v>
      </c>
      <c r="AB827" s="30" t="s">
        <v>56</v>
      </c>
      <c r="AC827" s="27"/>
      <c r="AD827" s="31" t="s">
        <v>57</v>
      </c>
      <c r="AE827" s="32" t="str">
        <f t="shared" si="62"/>
        <v>✓ OK</v>
      </c>
      <c r="AF827" s="33" t="s">
        <v>61</v>
      </c>
      <c r="AG827" s="33" t="s">
        <v>55</v>
      </c>
      <c r="AH827" s="33" t="s">
        <v>56</v>
      </c>
      <c r="AI827" s="33" t="s">
        <v>57</v>
      </c>
      <c r="AJ827" s="33" t="s">
        <v>58</v>
      </c>
      <c r="AK827" s="33" t="s">
        <v>56</v>
      </c>
      <c r="AL827" s="27"/>
      <c r="AM827" s="34" t="s">
        <v>57</v>
      </c>
      <c r="AN827" s="35" t="str">
        <f t="shared" si="63"/>
        <v>✓ OK</v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2978</v>
      </c>
      <c r="C828" s="41" t="s">
        <v>2979</v>
      </c>
      <c r="D828" s="39" t="s">
        <v>2301</v>
      </c>
      <c r="E828" s="42">
        <v>46129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42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70">
        <v>46248</v>
      </c>
      <c r="X828" s="30" t="s">
        <v>55</v>
      </c>
      <c r="Y828" s="30" t="s">
        <v>56</v>
      </c>
      <c r="Z828" s="30" t="s">
        <v>57</v>
      </c>
      <c r="AA828" s="30" t="s">
        <v>58</v>
      </c>
      <c r="AB828" s="30" t="s">
        <v>56</v>
      </c>
      <c r="AC828" s="27"/>
      <c r="AD828" s="31" t="s">
        <v>57</v>
      </c>
      <c r="AE828" s="32" t="str">
        <f t="shared" si="62"/>
        <v>✓ OK</v>
      </c>
      <c r="AF828" s="33" t="s">
        <v>61</v>
      </c>
      <c r="AG828" s="33" t="s">
        <v>55</v>
      </c>
      <c r="AH828" s="33" t="s">
        <v>56</v>
      </c>
      <c r="AI828" s="33" t="s">
        <v>57</v>
      </c>
      <c r="AJ828" s="33" t="s">
        <v>58</v>
      </c>
      <c r="AK828" s="33" t="s">
        <v>56</v>
      </c>
      <c r="AL828" s="27"/>
      <c r="AM828" s="34" t="s">
        <v>57</v>
      </c>
      <c r="AN828" s="35" t="str">
        <f t="shared" si="63"/>
        <v>✓ OK</v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2980</v>
      </c>
      <c r="C829" s="25" t="s">
        <v>2981</v>
      </c>
      <c r="D829" s="23" t="s">
        <v>2301</v>
      </c>
      <c r="E829" s="42">
        <v>46129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42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70">
        <v>46248</v>
      </c>
      <c r="X829" s="30" t="s">
        <v>55</v>
      </c>
      <c r="Y829" s="30" t="s">
        <v>56</v>
      </c>
      <c r="Z829" s="30" t="s">
        <v>57</v>
      </c>
      <c r="AA829" s="30" t="s">
        <v>58</v>
      </c>
      <c r="AB829" s="30" t="s">
        <v>56</v>
      </c>
      <c r="AC829" s="27"/>
      <c r="AD829" s="31" t="s">
        <v>57</v>
      </c>
      <c r="AE829" s="32" t="str">
        <f t="shared" si="62"/>
        <v>✓ OK</v>
      </c>
      <c r="AF829" s="33" t="s">
        <v>61</v>
      </c>
      <c r="AG829" s="33" t="s">
        <v>55</v>
      </c>
      <c r="AH829" s="33" t="s">
        <v>56</v>
      </c>
      <c r="AI829" s="33" t="s">
        <v>57</v>
      </c>
      <c r="AJ829" s="33" t="s">
        <v>58</v>
      </c>
      <c r="AK829" s="33" t="s">
        <v>56</v>
      </c>
      <c r="AL829" s="27"/>
      <c r="AM829" s="34" t="s">
        <v>57</v>
      </c>
      <c r="AN829" s="35" t="str">
        <f t="shared" si="63"/>
        <v>✓ OK</v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2982</v>
      </c>
      <c r="C830" s="41" t="s">
        <v>2983</v>
      </c>
      <c r="D830" s="39" t="s">
        <v>2301</v>
      </c>
      <c r="E830" s="42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42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70">
        <v>46248</v>
      </c>
      <c r="X830" s="30" t="s">
        <v>55</v>
      </c>
      <c r="Y830" s="30" t="s">
        <v>56</v>
      </c>
      <c r="Z830" s="30" t="s">
        <v>57</v>
      </c>
      <c r="AA830" s="30" t="s">
        <v>58</v>
      </c>
      <c r="AB830" s="30" t="s">
        <v>56</v>
      </c>
      <c r="AC830" s="27"/>
      <c r="AD830" s="31" t="s">
        <v>57</v>
      </c>
      <c r="AE830" s="32" t="str">
        <f t="shared" si="62"/>
        <v>✓ OK</v>
      </c>
      <c r="AF830" s="33" t="s">
        <v>61</v>
      </c>
      <c r="AG830" s="33" t="s">
        <v>55</v>
      </c>
      <c r="AH830" s="33" t="s">
        <v>56</v>
      </c>
      <c r="AI830" s="33" t="s">
        <v>57</v>
      </c>
      <c r="AJ830" s="33" t="s">
        <v>58</v>
      </c>
      <c r="AK830" s="33" t="s">
        <v>56</v>
      </c>
      <c r="AL830" s="27"/>
      <c r="AM830" s="34" t="s">
        <v>57</v>
      </c>
      <c r="AN830" s="35" t="str">
        <f t="shared" si="63"/>
        <v>✓ OK</v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2984</v>
      </c>
      <c r="C831" s="25" t="s">
        <v>2985</v>
      </c>
      <c r="D831" s="23" t="s">
        <v>2301</v>
      </c>
      <c r="E831" s="42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42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70">
        <v>46248</v>
      </c>
      <c r="X831" s="30" t="s">
        <v>55</v>
      </c>
      <c r="Y831" s="30" t="s">
        <v>56</v>
      </c>
      <c r="Z831" s="30" t="s">
        <v>57</v>
      </c>
      <c r="AA831" s="30" t="s">
        <v>58</v>
      </c>
      <c r="AB831" s="30" t="s">
        <v>56</v>
      </c>
      <c r="AC831" s="27"/>
      <c r="AD831" s="31" t="s">
        <v>57</v>
      </c>
      <c r="AE831" s="32" t="str">
        <f t="shared" si="62"/>
        <v>✓ OK</v>
      </c>
      <c r="AF831" s="33" t="s">
        <v>61</v>
      </c>
      <c r="AG831" s="33" t="s">
        <v>55</v>
      </c>
      <c r="AH831" s="33" t="s">
        <v>56</v>
      </c>
      <c r="AI831" s="33" t="s">
        <v>57</v>
      </c>
      <c r="AJ831" s="33" t="s">
        <v>58</v>
      </c>
      <c r="AK831" s="33" t="s">
        <v>56</v>
      </c>
      <c r="AL831" s="27"/>
      <c r="AM831" s="34" t="s">
        <v>57</v>
      </c>
      <c r="AN831" s="35" t="str">
        <f t="shared" si="63"/>
        <v>✓ OK</v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2986</v>
      </c>
      <c r="C832" s="41" t="s">
        <v>2987</v>
      </c>
      <c r="D832" s="39" t="s">
        <v>2301</v>
      </c>
      <c r="E832" s="42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42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70">
        <v>46248</v>
      </c>
      <c r="X832" s="30" t="s">
        <v>55</v>
      </c>
      <c r="Y832" s="30" t="s">
        <v>56</v>
      </c>
      <c r="Z832" s="30" t="s">
        <v>57</v>
      </c>
      <c r="AA832" s="30" t="s">
        <v>58</v>
      </c>
      <c r="AB832" s="30" t="s">
        <v>56</v>
      </c>
      <c r="AC832" s="27"/>
      <c r="AD832" s="31" t="s">
        <v>57</v>
      </c>
      <c r="AE832" s="32" t="str">
        <f t="shared" si="62"/>
        <v>✓ OK</v>
      </c>
      <c r="AF832" s="33" t="s">
        <v>61</v>
      </c>
      <c r="AG832" s="33" t="s">
        <v>55</v>
      </c>
      <c r="AH832" s="33" t="s">
        <v>56</v>
      </c>
      <c r="AI832" s="33" t="s">
        <v>57</v>
      </c>
      <c r="AJ832" s="33" t="s">
        <v>58</v>
      </c>
      <c r="AK832" s="33" t="s">
        <v>56</v>
      </c>
      <c r="AL832" s="27"/>
      <c r="AM832" s="34" t="s">
        <v>57</v>
      </c>
      <c r="AN832" s="35" t="str">
        <f t="shared" si="63"/>
        <v>✓ OK</v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2988</v>
      </c>
      <c r="C833" s="25" t="s">
        <v>2989</v>
      </c>
      <c r="D833" s="23" t="s">
        <v>2301</v>
      </c>
      <c r="E833" s="42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42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70">
        <v>46248</v>
      </c>
      <c r="X833" s="30" t="s">
        <v>55</v>
      </c>
      <c r="Y833" s="30" t="s">
        <v>56</v>
      </c>
      <c r="Z833" s="30" t="s">
        <v>57</v>
      </c>
      <c r="AA833" s="30" t="s">
        <v>58</v>
      </c>
      <c r="AB833" s="30" t="s">
        <v>56</v>
      </c>
      <c r="AC833" s="27"/>
      <c r="AD833" s="31" t="s">
        <v>57</v>
      </c>
      <c r="AE833" s="32" t="str">
        <f t="shared" si="62"/>
        <v>✓ OK</v>
      </c>
      <c r="AF833" s="33" t="s">
        <v>61</v>
      </c>
      <c r="AG833" s="33" t="s">
        <v>55</v>
      </c>
      <c r="AH833" s="33" t="s">
        <v>56</v>
      </c>
      <c r="AI833" s="33" t="s">
        <v>57</v>
      </c>
      <c r="AJ833" s="33" t="s">
        <v>58</v>
      </c>
      <c r="AK833" s="33" t="s">
        <v>56</v>
      </c>
      <c r="AL833" s="27"/>
      <c r="AM833" s="34" t="s">
        <v>57</v>
      </c>
      <c r="AN833" s="35" t="str">
        <f t="shared" si="63"/>
        <v>✓ OK</v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2990</v>
      </c>
      <c r="C834" s="41" t="s">
        <v>2991</v>
      </c>
      <c r="D834" s="39" t="s">
        <v>2301</v>
      </c>
      <c r="E834" s="42">
        <v>46132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42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70">
        <v>46248</v>
      </c>
      <c r="X834" s="30" t="s">
        <v>55</v>
      </c>
      <c r="Y834" s="30" t="s">
        <v>56</v>
      </c>
      <c r="Z834" s="30" t="s">
        <v>57</v>
      </c>
      <c r="AA834" s="30" t="s">
        <v>58</v>
      </c>
      <c r="AB834" s="30" t="s">
        <v>56</v>
      </c>
      <c r="AC834" s="27"/>
      <c r="AD834" s="31" t="s">
        <v>57</v>
      </c>
      <c r="AE834" s="32" t="str">
        <f t="shared" si="62"/>
        <v>✓ OK</v>
      </c>
      <c r="AF834" s="33" t="s">
        <v>61</v>
      </c>
      <c r="AG834" s="33" t="s">
        <v>55</v>
      </c>
      <c r="AH834" s="33" t="s">
        <v>56</v>
      </c>
      <c r="AI834" s="33" t="s">
        <v>57</v>
      </c>
      <c r="AJ834" s="33" t="s">
        <v>58</v>
      </c>
      <c r="AK834" s="33" t="s">
        <v>56</v>
      </c>
      <c r="AL834" s="27"/>
      <c r="AM834" s="34" t="s">
        <v>57</v>
      </c>
      <c r="AN834" s="35" t="str">
        <f t="shared" si="63"/>
        <v>✓ OK</v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2992</v>
      </c>
      <c r="C835" s="25" t="s">
        <v>2993</v>
      </c>
      <c r="D835" s="23" t="s">
        <v>2301</v>
      </c>
      <c r="E835" s="42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42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70">
        <v>46248</v>
      </c>
      <c r="X835" s="30" t="s">
        <v>55</v>
      </c>
      <c r="Y835" s="30" t="s">
        <v>56</v>
      </c>
      <c r="Z835" s="30" t="s">
        <v>57</v>
      </c>
      <c r="AA835" s="30" t="s">
        <v>58</v>
      </c>
      <c r="AB835" s="30" t="s">
        <v>56</v>
      </c>
      <c r="AC835" s="27"/>
      <c r="AD835" s="31" t="s">
        <v>57</v>
      </c>
      <c r="AE835" s="32" t="str">
        <f t="shared" si="62"/>
        <v>✓ OK</v>
      </c>
      <c r="AF835" s="33" t="s">
        <v>61</v>
      </c>
      <c r="AG835" s="33" t="s">
        <v>55</v>
      </c>
      <c r="AH835" s="33" t="s">
        <v>56</v>
      </c>
      <c r="AI835" s="33" t="s">
        <v>57</v>
      </c>
      <c r="AJ835" s="33" t="s">
        <v>58</v>
      </c>
      <c r="AK835" s="33" t="s">
        <v>56</v>
      </c>
      <c r="AL835" s="27"/>
      <c r="AM835" s="34" t="s">
        <v>57</v>
      </c>
      <c r="AN835" s="35" t="str">
        <f t="shared" si="63"/>
        <v>✓ OK</v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2994</v>
      </c>
      <c r="C836" s="41" t="s">
        <v>2995</v>
      </c>
      <c r="D836" s="39" t="s">
        <v>2301</v>
      </c>
      <c r="E836" s="42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42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70">
        <v>46248</v>
      </c>
      <c r="X836" s="30" t="s">
        <v>55</v>
      </c>
      <c r="Y836" s="30" t="s">
        <v>56</v>
      </c>
      <c r="Z836" s="30" t="s">
        <v>57</v>
      </c>
      <c r="AA836" s="30" t="s">
        <v>58</v>
      </c>
      <c r="AB836" s="30" t="s">
        <v>56</v>
      </c>
      <c r="AC836" s="27"/>
      <c r="AD836" s="31" t="s">
        <v>57</v>
      </c>
      <c r="AE836" s="32" t="str">
        <f t="shared" si="62"/>
        <v>✓ OK</v>
      </c>
      <c r="AF836" s="33" t="s">
        <v>61</v>
      </c>
      <c r="AG836" s="33" t="s">
        <v>55</v>
      </c>
      <c r="AH836" s="33" t="s">
        <v>56</v>
      </c>
      <c r="AI836" s="33" t="s">
        <v>57</v>
      </c>
      <c r="AJ836" s="33" t="s">
        <v>58</v>
      </c>
      <c r="AK836" s="33" t="s">
        <v>56</v>
      </c>
      <c r="AL836" s="27"/>
      <c r="AM836" s="34" t="s">
        <v>57</v>
      </c>
      <c r="AN836" s="35" t="str">
        <f t="shared" si="63"/>
        <v>✓ OK</v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2996</v>
      </c>
      <c r="C837" s="25" t="s">
        <v>2997</v>
      </c>
      <c r="D837" s="23" t="s">
        <v>2301</v>
      </c>
      <c r="E837" s="42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42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70">
        <v>46248</v>
      </c>
      <c r="X837" s="30" t="s">
        <v>55</v>
      </c>
      <c r="Y837" s="30" t="s">
        <v>56</v>
      </c>
      <c r="Z837" s="30" t="s">
        <v>57</v>
      </c>
      <c r="AA837" s="30" t="s">
        <v>58</v>
      </c>
      <c r="AB837" s="30" t="s">
        <v>56</v>
      </c>
      <c r="AC837" s="27"/>
      <c r="AD837" s="31" t="s">
        <v>57</v>
      </c>
      <c r="AE837" s="32" t="str">
        <f t="shared" ref="AE837:AE900" si="67">IF(W837="","",IF(Z837="Yes","❌ Disc",IF(Y837="No","⚠ Missing",IF(AB837="Yes","✓ OK","⚠ Check"))))</f>
        <v>✓ OK</v>
      </c>
      <c r="AF837" s="33" t="s">
        <v>61</v>
      </c>
      <c r="AG837" s="33" t="s">
        <v>55</v>
      </c>
      <c r="AH837" s="33" t="s">
        <v>56</v>
      </c>
      <c r="AI837" s="33" t="s">
        <v>57</v>
      </c>
      <c r="AJ837" s="33" t="s">
        <v>58</v>
      </c>
      <c r="AK837" s="33" t="s">
        <v>56</v>
      </c>
      <c r="AL837" s="27"/>
      <c r="AM837" s="34" t="s">
        <v>57</v>
      </c>
      <c r="AN837" s="35" t="str">
        <f t="shared" ref="AN837:AN900" si="68">IF(AF837="","",IF(AI837="Yes","❌ Disc",IF(AH837="No","⚠ Missing",IF(AK837="Yes","✓ OK","⚠ Check"))))</f>
        <v>✓ OK</v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2998</v>
      </c>
      <c r="C838" s="41" t="s">
        <v>2999</v>
      </c>
      <c r="D838" s="39" t="s">
        <v>2301</v>
      </c>
      <c r="E838" s="42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42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70">
        <v>46248</v>
      </c>
      <c r="X838" s="30" t="s">
        <v>55</v>
      </c>
      <c r="Y838" s="30" t="s">
        <v>56</v>
      </c>
      <c r="Z838" s="30" t="s">
        <v>57</v>
      </c>
      <c r="AA838" s="30" t="s">
        <v>58</v>
      </c>
      <c r="AB838" s="30" t="s">
        <v>56</v>
      </c>
      <c r="AC838" s="27"/>
      <c r="AD838" s="31" t="s">
        <v>57</v>
      </c>
      <c r="AE838" s="32" t="str">
        <f t="shared" si="67"/>
        <v>✓ OK</v>
      </c>
      <c r="AF838" s="33" t="s">
        <v>61</v>
      </c>
      <c r="AG838" s="33" t="s">
        <v>55</v>
      </c>
      <c r="AH838" s="33" t="s">
        <v>56</v>
      </c>
      <c r="AI838" s="33" t="s">
        <v>57</v>
      </c>
      <c r="AJ838" s="33" t="s">
        <v>58</v>
      </c>
      <c r="AK838" s="33" t="s">
        <v>56</v>
      </c>
      <c r="AL838" s="27"/>
      <c r="AM838" s="34" t="s">
        <v>57</v>
      </c>
      <c r="AN838" s="35" t="str">
        <f t="shared" si="68"/>
        <v>✓ OK</v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3000</v>
      </c>
      <c r="C839" s="25" t="s">
        <v>3001</v>
      </c>
      <c r="D839" s="23" t="s">
        <v>2301</v>
      </c>
      <c r="E839" s="42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42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70">
        <v>46248</v>
      </c>
      <c r="X839" s="30" t="s">
        <v>55</v>
      </c>
      <c r="Y839" s="30" t="s">
        <v>56</v>
      </c>
      <c r="Z839" s="30" t="s">
        <v>57</v>
      </c>
      <c r="AA839" s="30" t="s">
        <v>58</v>
      </c>
      <c r="AB839" s="30" t="s">
        <v>56</v>
      </c>
      <c r="AC839" s="27"/>
      <c r="AD839" s="31" t="s">
        <v>57</v>
      </c>
      <c r="AE839" s="32" t="str">
        <f t="shared" si="67"/>
        <v>✓ OK</v>
      </c>
      <c r="AF839" s="33" t="s">
        <v>61</v>
      </c>
      <c r="AG839" s="33" t="s">
        <v>55</v>
      </c>
      <c r="AH839" s="33" t="s">
        <v>56</v>
      </c>
      <c r="AI839" s="33" t="s">
        <v>57</v>
      </c>
      <c r="AJ839" s="33" t="s">
        <v>58</v>
      </c>
      <c r="AK839" s="33" t="s">
        <v>56</v>
      </c>
      <c r="AL839" s="27"/>
      <c r="AM839" s="34" t="s">
        <v>57</v>
      </c>
      <c r="AN839" s="35" t="str">
        <f t="shared" si="68"/>
        <v>✓ OK</v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3002</v>
      </c>
      <c r="C840" s="41" t="s">
        <v>3003</v>
      </c>
      <c r="D840" s="39" t="s">
        <v>2301</v>
      </c>
      <c r="E840" s="42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42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70">
        <v>46248</v>
      </c>
      <c r="X840" s="30" t="s">
        <v>55</v>
      </c>
      <c r="Y840" s="30" t="s">
        <v>56</v>
      </c>
      <c r="Z840" s="30" t="s">
        <v>57</v>
      </c>
      <c r="AA840" s="30" t="s">
        <v>58</v>
      </c>
      <c r="AB840" s="30" t="s">
        <v>56</v>
      </c>
      <c r="AC840" s="27"/>
      <c r="AD840" s="31" t="s">
        <v>57</v>
      </c>
      <c r="AE840" s="32" t="str">
        <f t="shared" si="67"/>
        <v>✓ OK</v>
      </c>
      <c r="AF840" s="33" t="s">
        <v>61</v>
      </c>
      <c r="AG840" s="33" t="s">
        <v>55</v>
      </c>
      <c r="AH840" s="33" t="s">
        <v>56</v>
      </c>
      <c r="AI840" s="33" t="s">
        <v>57</v>
      </c>
      <c r="AJ840" s="33" t="s">
        <v>58</v>
      </c>
      <c r="AK840" s="33" t="s">
        <v>56</v>
      </c>
      <c r="AL840" s="27"/>
      <c r="AM840" s="34" t="s">
        <v>57</v>
      </c>
      <c r="AN840" s="35" t="str">
        <f t="shared" si="68"/>
        <v>✓ OK</v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3004</v>
      </c>
      <c r="C841" s="25" t="s">
        <v>3005</v>
      </c>
      <c r="D841" s="23" t="s">
        <v>2301</v>
      </c>
      <c r="E841" s="42">
        <v>46132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42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70">
        <v>46248</v>
      </c>
      <c r="X841" s="30" t="s">
        <v>55</v>
      </c>
      <c r="Y841" s="30" t="s">
        <v>56</v>
      </c>
      <c r="Z841" s="30" t="s">
        <v>57</v>
      </c>
      <c r="AA841" s="30" t="s">
        <v>58</v>
      </c>
      <c r="AB841" s="30" t="s">
        <v>56</v>
      </c>
      <c r="AC841" s="27"/>
      <c r="AD841" s="31" t="s">
        <v>57</v>
      </c>
      <c r="AE841" s="32" t="str">
        <f t="shared" si="67"/>
        <v>✓ OK</v>
      </c>
      <c r="AF841" s="33" t="s">
        <v>61</v>
      </c>
      <c r="AG841" s="33" t="s">
        <v>55</v>
      </c>
      <c r="AH841" s="33" t="s">
        <v>56</v>
      </c>
      <c r="AI841" s="33" t="s">
        <v>57</v>
      </c>
      <c r="AJ841" s="33" t="s">
        <v>58</v>
      </c>
      <c r="AK841" s="33" t="s">
        <v>56</v>
      </c>
      <c r="AL841" s="27"/>
      <c r="AM841" s="34" t="s">
        <v>57</v>
      </c>
      <c r="AN841" s="35" t="str">
        <f t="shared" si="68"/>
        <v>✓ OK</v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3006</v>
      </c>
      <c r="C842" s="41" t="s">
        <v>3007</v>
      </c>
      <c r="D842" s="39" t="s">
        <v>2301</v>
      </c>
      <c r="E842" s="42">
        <v>46132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42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70">
        <v>46248</v>
      </c>
      <c r="X842" s="30" t="s">
        <v>55</v>
      </c>
      <c r="Y842" s="30" t="s">
        <v>56</v>
      </c>
      <c r="Z842" s="30" t="s">
        <v>57</v>
      </c>
      <c r="AA842" s="30" t="s">
        <v>58</v>
      </c>
      <c r="AB842" s="30" t="s">
        <v>56</v>
      </c>
      <c r="AC842" s="27"/>
      <c r="AD842" s="31" t="s">
        <v>57</v>
      </c>
      <c r="AE842" s="32" t="str">
        <f t="shared" si="67"/>
        <v>✓ OK</v>
      </c>
      <c r="AF842" s="33" t="s">
        <v>61</v>
      </c>
      <c r="AG842" s="33" t="s">
        <v>55</v>
      </c>
      <c r="AH842" s="33" t="s">
        <v>56</v>
      </c>
      <c r="AI842" s="33" t="s">
        <v>57</v>
      </c>
      <c r="AJ842" s="33" t="s">
        <v>58</v>
      </c>
      <c r="AK842" s="33" t="s">
        <v>56</v>
      </c>
      <c r="AL842" s="27"/>
      <c r="AM842" s="34" t="s">
        <v>57</v>
      </c>
      <c r="AN842" s="35" t="str">
        <f t="shared" si="68"/>
        <v>✓ OK</v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3008</v>
      </c>
      <c r="C843" s="25" t="s">
        <v>3009</v>
      </c>
      <c r="D843" s="23" t="s">
        <v>2301</v>
      </c>
      <c r="E843" s="42">
        <v>46132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42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70">
        <v>46248</v>
      </c>
      <c r="X843" s="30" t="s">
        <v>55</v>
      </c>
      <c r="Y843" s="30" t="s">
        <v>56</v>
      </c>
      <c r="Z843" s="30" t="s">
        <v>57</v>
      </c>
      <c r="AA843" s="30" t="s">
        <v>58</v>
      </c>
      <c r="AB843" s="30" t="s">
        <v>56</v>
      </c>
      <c r="AC843" s="27"/>
      <c r="AD843" s="31" t="s">
        <v>57</v>
      </c>
      <c r="AE843" s="32" t="str">
        <f t="shared" si="67"/>
        <v>✓ OK</v>
      </c>
      <c r="AF843" s="33" t="s">
        <v>61</v>
      </c>
      <c r="AG843" s="33" t="s">
        <v>55</v>
      </c>
      <c r="AH843" s="33" t="s">
        <v>56</v>
      </c>
      <c r="AI843" s="33" t="s">
        <v>57</v>
      </c>
      <c r="AJ843" s="33" t="s">
        <v>58</v>
      </c>
      <c r="AK843" s="33" t="s">
        <v>56</v>
      </c>
      <c r="AL843" s="27"/>
      <c r="AM843" s="34" t="s">
        <v>57</v>
      </c>
      <c r="AN843" s="35" t="str">
        <f t="shared" si="68"/>
        <v>✓ OK</v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3010</v>
      </c>
      <c r="C844" s="41" t="s">
        <v>3011</v>
      </c>
      <c r="D844" s="39" t="s">
        <v>2301</v>
      </c>
      <c r="E844" s="42">
        <v>46132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42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70">
        <v>46248</v>
      </c>
      <c r="X844" s="30" t="s">
        <v>55</v>
      </c>
      <c r="Y844" s="30" t="s">
        <v>56</v>
      </c>
      <c r="Z844" s="30" t="s">
        <v>57</v>
      </c>
      <c r="AA844" s="30" t="s">
        <v>58</v>
      </c>
      <c r="AB844" s="30" t="s">
        <v>56</v>
      </c>
      <c r="AC844" s="27"/>
      <c r="AD844" s="31" t="s">
        <v>57</v>
      </c>
      <c r="AE844" s="32" t="str">
        <f t="shared" si="67"/>
        <v>✓ OK</v>
      </c>
      <c r="AF844" s="33" t="s">
        <v>61</v>
      </c>
      <c r="AG844" s="33" t="s">
        <v>55</v>
      </c>
      <c r="AH844" s="33" t="s">
        <v>56</v>
      </c>
      <c r="AI844" s="33" t="s">
        <v>57</v>
      </c>
      <c r="AJ844" s="33" t="s">
        <v>58</v>
      </c>
      <c r="AK844" s="33" t="s">
        <v>56</v>
      </c>
      <c r="AL844" s="27"/>
      <c r="AM844" s="34" t="s">
        <v>57</v>
      </c>
      <c r="AN844" s="35" t="str">
        <f t="shared" si="68"/>
        <v>✓ OK</v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3012</v>
      </c>
      <c r="C845" s="25" t="s">
        <v>3013</v>
      </c>
      <c r="D845" s="23" t="s">
        <v>2301</v>
      </c>
      <c r="E845" s="42">
        <v>46129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42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70">
        <v>46248</v>
      </c>
      <c r="X845" s="30" t="s">
        <v>55</v>
      </c>
      <c r="Y845" s="30" t="s">
        <v>56</v>
      </c>
      <c r="Z845" s="30" t="s">
        <v>57</v>
      </c>
      <c r="AA845" s="30" t="s">
        <v>58</v>
      </c>
      <c r="AB845" s="30" t="s">
        <v>56</v>
      </c>
      <c r="AC845" s="27"/>
      <c r="AD845" s="31" t="s">
        <v>57</v>
      </c>
      <c r="AE845" s="32" t="str">
        <f t="shared" si="67"/>
        <v>✓ OK</v>
      </c>
      <c r="AF845" s="33" t="s">
        <v>61</v>
      </c>
      <c r="AG845" s="33" t="s">
        <v>55</v>
      </c>
      <c r="AH845" s="33" t="s">
        <v>56</v>
      </c>
      <c r="AI845" s="33" t="s">
        <v>57</v>
      </c>
      <c r="AJ845" s="33" t="s">
        <v>58</v>
      </c>
      <c r="AK845" s="33" t="s">
        <v>56</v>
      </c>
      <c r="AL845" s="27"/>
      <c r="AM845" s="34" t="s">
        <v>57</v>
      </c>
      <c r="AN845" s="35" t="str">
        <f t="shared" si="68"/>
        <v>✓ OK</v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3014</v>
      </c>
      <c r="C846" s="41" t="s">
        <v>3015</v>
      </c>
      <c r="D846" s="39" t="s">
        <v>2301</v>
      </c>
      <c r="E846" s="42">
        <v>46129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42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70">
        <v>46248</v>
      </c>
      <c r="X846" s="30" t="s">
        <v>55</v>
      </c>
      <c r="Y846" s="30" t="s">
        <v>56</v>
      </c>
      <c r="Z846" s="30" t="s">
        <v>57</v>
      </c>
      <c r="AA846" s="30" t="s">
        <v>58</v>
      </c>
      <c r="AB846" s="30" t="s">
        <v>56</v>
      </c>
      <c r="AC846" s="27"/>
      <c r="AD846" s="31" t="s">
        <v>57</v>
      </c>
      <c r="AE846" s="32" t="str">
        <f t="shared" si="67"/>
        <v>✓ OK</v>
      </c>
      <c r="AF846" s="33" t="s">
        <v>61</v>
      </c>
      <c r="AG846" s="33" t="s">
        <v>55</v>
      </c>
      <c r="AH846" s="33" t="s">
        <v>56</v>
      </c>
      <c r="AI846" s="33" t="s">
        <v>57</v>
      </c>
      <c r="AJ846" s="33" t="s">
        <v>58</v>
      </c>
      <c r="AK846" s="33" t="s">
        <v>56</v>
      </c>
      <c r="AL846" s="27"/>
      <c r="AM846" s="34" t="s">
        <v>57</v>
      </c>
      <c r="AN846" s="35" t="str">
        <f t="shared" si="68"/>
        <v>✓ OK</v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3016</v>
      </c>
      <c r="C847" s="25" t="s">
        <v>3017</v>
      </c>
      <c r="D847" s="23" t="s">
        <v>2301</v>
      </c>
      <c r="E847" s="42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42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70">
        <v>46248</v>
      </c>
      <c r="X847" s="30" t="s">
        <v>55</v>
      </c>
      <c r="Y847" s="30" t="s">
        <v>56</v>
      </c>
      <c r="Z847" s="30" t="s">
        <v>57</v>
      </c>
      <c r="AA847" s="30" t="s">
        <v>58</v>
      </c>
      <c r="AB847" s="30" t="s">
        <v>56</v>
      </c>
      <c r="AC847" s="27"/>
      <c r="AD847" s="31" t="s">
        <v>57</v>
      </c>
      <c r="AE847" s="32" t="str">
        <f t="shared" si="67"/>
        <v>✓ OK</v>
      </c>
      <c r="AF847" s="33" t="s">
        <v>61</v>
      </c>
      <c r="AG847" s="33" t="s">
        <v>55</v>
      </c>
      <c r="AH847" s="33" t="s">
        <v>56</v>
      </c>
      <c r="AI847" s="33" t="s">
        <v>57</v>
      </c>
      <c r="AJ847" s="33" t="s">
        <v>58</v>
      </c>
      <c r="AK847" s="33" t="s">
        <v>56</v>
      </c>
      <c r="AL847" s="27"/>
      <c r="AM847" s="34" t="s">
        <v>57</v>
      </c>
      <c r="AN847" s="35" t="str">
        <f t="shared" si="68"/>
        <v>✓ OK</v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3018</v>
      </c>
      <c r="C848" s="41" t="s">
        <v>3019</v>
      </c>
      <c r="D848" s="39" t="s">
        <v>2301</v>
      </c>
      <c r="E848" s="42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42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70">
        <v>46248</v>
      </c>
      <c r="X848" s="30" t="s">
        <v>55</v>
      </c>
      <c r="Y848" s="30" t="s">
        <v>56</v>
      </c>
      <c r="Z848" s="30" t="s">
        <v>57</v>
      </c>
      <c r="AA848" s="30" t="s">
        <v>58</v>
      </c>
      <c r="AB848" s="30" t="s">
        <v>56</v>
      </c>
      <c r="AC848" s="27"/>
      <c r="AD848" s="31" t="s">
        <v>57</v>
      </c>
      <c r="AE848" s="32" t="str">
        <f t="shared" si="67"/>
        <v>✓ OK</v>
      </c>
      <c r="AF848" s="33" t="s">
        <v>61</v>
      </c>
      <c r="AG848" s="33" t="s">
        <v>55</v>
      </c>
      <c r="AH848" s="33" t="s">
        <v>56</v>
      </c>
      <c r="AI848" s="33" t="s">
        <v>57</v>
      </c>
      <c r="AJ848" s="33" t="s">
        <v>58</v>
      </c>
      <c r="AK848" s="33" t="s">
        <v>56</v>
      </c>
      <c r="AL848" s="27"/>
      <c r="AM848" s="34" t="s">
        <v>57</v>
      </c>
      <c r="AN848" s="35" t="str">
        <f t="shared" si="68"/>
        <v>✓ OK</v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3020</v>
      </c>
      <c r="C849" s="25" t="s">
        <v>3021</v>
      </c>
      <c r="D849" s="23" t="s">
        <v>2301</v>
      </c>
      <c r="E849" s="42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42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70">
        <v>46248</v>
      </c>
      <c r="X849" s="30" t="s">
        <v>55</v>
      </c>
      <c r="Y849" s="30" t="s">
        <v>56</v>
      </c>
      <c r="Z849" s="30" t="s">
        <v>57</v>
      </c>
      <c r="AA849" s="30" t="s">
        <v>58</v>
      </c>
      <c r="AB849" s="30" t="s">
        <v>56</v>
      </c>
      <c r="AC849" s="27"/>
      <c r="AD849" s="31" t="s">
        <v>57</v>
      </c>
      <c r="AE849" s="32" t="str">
        <f t="shared" si="67"/>
        <v>✓ OK</v>
      </c>
      <c r="AF849" s="33" t="s">
        <v>61</v>
      </c>
      <c r="AG849" s="33" t="s">
        <v>55</v>
      </c>
      <c r="AH849" s="33" t="s">
        <v>56</v>
      </c>
      <c r="AI849" s="33" t="s">
        <v>57</v>
      </c>
      <c r="AJ849" s="33" t="s">
        <v>58</v>
      </c>
      <c r="AK849" s="33" t="s">
        <v>56</v>
      </c>
      <c r="AL849" s="27"/>
      <c r="AM849" s="34" t="s">
        <v>57</v>
      </c>
      <c r="AN849" s="35" t="str">
        <f t="shared" si="68"/>
        <v>✓ OK</v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3022</v>
      </c>
      <c r="C850" s="41" t="s">
        <v>3023</v>
      </c>
      <c r="D850" s="39" t="s">
        <v>2301</v>
      </c>
      <c r="E850" s="42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42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70">
        <v>46248</v>
      </c>
      <c r="X850" s="30" t="s">
        <v>55</v>
      </c>
      <c r="Y850" s="30" t="s">
        <v>56</v>
      </c>
      <c r="Z850" s="30" t="s">
        <v>57</v>
      </c>
      <c r="AA850" s="30" t="s">
        <v>58</v>
      </c>
      <c r="AB850" s="30" t="s">
        <v>56</v>
      </c>
      <c r="AC850" s="27"/>
      <c r="AD850" s="31" t="s">
        <v>57</v>
      </c>
      <c r="AE850" s="32" t="str">
        <f t="shared" si="67"/>
        <v>✓ OK</v>
      </c>
      <c r="AF850" s="33" t="s">
        <v>61</v>
      </c>
      <c r="AG850" s="33" t="s">
        <v>55</v>
      </c>
      <c r="AH850" s="33" t="s">
        <v>56</v>
      </c>
      <c r="AI850" s="33" t="s">
        <v>57</v>
      </c>
      <c r="AJ850" s="33" t="s">
        <v>58</v>
      </c>
      <c r="AK850" s="33" t="s">
        <v>56</v>
      </c>
      <c r="AL850" s="27"/>
      <c r="AM850" s="34" t="s">
        <v>57</v>
      </c>
      <c r="AN850" s="35" t="str">
        <f t="shared" si="68"/>
        <v>✓ OK</v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3024</v>
      </c>
      <c r="C851" s="25" t="s">
        <v>3025</v>
      </c>
      <c r="D851" s="23" t="s">
        <v>2301</v>
      </c>
      <c r="E851" s="42">
        <v>46129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42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70">
        <v>46248</v>
      </c>
      <c r="X851" s="30" t="s">
        <v>55</v>
      </c>
      <c r="Y851" s="30" t="s">
        <v>56</v>
      </c>
      <c r="Z851" s="30" t="s">
        <v>57</v>
      </c>
      <c r="AA851" s="30" t="s">
        <v>58</v>
      </c>
      <c r="AB851" s="30" t="s">
        <v>56</v>
      </c>
      <c r="AC851" s="27"/>
      <c r="AD851" s="31" t="s">
        <v>57</v>
      </c>
      <c r="AE851" s="32" t="str">
        <f t="shared" si="67"/>
        <v>✓ OK</v>
      </c>
      <c r="AF851" s="33" t="s">
        <v>61</v>
      </c>
      <c r="AG851" s="33" t="s">
        <v>55</v>
      </c>
      <c r="AH851" s="33" t="s">
        <v>56</v>
      </c>
      <c r="AI851" s="33" t="s">
        <v>57</v>
      </c>
      <c r="AJ851" s="33" t="s">
        <v>58</v>
      </c>
      <c r="AK851" s="33" t="s">
        <v>56</v>
      </c>
      <c r="AL851" s="27"/>
      <c r="AM851" s="34" t="s">
        <v>57</v>
      </c>
      <c r="AN851" s="35" t="str">
        <f t="shared" si="68"/>
        <v>✓ OK</v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3026</v>
      </c>
      <c r="C852" s="41" t="s">
        <v>3027</v>
      </c>
      <c r="D852" s="39" t="s">
        <v>2301</v>
      </c>
      <c r="E852" s="42">
        <v>46129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42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70">
        <v>46248</v>
      </c>
      <c r="X852" s="30" t="s">
        <v>55</v>
      </c>
      <c r="Y852" s="30" t="s">
        <v>56</v>
      </c>
      <c r="Z852" s="30" t="s">
        <v>57</v>
      </c>
      <c r="AA852" s="30" t="s">
        <v>58</v>
      </c>
      <c r="AB852" s="30" t="s">
        <v>56</v>
      </c>
      <c r="AC852" s="27"/>
      <c r="AD852" s="31" t="s">
        <v>57</v>
      </c>
      <c r="AE852" s="32" t="str">
        <f t="shared" si="67"/>
        <v>✓ OK</v>
      </c>
      <c r="AF852" s="33" t="s">
        <v>61</v>
      </c>
      <c r="AG852" s="33" t="s">
        <v>55</v>
      </c>
      <c r="AH852" s="33" t="s">
        <v>56</v>
      </c>
      <c r="AI852" s="33" t="s">
        <v>57</v>
      </c>
      <c r="AJ852" s="33" t="s">
        <v>58</v>
      </c>
      <c r="AK852" s="33" t="s">
        <v>56</v>
      </c>
      <c r="AL852" s="27"/>
      <c r="AM852" s="34" t="s">
        <v>57</v>
      </c>
      <c r="AN852" s="35" t="str">
        <f t="shared" si="68"/>
        <v>✓ OK</v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3028</v>
      </c>
      <c r="C853" s="25" t="s">
        <v>3029</v>
      </c>
      <c r="D853" s="23" t="s">
        <v>2301</v>
      </c>
      <c r="E853" s="42">
        <v>46129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42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70">
        <v>46248</v>
      </c>
      <c r="X853" s="30" t="s">
        <v>55</v>
      </c>
      <c r="Y853" s="30" t="s">
        <v>56</v>
      </c>
      <c r="Z853" s="30" t="s">
        <v>57</v>
      </c>
      <c r="AA853" s="30" t="s">
        <v>58</v>
      </c>
      <c r="AB853" s="30" t="s">
        <v>56</v>
      </c>
      <c r="AC853" s="27"/>
      <c r="AD853" s="31" t="s">
        <v>57</v>
      </c>
      <c r="AE853" s="32" t="str">
        <f t="shared" si="67"/>
        <v>✓ OK</v>
      </c>
      <c r="AF853" s="33" t="s">
        <v>61</v>
      </c>
      <c r="AG853" s="33" t="s">
        <v>55</v>
      </c>
      <c r="AH853" s="33" t="s">
        <v>56</v>
      </c>
      <c r="AI853" s="33" t="s">
        <v>57</v>
      </c>
      <c r="AJ853" s="33" t="s">
        <v>58</v>
      </c>
      <c r="AK853" s="33" t="s">
        <v>56</v>
      </c>
      <c r="AL853" s="27"/>
      <c r="AM853" s="34" t="s">
        <v>57</v>
      </c>
      <c r="AN853" s="35" t="str">
        <f t="shared" si="68"/>
        <v>✓ OK</v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3030</v>
      </c>
      <c r="C854" s="41" t="s">
        <v>3031</v>
      </c>
      <c r="D854" s="39" t="s">
        <v>2301</v>
      </c>
      <c r="E854" s="42">
        <v>46129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42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70">
        <v>46248</v>
      </c>
      <c r="X854" s="30" t="s">
        <v>55</v>
      </c>
      <c r="Y854" s="30" t="s">
        <v>56</v>
      </c>
      <c r="Z854" s="30" t="s">
        <v>57</v>
      </c>
      <c r="AA854" s="30" t="s">
        <v>58</v>
      </c>
      <c r="AB854" s="30" t="s">
        <v>56</v>
      </c>
      <c r="AC854" s="27"/>
      <c r="AD854" s="31" t="s">
        <v>57</v>
      </c>
      <c r="AE854" s="32" t="str">
        <f t="shared" si="67"/>
        <v>✓ OK</v>
      </c>
      <c r="AF854" s="33" t="s">
        <v>61</v>
      </c>
      <c r="AG854" s="33" t="s">
        <v>55</v>
      </c>
      <c r="AH854" s="33" t="s">
        <v>56</v>
      </c>
      <c r="AI854" s="33" t="s">
        <v>57</v>
      </c>
      <c r="AJ854" s="33" t="s">
        <v>58</v>
      </c>
      <c r="AK854" s="33" t="s">
        <v>56</v>
      </c>
      <c r="AL854" s="27"/>
      <c r="AM854" s="34" t="s">
        <v>57</v>
      </c>
      <c r="AN854" s="35" t="str">
        <f t="shared" si="68"/>
        <v>✓ OK</v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3032</v>
      </c>
      <c r="C855" s="25" t="s">
        <v>3033</v>
      </c>
      <c r="D855" s="23" t="s">
        <v>2301</v>
      </c>
      <c r="E855" s="42">
        <v>46129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42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70">
        <v>46248</v>
      </c>
      <c r="X855" s="30" t="s">
        <v>55</v>
      </c>
      <c r="Y855" s="30" t="s">
        <v>56</v>
      </c>
      <c r="Z855" s="30" t="s">
        <v>57</v>
      </c>
      <c r="AA855" s="30" t="s">
        <v>58</v>
      </c>
      <c r="AB855" s="30" t="s">
        <v>56</v>
      </c>
      <c r="AC855" s="27"/>
      <c r="AD855" s="31" t="s">
        <v>57</v>
      </c>
      <c r="AE855" s="32" t="str">
        <f t="shared" si="67"/>
        <v>✓ OK</v>
      </c>
      <c r="AF855" s="33" t="s">
        <v>61</v>
      </c>
      <c r="AG855" s="33" t="s">
        <v>55</v>
      </c>
      <c r="AH855" s="33" t="s">
        <v>56</v>
      </c>
      <c r="AI855" s="33" t="s">
        <v>57</v>
      </c>
      <c r="AJ855" s="33" t="s">
        <v>58</v>
      </c>
      <c r="AK855" s="33" t="s">
        <v>56</v>
      </c>
      <c r="AL855" s="27"/>
      <c r="AM855" s="34" t="s">
        <v>57</v>
      </c>
      <c r="AN855" s="35" t="str">
        <f t="shared" si="68"/>
        <v>✓ OK</v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3034</v>
      </c>
      <c r="C856" s="41" t="s">
        <v>3035</v>
      </c>
      <c r="D856" s="39" t="s">
        <v>2301</v>
      </c>
      <c r="E856" s="42">
        <v>46129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42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70">
        <v>46248</v>
      </c>
      <c r="X856" s="30" t="s">
        <v>55</v>
      </c>
      <c r="Y856" s="30" t="s">
        <v>56</v>
      </c>
      <c r="Z856" s="30" t="s">
        <v>57</v>
      </c>
      <c r="AA856" s="30" t="s">
        <v>58</v>
      </c>
      <c r="AB856" s="30" t="s">
        <v>56</v>
      </c>
      <c r="AC856" s="27"/>
      <c r="AD856" s="31" t="s">
        <v>57</v>
      </c>
      <c r="AE856" s="32" t="str">
        <f t="shared" si="67"/>
        <v>✓ OK</v>
      </c>
      <c r="AF856" s="33" t="s">
        <v>61</v>
      </c>
      <c r="AG856" s="33" t="s">
        <v>55</v>
      </c>
      <c r="AH856" s="33" t="s">
        <v>56</v>
      </c>
      <c r="AI856" s="33" t="s">
        <v>57</v>
      </c>
      <c r="AJ856" s="33" t="s">
        <v>58</v>
      </c>
      <c r="AK856" s="33" t="s">
        <v>56</v>
      </c>
      <c r="AL856" s="27"/>
      <c r="AM856" s="34" t="s">
        <v>57</v>
      </c>
      <c r="AN856" s="35" t="str">
        <f t="shared" si="68"/>
        <v>✓ OK</v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3036</v>
      </c>
      <c r="C857" s="25" t="s">
        <v>3037</v>
      </c>
      <c r="D857" s="23" t="s">
        <v>2301</v>
      </c>
      <c r="E857" s="42">
        <v>46132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42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70">
        <v>46248</v>
      </c>
      <c r="X857" s="30" t="s">
        <v>55</v>
      </c>
      <c r="Y857" s="30" t="s">
        <v>56</v>
      </c>
      <c r="Z857" s="30" t="s">
        <v>57</v>
      </c>
      <c r="AA857" s="30" t="s">
        <v>58</v>
      </c>
      <c r="AB857" s="30" t="s">
        <v>56</v>
      </c>
      <c r="AC857" s="27"/>
      <c r="AD857" s="31" t="s">
        <v>57</v>
      </c>
      <c r="AE857" s="32" t="str">
        <f t="shared" si="67"/>
        <v>✓ OK</v>
      </c>
      <c r="AF857" s="33" t="s">
        <v>61</v>
      </c>
      <c r="AG857" s="33" t="s">
        <v>55</v>
      </c>
      <c r="AH857" s="33" t="s">
        <v>56</v>
      </c>
      <c r="AI857" s="33" t="s">
        <v>57</v>
      </c>
      <c r="AJ857" s="33" t="s">
        <v>58</v>
      </c>
      <c r="AK857" s="33" t="s">
        <v>56</v>
      </c>
      <c r="AL857" s="27"/>
      <c r="AM857" s="34" t="s">
        <v>57</v>
      </c>
      <c r="AN857" s="35" t="str">
        <f t="shared" si="68"/>
        <v>✓ OK</v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3038</v>
      </c>
      <c r="C858" s="41" t="s">
        <v>3039</v>
      </c>
      <c r="D858" s="39" t="s">
        <v>2301</v>
      </c>
      <c r="E858" s="42">
        <v>46132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42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70">
        <v>46248</v>
      </c>
      <c r="X858" s="30" t="s">
        <v>55</v>
      </c>
      <c r="Y858" s="30" t="s">
        <v>56</v>
      </c>
      <c r="Z858" s="30" t="s">
        <v>57</v>
      </c>
      <c r="AA858" s="30" t="s">
        <v>58</v>
      </c>
      <c r="AB858" s="30" t="s">
        <v>56</v>
      </c>
      <c r="AC858" s="27"/>
      <c r="AD858" s="31" t="s">
        <v>57</v>
      </c>
      <c r="AE858" s="32" t="str">
        <f t="shared" si="67"/>
        <v>✓ OK</v>
      </c>
      <c r="AF858" s="33" t="s">
        <v>61</v>
      </c>
      <c r="AG858" s="33" t="s">
        <v>55</v>
      </c>
      <c r="AH858" s="33" t="s">
        <v>56</v>
      </c>
      <c r="AI858" s="33" t="s">
        <v>57</v>
      </c>
      <c r="AJ858" s="33" t="s">
        <v>58</v>
      </c>
      <c r="AK858" s="33" t="s">
        <v>56</v>
      </c>
      <c r="AL858" s="27"/>
      <c r="AM858" s="34" t="s">
        <v>57</v>
      </c>
      <c r="AN858" s="35" t="str">
        <f t="shared" si="68"/>
        <v>✓ OK</v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3040</v>
      </c>
      <c r="C859" s="25" t="s">
        <v>3041</v>
      </c>
      <c r="D859" s="23" t="s">
        <v>2301</v>
      </c>
      <c r="E859" s="42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42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70">
        <v>46248</v>
      </c>
      <c r="X859" s="30" t="s">
        <v>55</v>
      </c>
      <c r="Y859" s="30" t="s">
        <v>56</v>
      </c>
      <c r="Z859" s="30" t="s">
        <v>57</v>
      </c>
      <c r="AA859" s="30" t="s">
        <v>58</v>
      </c>
      <c r="AB859" s="30" t="s">
        <v>56</v>
      </c>
      <c r="AC859" s="27"/>
      <c r="AD859" s="31" t="s">
        <v>57</v>
      </c>
      <c r="AE859" s="32" t="str">
        <f t="shared" si="67"/>
        <v>✓ OK</v>
      </c>
      <c r="AF859" s="33" t="s">
        <v>61</v>
      </c>
      <c r="AG859" s="33" t="s">
        <v>55</v>
      </c>
      <c r="AH859" s="33" t="s">
        <v>56</v>
      </c>
      <c r="AI859" s="33" t="s">
        <v>57</v>
      </c>
      <c r="AJ859" s="33" t="s">
        <v>58</v>
      </c>
      <c r="AK859" s="33" t="s">
        <v>56</v>
      </c>
      <c r="AL859" s="27"/>
      <c r="AM859" s="34" t="s">
        <v>57</v>
      </c>
      <c r="AN859" s="35" t="str">
        <f t="shared" si="68"/>
        <v>✓ OK</v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3042</v>
      </c>
      <c r="C860" s="41" t="s">
        <v>3043</v>
      </c>
      <c r="D860" s="39" t="s">
        <v>2301</v>
      </c>
      <c r="E860" s="42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42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70">
        <v>46248</v>
      </c>
      <c r="X860" s="30" t="s">
        <v>55</v>
      </c>
      <c r="Y860" s="30" t="s">
        <v>56</v>
      </c>
      <c r="Z860" s="30" t="s">
        <v>57</v>
      </c>
      <c r="AA860" s="30" t="s">
        <v>58</v>
      </c>
      <c r="AB860" s="30" t="s">
        <v>56</v>
      </c>
      <c r="AC860" s="27"/>
      <c r="AD860" s="31" t="s">
        <v>57</v>
      </c>
      <c r="AE860" s="32" t="str">
        <f t="shared" si="67"/>
        <v>✓ OK</v>
      </c>
      <c r="AF860" s="33" t="s">
        <v>61</v>
      </c>
      <c r="AG860" s="33" t="s">
        <v>55</v>
      </c>
      <c r="AH860" s="33" t="s">
        <v>56</v>
      </c>
      <c r="AI860" s="33" t="s">
        <v>57</v>
      </c>
      <c r="AJ860" s="33" t="s">
        <v>58</v>
      </c>
      <c r="AK860" s="33" t="s">
        <v>56</v>
      </c>
      <c r="AL860" s="27"/>
      <c r="AM860" s="34" t="s">
        <v>57</v>
      </c>
      <c r="AN860" s="35" t="str">
        <f t="shared" si="68"/>
        <v>✓ OK</v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3044</v>
      </c>
      <c r="C861" s="25" t="s">
        <v>3045</v>
      </c>
      <c r="D861" s="23" t="s">
        <v>2301</v>
      </c>
      <c r="E861" s="42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42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70">
        <v>46248</v>
      </c>
      <c r="X861" s="30" t="s">
        <v>55</v>
      </c>
      <c r="Y861" s="30" t="s">
        <v>56</v>
      </c>
      <c r="Z861" s="30" t="s">
        <v>57</v>
      </c>
      <c r="AA861" s="30" t="s">
        <v>58</v>
      </c>
      <c r="AB861" s="30" t="s">
        <v>56</v>
      </c>
      <c r="AC861" s="27"/>
      <c r="AD861" s="31" t="s">
        <v>57</v>
      </c>
      <c r="AE861" s="32" t="str">
        <f t="shared" si="67"/>
        <v>✓ OK</v>
      </c>
      <c r="AF861" s="33" t="s">
        <v>61</v>
      </c>
      <c r="AG861" s="33" t="s">
        <v>55</v>
      </c>
      <c r="AH861" s="33" t="s">
        <v>56</v>
      </c>
      <c r="AI861" s="33" t="s">
        <v>57</v>
      </c>
      <c r="AJ861" s="33" t="s">
        <v>58</v>
      </c>
      <c r="AK861" s="33" t="s">
        <v>56</v>
      </c>
      <c r="AL861" s="27"/>
      <c r="AM861" s="34" t="s">
        <v>57</v>
      </c>
      <c r="AN861" s="35" t="str">
        <f t="shared" si="68"/>
        <v>✓ OK</v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3046</v>
      </c>
      <c r="C862" s="41" t="s">
        <v>3047</v>
      </c>
      <c r="D862" s="39" t="s">
        <v>2301</v>
      </c>
      <c r="E862" s="42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42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70">
        <v>46248</v>
      </c>
      <c r="X862" s="30" t="s">
        <v>55</v>
      </c>
      <c r="Y862" s="30" t="s">
        <v>56</v>
      </c>
      <c r="Z862" s="30" t="s">
        <v>57</v>
      </c>
      <c r="AA862" s="30" t="s">
        <v>58</v>
      </c>
      <c r="AB862" s="30" t="s">
        <v>56</v>
      </c>
      <c r="AC862" s="27"/>
      <c r="AD862" s="31" t="s">
        <v>57</v>
      </c>
      <c r="AE862" s="32" t="str">
        <f t="shared" si="67"/>
        <v>✓ OK</v>
      </c>
      <c r="AF862" s="33" t="s">
        <v>61</v>
      </c>
      <c r="AG862" s="33" t="s">
        <v>55</v>
      </c>
      <c r="AH862" s="33" t="s">
        <v>56</v>
      </c>
      <c r="AI862" s="33" t="s">
        <v>57</v>
      </c>
      <c r="AJ862" s="33" t="s">
        <v>58</v>
      </c>
      <c r="AK862" s="33" t="s">
        <v>56</v>
      </c>
      <c r="AL862" s="27"/>
      <c r="AM862" s="34" t="s">
        <v>57</v>
      </c>
      <c r="AN862" s="35" t="str">
        <f t="shared" si="68"/>
        <v>✓ OK</v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3048</v>
      </c>
      <c r="C863" s="25" t="s">
        <v>3049</v>
      </c>
      <c r="D863" s="23" t="s">
        <v>2301</v>
      </c>
      <c r="E863" s="42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42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70">
        <v>46248</v>
      </c>
      <c r="X863" s="30" t="s">
        <v>55</v>
      </c>
      <c r="Y863" s="30" t="s">
        <v>56</v>
      </c>
      <c r="Z863" s="30" t="s">
        <v>57</v>
      </c>
      <c r="AA863" s="30" t="s">
        <v>58</v>
      </c>
      <c r="AB863" s="30" t="s">
        <v>56</v>
      </c>
      <c r="AC863" s="27"/>
      <c r="AD863" s="31" t="s">
        <v>57</v>
      </c>
      <c r="AE863" s="32" t="str">
        <f t="shared" si="67"/>
        <v>✓ OK</v>
      </c>
      <c r="AF863" s="33" t="s">
        <v>61</v>
      </c>
      <c r="AG863" s="33" t="s">
        <v>55</v>
      </c>
      <c r="AH863" s="33" t="s">
        <v>56</v>
      </c>
      <c r="AI863" s="33" t="s">
        <v>57</v>
      </c>
      <c r="AJ863" s="33" t="s">
        <v>58</v>
      </c>
      <c r="AK863" s="33" t="s">
        <v>56</v>
      </c>
      <c r="AL863" s="27"/>
      <c r="AM863" s="34" t="s">
        <v>57</v>
      </c>
      <c r="AN863" s="35" t="str">
        <f t="shared" si="68"/>
        <v>✓ OK</v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3050</v>
      </c>
      <c r="C864" s="41" t="s">
        <v>3051</v>
      </c>
      <c r="D864" s="39" t="s">
        <v>2301</v>
      </c>
      <c r="E864" s="42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42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70">
        <v>46248</v>
      </c>
      <c r="X864" s="30" t="s">
        <v>55</v>
      </c>
      <c r="Y864" s="30" t="s">
        <v>56</v>
      </c>
      <c r="Z864" s="30" t="s">
        <v>57</v>
      </c>
      <c r="AA864" s="30" t="s">
        <v>58</v>
      </c>
      <c r="AB864" s="30" t="s">
        <v>56</v>
      </c>
      <c r="AC864" s="27"/>
      <c r="AD864" s="31" t="s">
        <v>57</v>
      </c>
      <c r="AE864" s="32" t="str">
        <f t="shared" si="67"/>
        <v>✓ OK</v>
      </c>
      <c r="AF864" s="33" t="s">
        <v>61</v>
      </c>
      <c r="AG864" s="33" t="s">
        <v>55</v>
      </c>
      <c r="AH864" s="33" t="s">
        <v>56</v>
      </c>
      <c r="AI864" s="33" t="s">
        <v>57</v>
      </c>
      <c r="AJ864" s="33" t="s">
        <v>58</v>
      </c>
      <c r="AK864" s="33" t="s">
        <v>56</v>
      </c>
      <c r="AL864" s="27"/>
      <c r="AM864" s="34" t="s">
        <v>57</v>
      </c>
      <c r="AN864" s="35" t="str">
        <f t="shared" si="68"/>
        <v>✓ OK</v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3052</v>
      </c>
      <c r="C865" s="25" t="s">
        <v>3053</v>
      </c>
      <c r="D865" s="23" t="s">
        <v>2301</v>
      </c>
      <c r="E865" s="42">
        <v>46132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42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70">
        <v>46248</v>
      </c>
      <c r="X865" s="30" t="s">
        <v>55</v>
      </c>
      <c r="Y865" s="30" t="s">
        <v>56</v>
      </c>
      <c r="Z865" s="30" t="s">
        <v>57</v>
      </c>
      <c r="AA865" s="30" t="s">
        <v>58</v>
      </c>
      <c r="AB865" s="30" t="s">
        <v>56</v>
      </c>
      <c r="AC865" s="27"/>
      <c r="AD865" s="31" t="s">
        <v>57</v>
      </c>
      <c r="AE865" s="32" t="str">
        <f t="shared" si="67"/>
        <v>✓ OK</v>
      </c>
      <c r="AF865" s="33" t="s">
        <v>61</v>
      </c>
      <c r="AG865" s="33" t="s">
        <v>55</v>
      </c>
      <c r="AH865" s="33" t="s">
        <v>56</v>
      </c>
      <c r="AI865" s="33" t="s">
        <v>57</v>
      </c>
      <c r="AJ865" s="33" t="s">
        <v>58</v>
      </c>
      <c r="AK865" s="33" t="s">
        <v>56</v>
      </c>
      <c r="AL865" s="27"/>
      <c r="AM865" s="34" t="s">
        <v>57</v>
      </c>
      <c r="AN865" s="35" t="str">
        <f t="shared" si="68"/>
        <v>✓ OK</v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3054</v>
      </c>
      <c r="C866" s="41" t="s">
        <v>3055</v>
      </c>
      <c r="D866" s="39" t="s">
        <v>2301</v>
      </c>
      <c r="E866" s="42">
        <v>46132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42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70">
        <v>46248</v>
      </c>
      <c r="X866" s="30" t="s">
        <v>55</v>
      </c>
      <c r="Y866" s="30" t="s">
        <v>56</v>
      </c>
      <c r="Z866" s="30" t="s">
        <v>57</v>
      </c>
      <c r="AA866" s="30" t="s">
        <v>58</v>
      </c>
      <c r="AB866" s="30" t="s">
        <v>56</v>
      </c>
      <c r="AC866" s="27"/>
      <c r="AD866" s="31" t="s">
        <v>57</v>
      </c>
      <c r="AE866" s="32" t="str">
        <f t="shared" si="67"/>
        <v>✓ OK</v>
      </c>
      <c r="AF866" s="33" t="s">
        <v>61</v>
      </c>
      <c r="AG866" s="33" t="s">
        <v>55</v>
      </c>
      <c r="AH866" s="33" t="s">
        <v>56</v>
      </c>
      <c r="AI866" s="33" t="s">
        <v>57</v>
      </c>
      <c r="AJ866" s="33" t="s">
        <v>58</v>
      </c>
      <c r="AK866" s="33" t="s">
        <v>56</v>
      </c>
      <c r="AL866" s="27"/>
      <c r="AM866" s="34" t="s">
        <v>57</v>
      </c>
      <c r="AN866" s="35" t="str">
        <f t="shared" si="68"/>
        <v>✓ OK</v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3056</v>
      </c>
      <c r="C867" s="25" t="s">
        <v>3057</v>
      </c>
      <c r="D867" s="23" t="s">
        <v>2301</v>
      </c>
      <c r="E867" s="42">
        <v>46129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42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70">
        <v>46248</v>
      </c>
      <c r="X867" s="30" t="s">
        <v>55</v>
      </c>
      <c r="Y867" s="30" t="s">
        <v>56</v>
      </c>
      <c r="Z867" s="30" t="s">
        <v>57</v>
      </c>
      <c r="AA867" s="30" t="s">
        <v>58</v>
      </c>
      <c r="AB867" s="30" t="s">
        <v>56</v>
      </c>
      <c r="AC867" s="27"/>
      <c r="AD867" s="31" t="s">
        <v>57</v>
      </c>
      <c r="AE867" s="32" t="str">
        <f t="shared" si="67"/>
        <v>✓ OK</v>
      </c>
      <c r="AF867" s="33" t="s">
        <v>61</v>
      </c>
      <c r="AG867" s="33" t="s">
        <v>55</v>
      </c>
      <c r="AH867" s="33" t="s">
        <v>56</v>
      </c>
      <c r="AI867" s="33" t="s">
        <v>57</v>
      </c>
      <c r="AJ867" s="33" t="s">
        <v>58</v>
      </c>
      <c r="AK867" s="33" t="s">
        <v>56</v>
      </c>
      <c r="AL867" s="27"/>
      <c r="AM867" s="34" t="s">
        <v>57</v>
      </c>
      <c r="AN867" s="35" t="str">
        <f t="shared" si="68"/>
        <v>✓ OK</v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3058</v>
      </c>
      <c r="C868" s="41" t="s">
        <v>3059</v>
      </c>
      <c r="D868" s="39" t="s">
        <v>2301</v>
      </c>
      <c r="E868" s="42">
        <v>46129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42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70">
        <v>46248</v>
      </c>
      <c r="X868" s="30" t="s">
        <v>55</v>
      </c>
      <c r="Y868" s="30" t="s">
        <v>56</v>
      </c>
      <c r="Z868" s="30" t="s">
        <v>57</v>
      </c>
      <c r="AA868" s="30" t="s">
        <v>58</v>
      </c>
      <c r="AB868" s="30" t="s">
        <v>56</v>
      </c>
      <c r="AC868" s="27"/>
      <c r="AD868" s="31" t="s">
        <v>57</v>
      </c>
      <c r="AE868" s="32" t="str">
        <f t="shared" si="67"/>
        <v>✓ OK</v>
      </c>
      <c r="AF868" s="33" t="s">
        <v>61</v>
      </c>
      <c r="AG868" s="33" t="s">
        <v>55</v>
      </c>
      <c r="AH868" s="33" t="s">
        <v>56</v>
      </c>
      <c r="AI868" s="33" t="s">
        <v>57</v>
      </c>
      <c r="AJ868" s="33" t="s">
        <v>58</v>
      </c>
      <c r="AK868" s="33" t="s">
        <v>56</v>
      </c>
      <c r="AL868" s="27"/>
      <c r="AM868" s="34" t="s">
        <v>57</v>
      </c>
      <c r="AN868" s="35" t="str">
        <f t="shared" si="68"/>
        <v>✓ OK</v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3060</v>
      </c>
      <c r="C869" s="25" t="s">
        <v>3061</v>
      </c>
      <c r="D869" s="23" t="s">
        <v>2301</v>
      </c>
      <c r="E869" s="42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42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70">
        <v>46248</v>
      </c>
      <c r="X869" s="30" t="s">
        <v>55</v>
      </c>
      <c r="Y869" s="30" t="s">
        <v>56</v>
      </c>
      <c r="Z869" s="30" t="s">
        <v>57</v>
      </c>
      <c r="AA869" s="30" t="s">
        <v>58</v>
      </c>
      <c r="AB869" s="30" t="s">
        <v>56</v>
      </c>
      <c r="AC869" s="27"/>
      <c r="AD869" s="31" t="s">
        <v>57</v>
      </c>
      <c r="AE869" s="32" t="str">
        <f t="shared" si="67"/>
        <v>✓ OK</v>
      </c>
      <c r="AF869" s="33" t="s">
        <v>61</v>
      </c>
      <c r="AG869" s="33" t="s">
        <v>55</v>
      </c>
      <c r="AH869" s="33" t="s">
        <v>56</v>
      </c>
      <c r="AI869" s="33" t="s">
        <v>57</v>
      </c>
      <c r="AJ869" s="33" t="s">
        <v>58</v>
      </c>
      <c r="AK869" s="33" t="s">
        <v>56</v>
      </c>
      <c r="AL869" s="27"/>
      <c r="AM869" s="34" t="s">
        <v>57</v>
      </c>
      <c r="AN869" s="35" t="str">
        <f t="shared" si="68"/>
        <v>✓ OK</v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3062</v>
      </c>
      <c r="C870" s="41" t="s">
        <v>3063</v>
      </c>
      <c r="D870" s="39" t="s">
        <v>2301</v>
      </c>
      <c r="E870" s="42">
        <v>46129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42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70">
        <v>46248</v>
      </c>
      <c r="X870" s="30" t="s">
        <v>55</v>
      </c>
      <c r="Y870" s="30" t="s">
        <v>56</v>
      </c>
      <c r="Z870" s="30" t="s">
        <v>57</v>
      </c>
      <c r="AA870" s="30" t="s">
        <v>58</v>
      </c>
      <c r="AB870" s="30" t="s">
        <v>56</v>
      </c>
      <c r="AC870" s="27"/>
      <c r="AD870" s="31" t="s">
        <v>57</v>
      </c>
      <c r="AE870" s="32" t="str">
        <f t="shared" si="67"/>
        <v>✓ OK</v>
      </c>
      <c r="AF870" s="33" t="s">
        <v>61</v>
      </c>
      <c r="AG870" s="33" t="s">
        <v>55</v>
      </c>
      <c r="AH870" s="33" t="s">
        <v>56</v>
      </c>
      <c r="AI870" s="33" t="s">
        <v>57</v>
      </c>
      <c r="AJ870" s="33" t="s">
        <v>58</v>
      </c>
      <c r="AK870" s="33" t="s">
        <v>56</v>
      </c>
      <c r="AL870" s="27"/>
      <c r="AM870" s="34" t="s">
        <v>57</v>
      </c>
      <c r="AN870" s="35" t="str">
        <f t="shared" si="68"/>
        <v>✓ OK</v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3064</v>
      </c>
      <c r="C871" s="25" t="s">
        <v>3065</v>
      </c>
      <c r="D871" s="23" t="s">
        <v>2301</v>
      </c>
      <c r="E871" s="42">
        <v>46129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42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70">
        <v>46248</v>
      </c>
      <c r="X871" s="30" t="s">
        <v>55</v>
      </c>
      <c r="Y871" s="30" t="s">
        <v>56</v>
      </c>
      <c r="Z871" s="30" t="s">
        <v>57</v>
      </c>
      <c r="AA871" s="30" t="s">
        <v>58</v>
      </c>
      <c r="AB871" s="30" t="s">
        <v>56</v>
      </c>
      <c r="AC871" s="27"/>
      <c r="AD871" s="31" t="s">
        <v>57</v>
      </c>
      <c r="AE871" s="32" t="str">
        <f t="shared" si="67"/>
        <v>✓ OK</v>
      </c>
      <c r="AF871" s="33" t="s">
        <v>61</v>
      </c>
      <c r="AG871" s="33" t="s">
        <v>55</v>
      </c>
      <c r="AH871" s="33" t="s">
        <v>56</v>
      </c>
      <c r="AI871" s="33" t="s">
        <v>57</v>
      </c>
      <c r="AJ871" s="33" t="s">
        <v>58</v>
      </c>
      <c r="AK871" s="33" t="s">
        <v>56</v>
      </c>
      <c r="AL871" s="27"/>
      <c r="AM871" s="34" t="s">
        <v>57</v>
      </c>
      <c r="AN871" s="35" t="str">
        <f t="shared" si="68"/>
        <v>✓ OK</v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3066</v>
      </c>
      <c r="C872" s="41" t="s">
        <v>3067</v>
      </c>
      <c r="D872" s="39" t="s">
        <v>2301</v>
      </c>
      <c r="E872" s="42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42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70">
        <v>46248</v>
      </c>
      <c r="X872" s="30" t="s">
        <v>55</v>
      </c>
      <c r="Y872" s="30" t="s">
        <v>56</v>
      </c>
      <c r="Z872" s="30" t="s">
        <v>57</v>
      </c>
      <c r="AA872" s="30" t="s">
        <v>58</v>
      </c>
      <c r="AB872" s="30" t="s">
        <v>56</v>
      </c>
      <c r="AC872" s="27"/>
      <c r="AD872" s="31" t="s">
        <v>57</v>
      </c>
      <c r="AE872" s="32" t="str">
        <f t="shared" si="67"/>
        <v>✓ OK</v>
      </c>
      <c r="AF872" s="33" t="s">
        <v>61</v>
      </c>
      <c r="AG872" s="33" t="s">
        <v>55</v>
      </c>
      <c r="AH872" s="33" t="s">
        <v>56</v>
      </c>
      <c r="AI872" s="33" t="s">
        <v>57</v>
      </c>
      <c r="AJ872" s="33" t="s">
        <v>58</v>
      </c>
      <c r="AK872" s="33" t="s">
        <v>56</v>
      </c>
      <c r="AL872" s="27"/>
      <c r="AM872" s="34" t="s">
        <v>57</v>
      </c>
      <c r="AN872" s="35" t="str">
        <f t="shared" si="68"/>
        <v>✓ OK</v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3068</v>
      </c>
      <c r="C873" s="25" t="s">
        <v>3069</v>
      </c>
      <c r="D873" s="23" t="s">
        <v>2301</v>
      </c>
      <c r="E873" s="42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42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70">
        <v>46248</v>
      </c>
      <c r="X873" s="30" t="s">
        <v>55</v>
      </c>
      <c r="Y873" s="30" t="s">
        <v>56</v>
      </c>
      <c r="Z873" s="30" t="s">
        <v>57</v>
      </c>
      <c r="AA873" s="30" t="s">
        <v>58</v>
      </c>
      <c r="AB873" s="30" t="s">
        <v>56</v>
      </c>
      <c r="AC873" s="27"/>
      <c r="AD873" s="31" t="s">
        <v>57</v>
      </c>
      <c r="AE873" s="32" t="str">
        <f t="shared" si="67"/>
        <v>✓ OK</v>
      </c>
      <c r="AF873" s="33" t="s">
        <v>61</v>
      </c>
      <c r="AG873" s="33" t="s">
        <v>55</v>
      </c>
      <c r="AH873" s="33" t="s">
        <v>56</v>
      </c>
      <c r="AI873" s="33" t="s">
        <v>57</v>
      </c>
      <c r="AJ873" s="33" t="s">
        <v>58</v>
      </c>
      <c r="AK873" s="33" t="s">
        <v>56</v>
      </c>
      <c r="AL873" s="27"/>
      <c r="AM873" s="34" t="s">
        <v>57</v>
      </c>
      <c r="AN873" s="35" t="str">
        <f t="shared" si="68"/>
        <v>✓ OK</v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3070</v>
      </c>
      <c r="C874" s="41" t="s">
        <v>3071</v>
      </c>
      <c r="D874" s="39" t="s">
        <v>2301</v>
      </c>
      <c r="E874" s="42">
        <v>46129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42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70">
        <v>46248</v>
      </c>
      <c r="X874" s="30" t="s">
        <v>55</v>
      </c>
      <c r="Y874" s="30" t="s">
        <v>56</v>
      </c>
      <c r="Z874" s="30" t="s">
        <v>57</v>
      </c>
      <c r="AA874" s="30" t="s">
        <v>58</v>
      </c>
      <c r="AB874" s="30" t="s">
        <v>56</v>
      </c>
      <c r="AC874" s="27"/>
      <c r="AD874" s="31" t="s">
        <v>57</v>
      </c>
      <c r="AE874" s="32" t="str">
        <f t="shared" si="67"/>
        <v>✓ OK</v>
      </c>
      <c r="AF874" s="33" t="s">
        <v>61</v>
      </c>
      <c r="AG874" s="33" t="s">
        <v>55</v>
      </c>
      <c r="AH874" s="33" t="s">
        <v>56</v>
      </c>
      <c r="AI874" s="33" t="s">
        <v>57</v>
      </c>
      <c r="AJ874" s="33" t="s">
        <v>58</v>
      </c>
      <c r="AK874" s="33" t="s">
        <v>56</v>
      </c>
      <c r="AL874" s="27"/>
      <c r="AM874" s="34" t="s">
        <v>57</v>
      </c>
      <c r="AN874" s="35" t="str">
        <f t="shared" si="68"/>
        <v>✓ OK</v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3072</v>
      </c>
      <c r="C875" s="25" t="s">
        <v>3073</v>
      </c>
      <c r="D875" s="23" t="s">
        <v>2301</v>
      </c>
      <c r="E875" s="42">
        <v>46129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42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70">
        <v>46248</v>
      </c>
      <c r="X875" s="30" t="s">
        <v>55</v>
      </c>
      <c r="Y875" s="30" t="s">
        <v>56</v>
      </c>
      <c r="Z875" s="30" t="s">
        <v>57</v>
      </c>
      <c r="AA875" s="30" t="s">
        <v>58</v>
      </c>
      <c r="AB875" s="30" t="s">
        <v>56</v>
      </c>
      <c r="AC875" s="27"/>
      <c r="AD875" s="31" t="s">
        <v>57</v>
      </c>
      <c r="AE875" s="32" t="str">
        <f t="shared" si="67"/>
        <v>✓ OK</v>
      </c>
      <c r="AF875" s="33" t="s">
        <v>61</v>
      </c>
      <c r="AG875" s="33" t="s">
        <v>55</v>
      </c>
      <c r="AH875" s="33" t="s">
        <v>56</v>
      </c>
      <c r="AI875" s="33" t="s">
        <v>57</v>
      </c>
      <c r="AJ875" s="33" t="s">
        <v>58</v>
      </c>
      <c r="AK875" s="33" t="s">
        <v>56</v>
      </c>
      <c r="AL875" s="27"/>
      <c r="AM875" s="34" t="s">
        <v>57</v>
      </c>
      <c r="AN875" s="35" t="str">
        <f t="shared" si="68"/>
        <v>✓ OK</v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3074</v>
      </c>
      <c r="C876" s="41" t="s">
        <v>3075</v>
      </c>
      <c r="D876" s="39" t="s">
        <v>2301</v>
      </c>
      <c r="E876" s="42">
        <v>46132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42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70">
        <v>46248</v>
      </c>
      <c r="X876" s="30" t="s">
        <v>55</v>
      </c>
      <c r="Y876" s="30" t="s">
        <v>56</v>
      </c>
      <c r="Z876" s="30" t="s">
        <v>57</v>
      </c>
      <c r="AA876" s="30" t="s">
        <v>58</v>
      </c>
      <c r="AB876" s="30" t="s">
        <v>56</v>
      </c>
      <c r="AC876" s="27"/>
      <c r="AD876" s="31" t="s">
        <v>57</v>
      </c>
      <c r="AE876" s="32" t="str">
        <f t="shared" si="67"/>
        <v>✓ OK</v>
      </c>
      <c r="AF876" s="33" t="s">
        <v>61</v>
      </c>
      <c r="AG876" s="33" t="s">
        <v>55</v>
      </c>
      <c r="AH876" s="33" t="s">
        <v>56</v>
      </c>
      <c r="AI876" s="33" t="s">
        <v>57</v>
      </c>
      <c r="AJ876" s="33" t="s">
        <v>58</v>
      </c>
      <c r="AK876" s="33" t="s">
        <v>56</v>
      </c>
      <c r="AL876" s="27"/>
      <c r="AM876" s="34" t="s">
        <v>57</v>
      </c>
      <c r="AN876" s="35" t="str">
        <f t="shared" si="68"/>
        <v>✓ OK</v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3076</v>
      </c>
      <c r="C877" s="25" t="s">
        <v>3077</v>
      </c>
      <c r="D877" s="23" t="s">
        <v>2301</v>
      </c>
      <c r="E877" s="42">
        <v>46132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42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70">
        <v>46248</v>
      </c>
      <c r="X877" s="30" t="s">
        <v>55</v>
      </c>
      <c r="Y877" s="30" t="s">
        <v>56</v>
      </c>
      <c r="Z877" s="30" t="s">
        <v>57</v>
      </c>
      <c r="AA877" s="30" t="s">
        <v>58</v>
      </c>
      <c r="AB877" s="30" t="s">
        <v>56</v>
      </c>
      <c r="AC877" s="27"/>
      <c r="AD877" s="31" t="s">
        <v>57</v>
      </c>
      <c r="AE877" s="32" t="str">
        <f t="shared" si="67"/>
        <v>✓ OK</v>
      </c>
      <c r="AF877" s="33" t="s">
        <v>61</v>
      </c>
      <c r="AG877" s="33" t="s">
        <v>55</v>
      </c>
      <c r="AH877" s="33" t="s">
        <v>56</v>
      </c>
      <c r="AI877" s="33" t="s">
        <v>57</v>
      </c>
      <c r="AJ877" s="33" t="s">
        <v>58</v>
      </c>
      <c r="AK877" s="33" t="s">
        <v>56</v>
      </c>
      <c r="AL877" s="27"/>
      <c r="AM877" s="34" t="s">
        <v>57</v>
      </c>
      <c r="AN877" s="35" t="str">
        <f t="shared" si="68"/>
        <v>✓ OK</v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3078</v>
      </c>
      <c r="C878" s="41" t="s">
        <v>3079</v>
      </c>
      <c r="D878" s="39" t="s">
        <v>2301</v>
      </c>
      <c r="E878" s="42">
        <v>46129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42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70">
        <v>46248</v>
      </c>
      <c r="X878" s="30" t="s">
        <v>55</v>
      </c>
      <c r="Y878" s="30" t="s">
        <v>56</v>
      </c>
      <c r="Z878" s="30" t="s">
        <v>57</v>
      </c>
      <c r="AA878" s="30" t="s">
        <v>58</v>
      </c>
      <c r="AB878" s="30" t="s">
        <v>56</v>
      </c>
      <c r="AC878" s="27"/>
      <c r="AD878" s="31" t="s">
        <v>57</v>
      </c>
      <c r="AE878" s="32" t="str">
        <f t="shared" si="67"/>
        <v>✓ OK</v>
      </c>
      <c r="AF878" s="33" t="s">
        <v>61</v>
      </c>
      <c r="AG878" s="33" t="s">
        <v>55</v>
      </c>
      <c r="AH878" s="33" t="s">
        <v>56</v>
      </c>
      <c r="AI878" s="33" t="s">
        <v>57</v>
      </c>
      <c r="AJ878" s="33" t="s">
        <v>58</v>
      </c>
      <c r="AK878" s="33" t="s">
        <v>56</v>
      </c>
      <c r="AL878" s="27"/>
      <c r="AM878" s="34" t="s">
        <v>57</v>
      </c>
      <c r="AN878" s="35" t="str">
        <f t="shared" si="68"/>
        <v>✓ OK</v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3080</v>
      </c>
      <c r="C879" s="25" t="s">
        <v>3081</v>
      </c>
      <c r="D879" s="23" t="s">
        <v>2301</v>
      </c>
      <c r="E879" s="42">
        <v>46129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42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70">
        <v>46248</v>
      </c>
      <c r="X879" s="30" t="s">
        <v>55</v>
      </c>
      <c r="Y879" s="30" t="s">
        <v>56</v>
      </c>
      <c r="Z879" s="30" t="s">
        <v>57</v>
      </c>
      <c r="AA879" s="30" t="s">
        <v>58</v>
      </c>
      <c r="AB879" s="30" t="s">
        <v>56</v>
      </c>
      <c r="AC879" s="27"/>
      <c r="AD879" s="31" t="s">
        <v>57</v>
      </c>
      <c r="AE879" s="32" t="str">
        <f t="shared" si="67"/>
        <v>✓ OK</v>
      </c>
      <c r="AF879" s="33" t="s">
        <v>61</v>
      </c>
      <c r="AG879" s="33" t="s">
        <v>55</v>
      </c>
      <c r="AH879" s="33" t="s">
        <v>56</v>
      </c>
      <c r="AI879" s="33" t="s">
        <v>57</v>
      </c>
      <c r="AJ879" s="33" t="s">
        <v>58</v>
      </c>
      <c r="AK879" s="33" t="s">
        <v>56</v>
      </c>
      <c r="AL879" s="27"/>
      <c r="AM879" s="34" t="s">
        <v>57</v>
      </c>
      <c r="AN879" s="35" t="str">
        <f t="shared" si="68"/>
        <v>✓ OK</v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3082</v>
      </c>
      <c r="C880" s="41" t="s">
        <v>3083</v>
      </c>
      <c r="D880" s="39" t="s">
        <v>2301</v>
      </c>
      <c r="E880" s="42">
        <v>46132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42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70">
        <v>46248</v>
      </c>
      <c r="X880" s="30" t="s">
        <v>55</v>
      </c>
      <c r="Y880" s="30" t="s">
        <v>56</v>
      </c>
      <c r="Z880" s="30" t="s">
        <v>57</v>
      </c>
      <c r="AA880" s="30" t="s">
        <v>58</v>
      </c>
      <c r="AB880" s="30" t="s">
        <v>56</v>
      </c>
      <c r="AC880" s="27"/>
      <c r="AD880" s="31" t="s">
        <v>57</v>
      </c>
      <c r="AE880" s="32" t="str">
        <f t="shared" si="67"/>
        <v>✓ OK</v>
      </c>
      <c r="AF880" s="33" t="s">
        <v>61</v>
      </c>
      <c r="AG880" s="33" t="s">
        <v>55</v>
      </c>
      <c r="AH880" s="33" t="s">
        <v>56</v>
      </c>
      <c r="AI880" s="33" t="s">
        <v>57</v>
      </c>
      <c r="AJ880" s="33" t="s">
        <v>58</v>
      </c>
      <c r="AK880" s="33" t="s">
        <v>56</v>
      </c>
      <c r="AL880" s="27"/>
      <c r="AM880" s="34" t="s">
        <v>57</v>
      </c>
      <c r="AN880" s="35" t="str">
        <f t="shared" si="68"/>
        <v>✓ OK</v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3084</v>
      </c>
      <c r="C881" s="25" t="s">
        <v>3085</v>
      </c>
      <c r="D881" s="23" t="s">
        <v>2301</v>
      </c>
      <c r="E881" s="42">
        <v>46132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42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70">
        <v>46248</v>
      </c>
      <c r="X881" s="30" t="s">
        <v>55</v>
      </c>
      <c r="Y881" s="30" t="s">
        <v>56</v>
      </c>
      <c r="Z881" s="30" t="s">
        <v>57</v>
      </c>
      <c r="AA881" s="30" t="s">
        <v>58</v>
      </c>
      <c r="AB881" s="30" t="s">
        <v>56</v>
      </c>
      <c r="AC881" s="27"/>
      <c r="AD881" s="31" t="s">
        <v>57</v>
      </c>
      <c r="AE881" s="32" t="str">
        <f t="shared" si="67"/>
        <v>✓ OK</v>
      </c>
      <c r="AF881" s="33" t="s">
        <v>61</v>
      </c>
      <c r="AG881" s="33" t="s">
        <v>55</v>
      </c>
      <c r="AH881" s="33" t="s">
        <v>56</v>
      </c>
      <c r="AI881" s="33" t="s">
        <v>57</v>
      </c>
      <c r="AJ881" s="33" t="s">
        <v>58</v>
      </c>
      <c r="AK881" s="33" t="s">
        <v>56</v>
      </c>
      <c r="AL881" s="27"/>
      <c r="AM881" s="34" t="s">
        <v>57</v>
      </c>
      <c r="AN881" s="35" t="str">
        <f t="shared" si="68"/>
        <v>✓ OK</v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3086</v>
      </c>
      <c r="C882" s="41" t="s">
        <v>3087</v>
      </c>
      <c r="D882" s="39" t="s">
        <v>2301</v>
      </c>
      <c r="E882" s="42">
        <v>46129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42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70">
        <v>46248</v>
      </c>
      <c r="X882" s="30" t="s">
        <v>55</v>
      </c>
      <c r="Y882" s="30" t="s">
        <v>56</v>
      </c>
      <c r="Z882" s="30" t="s">
        <v>57</v>
      </c>
      <c r="AA882" s="30" t="s">
        <v>58</v>
      </c>
      <c r="AB882" s="30" t="s">
        <v>56</v>
      </c>
      <c r="AC882" s="27"/>
      <c r="AD882" s="31" t="s">
        <v>57</v>
      </c>
      <c r="AE882" s="32" t="str">
        <f t="shared" si="67"/>
        <v>✓ OK</v>
      </c>
      <c r="AF882" s="33" t="s">
        <v>61</v>
      </c>
      <c r="AG882" s="33" t="s">
        <v>55</v>
      </c>
      <c r="AH882" s="33" t="s">
        <v>56</v>
      </c>
      <c r="AI882" s="33" t="s">
        <v>57</v>
      </c>
      <c r="AJ882" s="33" t="s">
        <v>58</v>
      </c>
      <c r="AK882" s="33" t="s">
        <v>56</v>
      </c>
      <c r="AL882" s="27"/>
      <c r="AM882" s="34" t="s">
        <v>57</v>
      </c>
      <c r="AN882" s="35" t="str">
        <f t="shared" si="68"/>
        <v>✓ OK</v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3088</v>
      </c>
      <c r="C883" s="25" t="s">
        <v>3089</v>
      </c>
      <c r="D883" s="23" t="s">
        <v>2301</v>
      </c>
      <c r="E883" s="42">
        <v>46129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42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70">
        <v>46248</v>
      </c>
      <c r="X883" s="30" t="s">
        <v>55</v>
      </c>
      <c r="Y883" s="30" t="s">
        <v>56</v>
      </c>
      <c r="Z883" s="30" t="s">
        <v>57</v>
      </c>
      <c r="AA883" s="30" t="s">
        <v>58</v>
      </c>
      <c r="AB883" s="30" t="s">
        <v>56</v>
      </c>
      <c r="AC883" s="27"/>
      <c r="AD883" s="31" t="s">
        <v>57</v>
      </c>
      <c r="AE883" s="32" t="str">
        <f t="shared" si="67"/>
        <v>✓ OK</v>
      </c>
      <c r="AF883" s="33" t="s">
        <v>61</v>
      </c>
      <c r="AG883" s="33" t="s">
        <v>55</v>
      </c>
      <c r="AH883" s="33" t="s">
        <v>56</v>
      </c>
      <c r="AI883" s="33" t="s">
        <v>57</v>
      </c>
      <c r="AJ883" s="33" t="s">
        <v>58</v>
      </c>
      <c r="AK883" s="33" t="s">
        <v>56</v>
      </c>
      <c r="AL883" s="27"/>
      <c r="AM883" s="34" t="s">
        <v>57</v>
      </c>
      <c r="AN883" s="35" t="str">
        <f t="shared" si="68"/>
        <v>✓ OK</v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3090</v>
      </c>
      <c r="C884" s="41" t="s">
        <v>3091</v>
      </c>
      <c r="D884" s="39" t="s">
        <v>2301</v>
      </c>
      <c r="E884" s="42">
        <v>46132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42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70">
        <v>46248</v>
      </c>
      <c r="X884" s="30" t="s">
        <v>55</v>
      </c>
      <c r="Y884" s="30" t="s">
        <v>56</v>
      </c>
      <c r="Z884" s="30" t="s">
        <v>57</v>
      </c>
      <c r="AA884" s="30" t="s">
        <v>58</v>
      </c>
      <c r="AB884" s="30" t="s">
        <v>56</v>
      </c>
      <c r="AC884" s="27"/>
      <c r="AD884" s="31" t="s">
        <v>57</v>
      </c>
      <c r="AE884" s="32" t="str">
        <f t="shared" si="67"/>
        <v>✓ OK</v>
      </c>
      <c r="AF884" s="33" t="s">
        <v>61</v>
      </c>
      <c r="AG884" s="33" t="s">
        <v>55</v>
      </c>
      <c r="AH884" s="33" t="s">
        <v>56</v>
      </c>
      <c r="AI884" s="33" t="s">
        <v>57</v>
      </c>
      <c r="AJ884" s="33" t="s">
        <v>58</v>
      </c>
      <c r="AK884" s="33" t="s">
        <v>56</v>
      </c>
      <c r="AL884" s="27"/>
      <c r="AM884" s="34" t="s">
        <v>57</v>
      </c>
      <c r="AN884" s="35" t="str">
        <f t="shared" si="68"/>
        <v>✓ OK</v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3092</v>
      </c>
      <c r="C885" s="25" t="s">
        <v>3093</v>
      </c>
      <c r="D885" s="23" t="s">
        <v>2301</v>
      </c>
      <c r="E885" s="42">
        <v>46132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42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70">
        <v>46248</v>
      </c>
      <c r="X885" s="30" t="s">
        <v>55</v>
      </c>
      <c r="Y885" s="30" t="s">
        <v>56</v>
      </c>
      <c r="Z885" s="30" t="s">
        <v>57</v>
      </c>
      <c r="AA885" s="30" t="s">
        <v>58</v>
      </c>
      <c r="AB885" s="30" t="s">
        <v>56</v>
      </c>
      <c r="AC885" s="27"/>
      <c r="AD885" s="31" t="s">
        <v>57</v>
      </c>
      <c r="AE885" s="32" t="str">
        <f t="shared" si="67"/>
        <v>✓ OK</v>
      </c>
      <c r="AF885" s="33" t="s">
        <v>61</v>
      </c>
      <c r="AG885" s="33" t="s">
        <v>55</v>
      </c>
      <c r="AH885" s="33" t="s">
        <v>56</v>
      </c>
      <c r="AI885" s="33" t="s">
        <v>57</v>
      </c>
      <c r="AJ885" s="33" t="s">
        <v>58</v>
      </c>
      <c r="AK885" s="33" t="s">
        <v>56</v>
      </c>
      <c r="AL885" s="27"/>
      <c r="AM885" s="34" t="s">
        <v>57</v>
      </c>
      <c r="AN885" s="35" t="str">
        <f t="shared" si="68"/>
        <v>✓ OK</v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3094</v>
      </c>
      <c r="C886" s="41" t="s">
        <v>3095</v>
      </c>
      <c r="D886" s="39" t="s">
        <v>2301</v>
      </c>
      <c r="E886" s="42">
        <v>46132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42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70">
        <v>46248</v>
      </c>
      <c r="X886" s="30" t="s">
        <v>55</v>
      </c>
      <c r="Y886" s="30" t="s">
        <v>56</v>
      </c>
      <c r="Z886" s="30" t="s">
        <v>57</v>
      </c>
      <c r="AA886" s="30" t="s">
        <v>58</v>
      </c>
      <c r="AB886" s="30" t="s">
        <v>56</v>
      </c>
      <c r="AC886" s="27"/>
      <c r="AD886" s="31" t="s">
        <v>57</v>
      </c>
      <c r="AE886" s="32" t="str">
        <f t="shared" si="67"/>
        <v>✓ OK</v>
      </c>
      <c r="AF886" s="33" t="s">
        <v>61</v>
      </c>
      <c r="AG886" s="33" t="s">
        <v>55</v>
      </c>
      <c r="AH886" s="33" t="s">
        <v>56</v>
      </c>
      <c r="AI886" s="33" t="s">
        <v>57</v>
      </c>
      <c r="AJ886" s="33" t="s">
        <v>58</v>
      </c>
      <c r="AK886" s="33" t="s">
        <v>56</v>
      </c>
      <c r="AL886" s="27"/>
      <c r="AM886" s="34" t="s">
        <v>57</v>
      </c>
      <c r="AN886" s="35" t="str">
        <f t="shared" si="68"/>
        <v>✓ OK</v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3096</v>
      </c>
      <c r="C887" s="25" t="s">
        <v>3097</v>
      </c>
      <c r="D887" s="23" t="s">
        <v>2301</v>
      </c>
      <c r="E887" s="42">
        <v>46132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42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70">
        <v>46248</v>
      </c>
      <c r="X887" s="30" t="s">
        <v>55</v>
      </c>
      <c r="Y887" s="30" t="s">
        <v>56</v>
      </c>
      <c r="Z887" s="30" t="s">
        <v>57</v>
      </c>
      <c r="AA887" s="30" t="s">
        <v>58</v>
      </c>
      <c r="AB887" s="30" t="s">
        <v>56</v>
      </c>
      <c r="AC887" s="27"/>
      <c r="AD887" s="31" t="s">
        <v>57</v>
      </c>
      <c r="AE887" s="32" t="str">
        <f t="shared" si="67"/>
        <v>✓ OK</v>
      </c>
      <c r="AF887" s="33" t="s">
        <v>61</v>
      </c>
      <c r="AG887" s="33" t="s">
        <v>55</v>
      </c>
      <c r="AH887" s="33" t="s">
        <v>56</v>
      </c>
      <c r="AI887" s="33" t="s">
        <v>57</v>
      </c>
      <c r="AJ887" s="33" t="s">
        <v>58</v>
      </c>
      <c r="AK887" s="33" t="s">
        <v>56</v>
      </c>
      <c r="AL887" s="27"/>
      <c r="AM887" s="34" t="s">
        <v>57</v>
      </c>
      <c r="AN887" s="35" t="str">
        <f t="shared" si="68"/>
        <v>✓ OK</v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3098</v>
      </c>
      <c r="C888" s="41" t="s">
        <v>3099</v>
      </c>
      <c r="D888" s="39" t="s">
        <v>2301</v>
      </c>
      <c r="E888" s="42">
        <v>46132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42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70">
        <v>46248</v>
      </c>
      <c r="X888" s="30" t="s">
        <v>55</v>
      </c>
      <c r="Y888" s="30" t="s">
        <v>56</v>
      </c>
      <c r="Z888" s="30" t="s">
        <v>57</v>
      </c>
      <c r="AA888" s="30" t="s">
        <v>58</v>
      </c>
      <c r="AB888" s="30" t="s">
        <v>56</v>
      </c>
      <c r="AC888" s="27"/>
      <c r="AD888" s="31" t="s">
        <v>57</v>
      </c>
      <c r="AE888" s="32" t="str">
        <f t="shared" si="67"/>
        <v>✓ OK</v>
      </c>
      <c r="AF888" s="33" t="s">
        <v>61</v>
      </c>
      <c r="AG888" s="33" t="s">
        <v>55</v>
      </c>
      <c r="AH888" s="33" t="s">
        <v>56</v>
      </c>
      <c r="AI888" s="33" t="s">
        <v>57</v>
      </c>
      <c r="AJ888" s="33" t="s">
        <v>58</v>
      </c>
      <c r="AK888" s="33" t="s">
        <v>56</v>
      </c>
      <c r="AL888" s="27"/>
      <c r="AM888" s="34" t="s">
        <v>57</v>
      </c>
      <c r="AN888" s="35" t="str">
        <f t="shared" si="68"/>
        <v>✓ OK</v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3100</v>
      </c>
      <c r="C889" s="25" t="s">
        <v>3101</v>
      </c>
      <c r="D889" s="23" t="s">
        <v>2301</v>
      </c>
      <c r="E889" s="42">
        <v>46132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42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70">
        <v>46248</v>
      </c>
      <c r="X889" s="30" t="s">
        <v>55</v>
      </c>
      <c r="Y889" s="30" t="s">
        <v>56</v>
      </c>
      <c r="Z889" s="30" t="s">
        <v>57</v>
      </c>
      <c r="AA889" s="30" t="s">
        <v>58</v>
      </c>
      <c r="AB889" s="30" t="s">
        <v>56</v>
      </c>
      <c r="AC889" s="27"/>
      <c r="AD889" s="31" t="s">
        <v>57</v>
      </c>
      <c r="AE889" s="32" t="str">
        <f t="shared" si="67"/>
        <v>✓ OK</v>
      </c>
      <c r="AF889" s="33" t="s">
        <v>61</v>
      </c>
      <c r="AG889" s="33" t="s">
        <v>55</v>
      </c>
      <c r="AH889" s="33" t="s">
        <v>56</v>
      </c>
      <c r="AI889" s="33" t="s">
        <v>57</v>
      </c>
      <c r="AJ889" s="33" t="s">
        <v>58</v>
      </c>
      <c r="AK889" s="33" t="s">
        <v>56</v>
      </c>
      <c r="AL889" s="27"/>
      <c r="AM889" s="34" t="s">
        <v>57</v>
      </c>
      <c r="AN889" s="35" t="str">
        <f t="shared" si="68"/>
        <v>✓ OK</v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3102</v>
      </c>
      <c r="C890" s="41" t="s">
        <v>3103</v>
      </c>
      <c r="D890" s="39" t="s">
        <v>2301</v>
      </c>
      <c r="E890" s="42">
        <v>46132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42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70">
        <v>46248</v>
      </c>
      <c r="X890" s="30" t="s">
        <v>55</v>
      </c>
      <c r="Y890" s="30" t="s">
        <v>56</v>
      </c>
      <c r="Z890" s="30" t="s">
        <v>57</v>
      </c>
      <c r="AA890" s="30" t="s">
        <v>58</v>
      </c>
      <c r="AB890" s="30" t="s">
        <v>56</v>
      </c>
      <c r="AC890" s="27"/>
      <c r="AD890" s="31" t="s">
        <v>57</v>
      </c>
      <c r="AE890" s="32" t="str">
        <f t="shared" si="67"/>
        <v>✓ OK</v>
      </c>
      <c r="AF890" s="33" t="s">
        <v>61</v>
      </c>
      <c r="AG890" s="33" t="s">
        <v>55</v>
      </c>
      <c r="AH890" s="33" t="s">
        <v>56</v>
      </c>
      <c r="AI890" s="33" t="s">
        <v>57</v>
      </c>
      <c r="AJ890" s="33" t="s">
        <v>58</v>
      </c>
      <c r="AK890" s="33" t="s">
        <v>56</v>
      </c>
      <c r="AL890" s="27"/>
      <c r="AM890" s="34" t="s">
        <v>57</v>
      </c>
      <c r="AN890" s="35" t="str">
        <f t="shared" si="68"/>
        <v>✓ OK</v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3104</v>
      </c>
      <c r="C891" s="25" t="s">
        <v>3105</v>
      </c>
      <c r="D891" s="23" t="s">
        <v>2301</v>
      </c>
      <c r="E891" s="42">
        <v>46132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42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70">
        <v>46248</v>
      </c>
      <c r="X891" s="30" t="s">
        <v>55</v>
      </c>
      <c r="Y891" s="30" t="s">
        <v>56</v>
      </c>
      <c r="Z891" s="30" t="s">
        <v>57</v>
      </c>
      <c r="AA891" s="30" t="s">
        <v>58</v>
      </c>
      <c r="AB891" s="30" t="s">
        <v>56</v>
      </c>
      <c r="AC891" s="27"/>
      <c r="AD891" s="31" t="s">
        <v>57</v>
      </c>
      <c r="AE891" s="32" t="str">
        <f t="shared" si="67"/>
        <v>✓ OK</v>
      </c>
      <c r="AF891" s="33" t="s">
        <v>61</v>
      </c>
      <c r="AG891" s="33" t="s">
        <v>55</v>
      </c>
      <c r="AH891" s="33" t="s">
        <v>56</v>
      </c>
      <c r="AI891" s="33" t="s">
        <v>57</v>
      </c>
      <c r="AJ891" s="33" t="s">
        <v>58</v>
      </c>
      <c r="AK891" s="33" t="s">
        <v>56</v>
      </c>
      <c r="AL891" s="27"/>
      <c r="AM891" s="34" t="s">
        <v>57</v>
      </c>
      <c r="AN891" s="35" t="str">
        <f t="shared" si="68"/>
        <v>✓ OK</v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3106</v>
      </c>
      <c r="C892" s="41" t="s">
        <v>3107</v>
      </c>
      <c r="D892" s="39" t="s">
        <v>2301</v>
      </c>
      <c r="E892" s="42">
        <v>46129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42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70">
        <v>46248</v>
      </c>
      <c r="X892" s="30" t="s">
        <v>55</v>
      </c>
      <c r="Y892" s="30" t="s">
        <v>56</v>
      </c>
      <c r="Z892" s="30" t="s">
        <v>57</v>
      </c>
      <c r="AA892" s="30" t="s">
        <v>58</v>
      </c>
      <c r="AB892" s="30" t="s">
        <v>56</v>
      </c>
      <c r="AC892" s="27"/>
      <c r="AD892" s="31" t="s">
        <v>57</v>
      </c>
      <c r="AE892" s="32" t="str">
        <f t="shared" si="67"/>
        <v>✓ OK</v>
      </c>
      <c r="AF892" s="33" t="s">
        <v>61</v>
      </c>
      <c r="AG892" s="33" t="s">
        <v>55</v>
      </c>
      <c r="AH892" s="33" t="s">
        <v>56</v>
      </c>
      <c r="AI892" s="33" t="s">
        <v>57</v>
      </c>
      <c r="AJ892" s="33" t="s">
        <v>58</v>
      </c>
      <c r="AK892" s="33" t="s">
        <v>56</v>
      </c>
      <c r="AL892" s="27"/>
      <c r="AM892" s="34" t="s">
        <v>57</v>
      </c>
      <c r="AN892" s="35" t="str">
        <f t="shared" si="68"/>
        <v>✓ OK</v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3108</v>
      </c>
      <c r="C893" s="25" t="s">
        <v>3109</v>
      </c>
      <c r="D893" s="23" t="s">
        <v>2301</v>
      </c>
      <c r="E893" s="42">
        <v>46129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42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70">
        <v>46248</v>
      </c>
      <c r="X893" s="30" t="s">
        <v>55</v>
      </c>
      <c r="Y893" s="30" t="s">
        <v>56</v>
      </c>
      <c r="Z893" s="30" t="s">
        <v>57</v>
      </c>
      <c r="AA893" s="30" t="s">
        <v>58</v>
      </c>
      <c r="AB893" s="30" t="s">
        <v>56</v>
      </c>
      <c r="AC893" s="27"/>
      <c r="AD893" s="31" t="s">
        <v>57</v>
      </c>
      <c r="AE893" s="32" t="str">
        <f t="shared" si="67"/>
        <v>✓ OK</v>
      </c>
      <c r="AF893" s="33" t="s">
        <v>61</v>
      </c>
      <c r="AG893" s="33" t="s">
        <v>55</v>
      </c>
      <c r="AH893" s="33" t="s">
        <v>56</v>
      </c>
      <c r="AI893" s="33" t="s">
        <v>57</v>
      </c>
      <c r="AJ893" s="33" t="s">
        <v>58</v>
      </c>
      <c r="AK893" s="33" t="s">
        <v>56</v>
      </c>
      <c r="AL893" s="27"/>
      <c r="AM893" s="34" t="s">
        <v>57</v>
      </c>
      <c r="AN893" s="35" t="str">
        <f t="shared" si="68"/>
        <v>✓ OK</v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3110</v>
      </c>
      <c r="C894" s="41" t="s">
        <v>3111</v>
      </c>
      <c r="D894" s="39" t="s">
        <v>2301</v>
      </c>
      <c r="E894" s="42">
        <v>46132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/>
      <c r="K894" s="27"/>
      <c r="L894" s="28"/>
      <c r="M894" s="29" t="str">
        <f t="shared" si="65"/>
        <v>⚠ Check</v>
      </c>
      <c r="N894" s="42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/>
      <c r="T894" s="27"/>
      <c r="U894" s="28" t="s">
        <v>57</v>
      </c>
      <c r="V894" s="29" t="str">
        <f t="shared" si="66"/>
        <v>⚠ Check</v>
      </c>
      <c r="W894" s="70">
        <v>46248</v>
      </c>
      <c r="X894" s="30" t="s">
        <v>55</v>
      </c>
      <c r="Y894" s="30" t="s">
        <v>56</v>
      </c>
      <c r="Z894" s="30" t="s">
        <v>57</v>
      </c>
      <c r="AA894" s="30" t="s">
        <v>58</v>
      </c>
      <c r="AB894" s="30" t="s">
        <v>56</v>
      </c>
      <c r="AC894" s="27"/>
      <c r="AD894" s="31" t="s">
        <v>57</v>
      </c>
      <c r="AE894" s="32" t="str">
        <f t="shared" si="67"/>
        <v>✓ OK</v>
      </c>
      <c r="AF894" s="33" t="s">
        <v>61</v>
      </c>
      <c r="AG894" s="33" t="s">
        <v>55</v>
      </c>
      <c r="AH894" s="33" t="s">
        <v>56</v>
      </c>
      <c r="AI894" s="33" t="s">
        <v>57</v>
      </c>
      <c r="AJ894" s="33" t="s">
        <v>58</v>
      </c>
      <c r="AK894" s="33" t="s">
        <v>56</v>
      </c>
      <c r="AL894" s="27"/>
      <c r="AM894" s="34" t="s">
        <v>57</v>
      </c>
      <c r="AN894" s="35" t="str">
        <f t="shared" si="68"/>
        <v>✓ OK</v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3112</v>
      </c>
      <c r="C895" s="25" t="s">
        <v>3113</v>
      </c>
      <c r="D895" s="23" t="s">
        <v>2301</v>
      </c>
      <c r="E895" s="42">
        <v>46132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42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70">
        <v>46248</v>
      </c>
      <c r="X895" s="30" t="s">
        <v>55</v>
      </c>
      <c r="Y895" s="30" t="s">
        <v>56</v>
      </c>
      <c r="Z895" s="30" t="s">
        <v>57</v>
      </c>
      <c r="AA895" s="30" t="s">
        <v>58</v>
      </c>
      <c r="AB895" s="30" t="s">
        <v>56</v>
      </c>
      <c r="AC895" s="27"/>
      <c r="AD895" s="31" t="s">
        <v>57</v>
      </c>
      <c r="AE895" s="32" t="str">
        <f t="shared" si="67"/>
        <v>✓ OK</v>
      </c>
      <c r="AF895" s="33" t="s">
        <v>61</v>
      </c>
      <c r="AG895" s="33" t="s">
        <v>55</v>
      </c>
      <c r="AH895" s="33" t="s">
        <v>56</v>
      </c>
      <c r="AI895" s="33" t="s">
        <v>57</v>
      </c>
      <c r="AJ895" s="33" t="s">
        <v>58</v>
      </c>
      <c r="AK895" s="33" t="s">
        <v>56</v>
      </c>
      <c r="AL895" s="27"/>
      <c r="AM895" s="34" t="s">
        <v>57</v>
      </c>
      <c r="AN895" s="35" t="str">
        <f t="shared" si="68"/>
        <v>✓ OK</v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3114</v>
      </c>
      <c r="C896" s="41" t="s">
        <v>3115</v>
      </c>
      <c r="D896" s="39" t="s">
        <v>2301</v>
      </c>
      <c r="E896" s="42">
        <v>46129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42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70">
        <v>46248</v>
      </c>
      <c r="X896" s="30" t="s">
        <v>55</v>
      </c>
      <c r="Y896" s="30" t="s">
        <v>56</v>
      </c>
      <c r="Z896" s="30" t="s">
        <v>57</v>
      </c>
      <c r="AA896" s="30" t="s">
        <v>58</v>
      </c>
      <c r="AB896" s="30" t="s">
        <v>56</v>
      </c>
      <c r="AC896" s="27"/>
      <c r="AD896" s="31" t="s">
        <v>57</v>
      </c>
      <c r="AE896" s="32" t="str">
        <f t="shared" si="67"/>
        <v>✓ OK</v>
      </c>
      <c r="AF896" s="33" t="s">
        <v>61</v>
      </c>
      <c r="AG896" s="33" t="s">
        <v>55</v>
      </c>
      <c r="AH896" s="33" t="s">
        <v>56</v>
      </c>
      <c r="AI896" s="33" t="s">
        <v>57</v>
      </c>
      <c r="AJ896" s="33" t="s">
        <v>58</v>
      </c>
      <c r="AK896" s="33" t="s">
        <v>56</v>
      </c>
      <c r="AL896" s="27"/>
      <c r="AM896" s="34" t="s">
        <v>57</v>
      </c>
      <c r="AN896" s="35" t="str">
        <f t="shared" si="68"/>
        <v>✓ OK</v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3116</v>
      </c>
      <c r="C897" s="25" t="s">
        <v>3117</v>
      </c>
      <c r="D897" s="23" t="s">
        <v>2301</v>
      </c>
      <c r="E897" s="42">
        <v>46129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42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70">
        <v>46248</v>
      </c>
      <c r="X897" s="30" t="s">
        <v>55</v>
      </c>
      <c r="Y897" s="30" t="s">
        <v>56</v>
      </c>
      <c r="Z897" s="30" t="s">
        <v>57</v>
      </c>
      <c r="AA897" s="30" t="s">
        <v>58</v>
      </c>
      <c r="AB897" s="30" t="s">
        <v>56</v>
      </c>
      <c r="AC897" s="27"/>
      <c r="AD897" s="31" t="s">
        <v>57</v>
      </c>
      <c r="AE897" s="32" t="str">
        <f t="shared" si="67"/>
        <v>✓ OK</v>
      </c>
      <c r="AF897" s="33" t="s">
        <v>61</v>
      </c>
      <c r="AG897" s="33" t="s">
        <v>55</v>
      </c>
      <c r="AH897" s="33" t="s">
        <v>56</v>
      </c>
      <c r="AI897" s="33" t="s">
        <v>57</v>
      </c>
      <c r="AJ897" s="33" t="s">
        <v>58</v>
      </c>
      <c r="AK897" s="33" t="s">
        <v>56</v>
      </c>
      <c r="AL897" s="27"/>
      <c r="AM897" s="34" t="s">
        <v>57</v>
      </c>
      <c r="AN897" s="35" t="str">
        <f t="shared" si="68"/>
        <v>✓ OK</v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3118</v>
      </c>
      <c r="C898" s="41" t="s">
        <v>3119</v>
      </c>
      <c r="D898" s="39" t="s">
        <v>2301</v>
      </c>
      <c r="E898" s="42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42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70">
        <v>46248</v>
      </c>
      <c r="X898" s="30" t="s">
        <v>55</v>
      </c>
      <c r="Y898" s="30" t="s">
        <v>56</v>
      </c>
      <c r="Z898" s="30" t="s">
        <v>57</v>
      </c>
      <c r="AA898" s="30" t="s">
        <v>58</v>
      </c>
      <c r="AB898" s="30" t="s">
        <v>56</v>
      </c>
      <c r="AC898" s="27"/>
      <c r="AD898" s="31" t="s">
        <v>57</v>
      </c>
      <c r="AE898" s="32" t="str">
        <f t="shared" si="67"/>
        <v>✓ OK</v>
      </c>
      <c r="AF898" s="33" t="s">
        <v>61</v>
      </c>
      <c r="AG898" s="33" t="s">
        <v>55</v>
      </c>
      <c r="AH898" s="33" t="s">
        <v>56</v>
      </c>
      <c r="AI898" s="33" t="s">
        <v>57</v>
      </c>
      <c r="AJ898" s="33" t="s">
        <v>58</v>
      </c>
      <c r="AK898" s="33" t="s">
        <v>56</v>
      </c>
      <c r="AL898" s="27"/>
      <c r="AM898" s="34" t="s">
        <v>57</v>
      </c>
      <c r="AN898" s="35" t="str">
        <f t="shared" si="68"/>
        <v>✓ OK</v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3120</v>
      </c>
      <c r="C899" s="25" t="s">
        <v>3121</v>
      </c>
      <c r="D899" s="23" t="s">
        <v>2301</v>
      </c>
      <c r="E899" s="42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42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70">
        <v>46248</v>
      </c>
      <c r="X899" s="30" t="s">
        <v>55</v>
      </c>
      <c r="Y899" s="30" t="s">
        <v>56</v>
      </c>
      <c r="Z899" s="30" t="s">
        <v>57</v>
      </c>
      <c r="AA899" s="30" t="s">
        <v>58</v>
      </c>
      <c r="AB899" s="30" t="s">
        <v>56</v>
      </c>
      <c r="AC899" s="27"/>
      <c r="AD899" s="31" t="s">
        <v>57</v>
      </c>
      <c r="AE899" s="32" t="str">
        <f t="shared" si="67"/>
        <v>✓ OK</v>
      </c>
      <c r="AF899" s="33" t="s">
        <v>61</v>
      </c>
      <c r="AG899" s="33" t="s">
        <v>55</v>
      </c>
      <c r="AH899" s="33" t="s">
        <v>56</v>
      </c>
      <c r="AI899" s="33" t="s">
        <v>57</v>
      </c>
      <c r="AJ899" s="33" t="s">
        <v>58</v>
      </c>
      <c r="AK899" s="33" t="s">
        <v>56</v>
      </c>
      <c r="AL899" s="27"/>
      <c r="AM899" s="34" t="s">
        <v>57</v>
      </c>
      <c r="AN899" s="35" t="str">
        <f t="shared" si="68"/>
        <v>✓ OK</v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3122</v>
      </c>
      <c r="C900" s="41" t="s">
        <v>3123</v>
      </c>
      <c r="D900" s="39" t="s">
        <v>2301</v>
      </c>
      <c r="E900" s="42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42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70">
        <v>46248</v>
      </c>
      <c r="X900" s="30" t="s">
        <v>55</v>
      </c>
      <c r="Y900" s="30" t="s">
        <v>56</v>
      </c>
      <c r="Z900" s="30" t="s">
        <v>57</v>
      </c>
      <c r="AA900" s="30" t="s">
        <v>58</v>
      </c>
      <c r="AB900" s="30" t="s">
        <v>56</v>
      </c>
      <c r="AC900" s="27"/>
      <c r="AD900" s="31" t="s">
        <v>57</v>
      </c>
      <c r="AE900" s="32" t="str">
        <f t="shared" si="67"/>
        <v>✓ OK</v>
      </c>
      <c r="AF900" s="33" t="s">
        <v>61</v>
      </c>
      <c r="AG900" s="33" t="s">
        <v>55</v>
      </c>
      <c r="AH900" s="33" t="s">
        <v>56</v>
      </c>
      <c r="AI900" s="33" t="s">
        <v>57</v>
      </c>
      <c r="AJ900" s="33" t="s">
        <v>58</v>
      </c>
      <c r="AK900" s="33" t="s">
        <v>56</v>
      </c>
      <c r="AL900" s="27"/>
      <c r="AM900" s="34" t="s">
        <v>57</v>
      </c>
      <c r="AN900" s="35" t="str">
        <f t="shared" si="68"/>
        <v>✓ OK</v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3124</v>
      </c>
      <c r="C901" s="25" t="s">
        <v>3125</v>
      </c>
      <c r="D901" s="23" t="s">
        <v>2301</v>
      </c>
      <c r="E901" s="42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42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70">
        <v>46248</v>
      </c>
      <c r="X901" s="30" t="s">
        <v>55</v>
      </c>
      <c r="Y901" s="30" t="s">
        <v>56</v>
      </c>
      <c r="Z901" s="30" t="s">
        <v>57</v>
      </c>
      <c r="AA901" s="30" t="s">
        <v>58</v>
      </c>
      <c r="AB901" s="30" t="s">
        <v>56</v>
      </c>
      <c r="AC901" s="27"/>
      <c r="AD901" s="31" t="s">
        <v>57</v>
      </c>
      <c r="AE901" s="32" t="str">
        <f t="shared" ref="AE901:AE964" si="72">IF(W901="","",IF(Z901="Yes","❌ Disc",IF(Y901="No","⚠ Missing",IF(AB901="Yes","✓ OK","⚠ Check"))))</f>
        <v>✓ OK</v>
      </c>
      <c r="AF901" s="33" t="s">
        <v>61</v>
      </c>
      <c r="AG901" s="33" t="s">
        <v>55</v>
      </c>
      <c r="AH901" s="33" t="s">
        <v>56</v>
      </c>
      <c r="AI901" s="33" t="s">
        <v>57</v>
      </c>
      <c r="AJ901" s="33" t="s">
        <v>58</v>
      </c>
      <c r="AK901" s="33" t="s">
        <v>56</v>
      </c>
      <c r="AL901" s="27"/>
      <c r="AM901" s="34" t="s">
        <v>57</v>
      </c>
      <c r="AN901" s="35" t="str">
        <f t="shared" ref="AN901:AN964" si="73">IF(AF901="","",IF(AI901="Yes","❌ Disc",IF(AH901="No","⚠ Missing",IF(AK901="Yes","✓ OK","⚠ Check"))))</f>
        <v>✓ OK</v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3126</v>
      </c>
      <c r="C902" s="41" t="s">
        <v>3127</v>
      </c>
      <c r="D902" s="39" t="s">
        <v>2301</v>
      </c>
      <c r="E902" s="42">
        <v>46129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42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70">
        <v>46248</v>
      </c>
      <c r="X902" s="30" t="s">
        <v>55</v>
      </c>
      <c r="Y902" s="30" t="s">
        <v>56</v>
      </c>
      <c r="Z902" s="30" t="s">
        <v>57</v>
      </c>
      <c r="AA902" s="30" t="s">
        <v>58</v>
      </c>
      <c r="AB902" s="30" t="s">
        <v>56</v>
      </c>
      <c r="AC902" s="27"/>
      <c r="AD902" s="31" t="s">
        <v>57</v>
      </c>
      <c r="AE902" s="32" t="str">
        <f t="shared" si="72"/>
        <v>✓ OK</v>
      </c>
      <c r="AF902" s="33" t="s">
        <v>61</v>
      </c>
      <c r="AG902" s="33" t="s">
        <v>55</v>
      </c>
      <c r="AH902" s="33" t="s">
        <v>56</v>
      </c>
      <c r="AI902" s="33" t="s">
        <v>57</v>
      </c>
      <c r="AJ902" s="33" t="s">
        <v>58</v>
      </c>
      <c r="AK902" s="33" t="s">
        <v>56</v>
      </c>
      <c r="AL902" s="27"/>
      <c r="AM902" s="34" t="s">
        <v>57</v>
      </c>
      <c r="AN902" s="35" t="str">
        <f t="shared" si="73"/>
        <v>✓ OK</v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3128</v>
      </c>
      <c r="C903" s="25" t="s">
        <v>3129</v>
      </c>
      <c r="D903" s="23" t="s">
        <v>2301</v>
      </c>
      <c r="E903" s="42">
        <v>46129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42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70">
        <v>46248</v>
      </c>
      <c r="X903" s="30" t="s">
        <v>55</v>
      </c>
      <c r="Y903" s="30" t="s">
        <v>56</v>
      </c>
      <c r="Z903" s="30" t="s">
        <v>57</v>
      </c>
      <c r="AA903" s="30" t="s">
        <v>58</v>
      </c>
      <c r="AB903" s="30" t="s">
        <v>56</v>
      </c>
      <c r="AC903" s="27"/>
      <c r="AD903" s="31" t="s">
        <v>57</v>
      </c>
      <c r="AE903" s="32" t="str">
        <f t="shared" si="72"/>
        <v>✓ OK</v>
      </c>
      <c r="AF903" s="33" t="s">
        <v>61</v>
      </c>
      <c r="AG903" s="33" t="s">
        <v>55</v>
      </c>
      <c r="AH903" s="33" t="s">
        <v>56</v>
      </c>
      <c r="AI903" s="33" t="s">
        <v>57</v>
      </c>
      <c r="AJ903" s="33" t="s">
        <v>58</v>
      </c>
      <c r="AK903" s="33" t="s">
        <v>56</v>
      </c>
      <c r="AL903" s="27"/>
      <c r="AM903" s="34" t="s">
        <v>57</v>
      </c>
      <c r="AN903" s="35" t="str">
        <f t="shared" si="73"/>
        <v>✓ OK</v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3130</v>
      </c>
      <c r="C904" s="41" t="s">
        <v>3131</v>
      </c>
      <c r="D904" s="39" t="s">
        <v>2301</v>
      </c>
      <c r="E904" s="42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42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70">
        <v>46248</v>
      </c>
      <c r="X904" s="30" t="s">
        <v>55</v>
      </c>
      <c r="Y904" s="30" t="s">
        <v>56</v>
      </c>
      <c r="Z904" s="30" t="s">
        <v>57</v>
      </c>
      <c r="AA904" s="30" t="s">
        <v>58</v>
      </c>
      <c r="AB904" s="30" t="s">
        <v>56</v>
      </c>
      <c r="AC904" s="27"/>
      <c r="AD904" s="31" t="s">
        <v>57</v>
      </c>
      <c r="AE904" s="32" t="str">
        <f t="shared" si="72"/>
        <v>✓ OK</v>
      </c>
      <c r="AF904" s="33" t="s">
        <v>61</v>
      </c>
      <c r="AG904" s="33" t="s">
        <v>55</v>
      </c>
      <c r="AH904" s="33" t="s">
        <v>56</v>
      </c>
      <c r="AI904" s="33" t="s">
        <v>57</v>
      </c>
      <c r="AJ904" s="33" t="s">
        <v>58</v>
      </c>
      <c r="AK904" s="33" t="s">
        <v>56</v>
      </c>
      <c r="AL904" s="27"/>
      <c r="AM904" s="34" t="s">
        <v>57</v>
      </c>
      <c r="AN904" s="35" t="str">
        <f t="shared" si="73"/>
        <v>✓ OK</v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3132</v>
      </c>
      <c r="C905" s="25" t="s">
        <v>3133</v>
      </c>
      <c r="D905" s="23" t="s">
        <v>2301</v>
      </c>
      <c r="E905" s="42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42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70">
        <v>46248</v>
      </c>
      <c r="X905" s="30" t="s">
        <v>55</v>
      </c>
      <c r="Y905" s="30" t="s">
        <v>56</v>
      </c>
      <c r="Z905" s="30" t="s">
        <v>57</v>
      </c>
      <c r="AA905" s="30" t="s">
        <v>58</v>
      </c>
      <c r="AB905" s="30" t="s">
        <v>56</v>
      </c>
      <c r="AC905" s="27"/>
      <c r="AD905" s="31" t="s">
        <v>57</v>
      </c>
      <c r="AE905" s="32" t="str">
        <f t="shared" si="72"/>
        <v>✓ OK</v>
      </c>
      <c r="AF905" s="33" t="s">
        <v>61</v>
      </c>
      <c r="AG905" s="33" t="s">
        <v>55</v>
      </c>
      <c r="AH905" s="33" t="s">
        <v>56</v>
      </c>
      <c r="AI905" s="33" t="s">
        <v>57</v>
      </c>
      <c r="AJ905" s="33" t="s">
        <v>58</v>
      </c>
      <c r="AK905" s="33" t="s">
        <v>56</v>
      </c>
      <c r="AL905" s="27"/>
      <c r="AM905" s="34" t="s">
        <v>57</v>
      </c>
      <c r="AN905" s="35" t="str">
        <f t="shared" si="73"/>
        <v>✓ OK</v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3134</v>
      </c>
      <c r="C906" s="41" t="s">
        <v>3135</v>
      </c>
      <c r="D906" s="39" t="s">
        <v>2301</v>
      </c>
      <c r="E906" s="42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42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70">
        <v>46248</v>
      </c>
      <c r="X906" s="30" t="s">
        <v>55</v>
      </c>
      <c r="Y906" s="30" t="s">
        <v>56</v>
      </c>
      <c r="Z906" s="30" t="s">
        <v>57</v>
      </c>
      <c r="AA906" s="30" t="s">
        <v>58</v>
      </c>
      <c r="AB906" s="30" t="s">
        <v>56</v>
      </c>
      <c r="AC906" s="27"/>
      <c r="AD906" s="31" t="s">
        <v>57</v>
      </c>
      <c r="AE906" s="32" t="str">
        <f t="shared" si="72"/>
        <v>✓ OK</v>
      </c>
      <c r="AF906" s="33" t="s">
        <v>61</v>
      </c>
      <c r="AG906" s="33" t="s">
        <v>55</v>
      </c>
      <c r="AH906" s="33" t="s">
        <v>56</v>
      </c>
      <c r="AI906" s="33" t="s">
        <v>57</v>
      </c>
      <c r="AJ906" s="33" t="s">
        <v>58</v>
      </c>
      <c r="AK906" s="33" t="s">
        <v>56</v>
      </c>
      <c r="AL906" s="27"/>
      <c r="AM906" s="34" t="s">
        <v>57</v>
      </c>
      <c r="AN906" s="35" t="str">
        <f t="shared" si="73"/>
        <v>✓ OK</v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3136</v>
      </c>
      <c r="C907" s="25" t="s">
        <v>3137</v>
      </c>
      <c r="D907" s="23" t="s">
        <v>2301</v>
      </c>
      <c r="E907" s="42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42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70">
        <v>46248</v>
      </c>
      <c r="X907" s="30" t="s">
        <v>55</v>
      </c>
      <c r="Y907" s="30" t="s">
        <v>56</v>
      </c>
      <c r="Z907" s="30" t="s">
        <v>57</v>
      </c>
      <c r="AA907" s="30" t="s">
        <v>58</v>
      </c>
      <c r="AB907" s="30" t="s">
        <v>56</v>
      </c>
      <c r="AC907" s="27"/>
      <c r="AD907" s="31" t="s">
        <v>57</v>
      </c>
      <c r="AE907" s="32" t="str">
        <f t="shared" si="72"/>
        <v>✓ OK</v>
      </c>
      <c r="AF907" s="33" t="s">
        <v>61</v>
      </c>
      <c r="AG907" s="33" t="s">
        <v>55</v>
      </c>
      <c r="AH907" s="33" t="s">
        <v>56</v>
      </c>
      <c r="AI907" s="33" t="s">
        <v>57</v>
      </c>
      <c r="AJ907" s="33" t="s">
        <v>58</v>
      </c>
      <c r="AK907" s="33" t="s">
        <v>56</v>
      </c>
      <c r="AL907" s="27"/>
      <c r="AM907" s="34" t="s">
        <v>57</v>
      </c>
      <c r="AN907" s="35" t="str">
        <f t="shared" si="73"/>
        <v>✓ OK</v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3138</v>
      </c>
      <c r="C908" s="41" t="s">
        <v>3139</v>
      </c>
      <c r="D908" s="39" t="s">
        <v>2301</v>
      </c>
      <c r="E908" s="42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42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70">
        <v>46248</v>
      </c>
      <c r="X908" s="30" t="s">
        <v>55</v>
      </c>
      <c r="Y908" s="30" t="s">
        <v>56</v>
      </c>
      <c r="Z908" s="30" t="s">
        <v>57</v>
      </c>
      <c r="AA908" s="30" t="s">
        <v>58</v>
      </c>
      <c r="AB908" s="30" t="s">
        <v>56</v>
      </c>
      <c r="AC908" s="27"/>
      <c r="AD908" s="31" t="s">
        <v>57</v>
      </c>
      <c r="AE908" s="32" t="str">
        <f t="shared" si="72"/>
        <v>✓ OK</v>
      </c>
      <c r="AF908" s="33" t="s">
        <v>61</v>
      </c>
      <c r="AG908" s="33" t="s">
        <v>55</v>
      </c>
      <c r="AH908" s="33" t="s">
        <v>56</v>
      </c>
      <c r="AI908" s="33" t="s">
        <v>57</v>
      </c>
      <c r="AJ908" s="33" t="s">
        <v>58</v>
      </c>
      <c r="AK908" s="33" t="s">
        <v>56</v>
      </c>
      <c r="AL908" s="27"/>
      <c r="AM908" s="34" t="s">
        <v>57</v>
      </c>
      <c r="AN908" s="35" t="str">
        <f t="shared" si="73"/>
        <v>✓ OK</v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3140</v>
      </c>
      <c r="C909" s="25" t="s">
        <v>3141</v>
      </c>
      <c r="D909" s="23" t="s">
        <v>2301</v>
      </c>
      <c r="E909" s="42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42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70">
        <v>46248</v>
      </c>
      <c r="X909" s="30" t="s">
        <v>55</v>
      </c>
      <c r="Y909" s="30" t="s">
        <v>56</v>
      </c>
      <c r="Z909" s="30" t="s">
        <v>57</v>
      </c>
      <c r="AA909" s="30" t="s">
        <v>58</v>
      </c>
      <c r="AB909" s="30" t="s">
        <v>56</v>
      </c>
      <c r="AC909" s="27"/>
      <c r="AD909" s="31" t="s">
        <v>57</v>
      </c>
      <c r="AE909" s="32" t="str">
        <f t="shared" si="72"/>
        <v>✓ OK</v>
      </c>
      <c r="AF909" s="33" t="s">
        <v>61</v>
      </c>
      <c r="AG909" s="33" t="s">
        <v>55</v>
      </c>
      <c r="AH909" s="33" t="s">
        <v>56</v>
      </c>
      <c r="AI909" s="33" t="s">
        <v>57</v>
      </c>
      <c r="AJ909" s="33" t="s">
        <v>58</v>
      </c>
      <c r="AK909" s="33" t="s">
        <v>56</v>
      </c>
      <c r="AL909" s="27"/>
      <c r="AM909" s="34" t="s">
        <v>57</v>
      </c>
      <c r="AN909" s="35" t="str">
        <f t="shared" si="73"/>
        <v>✓ OK</v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3142</v>
      </c>
      <c r="C910" s="41" t="s">
        <v>3143</v>
      </c>
      <c r="D910" s="39" t="s">
        <v>2301</v>
      </c>
      <c r="E910" s="42">
        <v>46129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42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70">
        <v>46248</v>
      </c>
      <c r="X910" s="30" t="s">
        <v>55</v>
      </c>
      <c r="Y910" s="30" t="s">
        <v>56</v>
      </c>
      <c r="Z910" s="30" t="s">
        <v>57</v>
      </c>
      <c r="AA910" s="30" t="s">
        <v>58</v>
      </c>
      <c r="AB910" s="30" t="s">
        <v>56</v>
      </c>
      <c r="AC910" s="27"/>
      <c r="AD910" s="31" t="s">
        <v>57</v>
      </c>
      <c r="AE910" s="32" t="str">
        <f t="shared" si="72"/>
        <v>✓ OK</v>
      </c>
      <c r="AF910" s="33" t="s">
        <v>61</v>
      </c>
      <c r="AG910" s="33" t="s">
        <v>55</v>
      </c>
      <c r="AH910" s="33" t="s">
        <v>56</v>
      </c>
      <c r="AI910" s="33" t="s">
        <v>57</v>
      </c>
      <c r="AJ910" s="33" t="s">
        <v>58</v>
      </c>
      <c r="AK910" s="33" t="s">
        <v>56</v>
      </c>
      <c r="AL910" s="27"/>
      <c r="AM910" s="34" t="s">
        <v>57</v>
      </c>
      <c r="AN910" s="35" t="str">
        <f t="shared" si="73"/>
        <v>✓ OK</v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3144</v>
      </c>
      <c r="C911" s="25" t="s">
        <v>3145</v>
      </c>
      <c r="D911" s="23" t="s">
        <v>2301</v>
      </c>
      <c r="E911" s="42">
        <v>46129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42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70">
        <v>46248</v>
      </c>
      <c r="X911" s="30" t="s">
        <v>55</v>
      </c>
      <c r="Y911" s="30" t="s">
        <v>56</v>
      </c>
      <c r="Z911" s="30" t="s">
        <v>57</v>
      </c>
      <c r="AA911" s="30" t="s">
        <v>58</v>
      </c>
      <c r="AB911" s="30" t="s">
        <v>56</v>
      </c>
      <c r="AC911" s="27"/>
      <c r="AD911" s="31" t="s">
        <v>57</v>
      </c>
      <c r="AE911" s="32" t="str">
        <f t="shared" si="72"/>
        <v>✓ OK</v>
      </c>
      <c r="AF911" s="33" t="s">
        <v>61</v>
      </c>
      <c r="AG911" s="33" t="s">
        <v>55</v>
      </c>
      <c r="AH911" s="33" t="s">
        <v>56</v>
      </c>
      <c r="AI911" s="33" t="s">
        <v>57</v>
      </c>
      <c r="AJ911" s="33" t="s">
        <v>58</v>
      </c>
      <c r="AK911" s="33" t="s">
        <v>56</v>
      </c>
      <c r="AL911" s="27"/>
      <c r="AM911" s="34" t="s">
        <v>57</v>
      </c>
      <c r="AN911" s="35" t="str">
        <f t="shared" si="73"/>
        <v>✓ OK</v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3146</v>
      </c>
      <c r="C912" s="41" t="s">
        <v>3147</v>
      </c>
      <c r="D912" s="39" t="s">
        <v>2301</v>
      </c>
      <c r="E912" s="42">
        <v>46132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42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70">
        <v>46248</v>
      </c>
      <c r="X912" s="30" t="s">
        <v>55</v>
      </c>
      <c r="Y912" s="30" t="s">
        <v>56</v>
      </c>
      <c r="Z912" s="30" t="s">
        <v>57</v>
      </c>
      <c r="AA912" s="30" t="s">
        <v>58</v>
      </c>
      <c r="AB912" s="30" t="s">
        <v>56</v>
      </c>
      <c r="AC912" s="27"/>
      <c r="AD912" s="31" t="s">
        <v>57</v>
      </c>
      <c r="AE912" s="32" t="str">
        <f t="shared" si="72"/>
        <v>✓ OK</v>
      </c>
      <c r="AF912" s="33" t="s">
        <v>61</v>
      </c>
      <c r="AG912" s="33" t="s">
        <v>55</v>
      </c>
      <c r="AH912" s="33" t="s">
        <v>56</v>
      </c>
      <c r="AI912" s="33" t="s">
        <v>57</v>
      </c>
      <c r="AJ912" s="33" t="s">
        <v>58</v>
      </c>
      <c r="AK912" s="33" t="s">
        <v>56</v>
      </c>
      <c r="AL912" s="27"/>
      <c r="AM912" s="34" t="s">
        <v>57</v>
      </c>
      <c r="AN912" s="35" t="str">
        <f t="shared" si="73"/>
        <v>✓ OK</v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3148</v>
      </c>
      <c r="C913" s="25" t="s">
        <v>3149</v>
      </c>
      <c r="D913" s="23" t="s">
        <v>2301</v>
      </c>
      <c r="E913" s="42">
        <v>46132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42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70">
        <v>46248</v>
      </c>
      <c r="X913" s="30" t="s">
        <v>55</v>
      </c>
      <c r="Y913" s="30" t="s">
        <v>56</v>
      </c>
      <c r="Z913" s="30" t="s">
        <v>57</v>
      </c>
      <c r="AA913" s="30" t="s">
        <v>58</v>
      </c>
      <c r="AB913" s="30" t="s">
        <v>56</v>
      </c>
      <c r="AC913" s="27"/>
      <c r="AD913" s="31" t="s">
        <v>57</v>
      </c>
      <c r="AE913" s="32" t="str">
        <f t="shared" si="72"/>
        <v>✓ OK</v>
      </c>
      <c r="AF913" s="33" t="s">
        <v>61</v>
      </c>
      <c r="AG913" s="33" t="s">
        <v>55</v>
      </c>
      <c r="AH913" s="33" t="s">
        <v>56</v>
      </c>
      <c r="AI913" s="33" t="s">
        <v>57</v>
      </c>
      <c r="AJ913" s="33" t="s">
        <v>58</v>
      </c>
      <c r="AK913" s="33" t="s">
        <v>56</v>
      </c>
      <c r="AL913" s="27"/>
      <c r="AM913" s="34" t="s">
        <v>57</v>
      </c>
      <c r="AN913" s="35" t="str">
        <f t="shared" si="73"/>
        <v>✓ OK</v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3150</v>
      </c>
      <c r="C914" s="41" t="s">
        <v>3151</v>
      </c>
      <c r="D914" s="39" t="s">
        <v>2301</v>
      </c>
      <c r="E914" s="42">
        <v>46132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42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70">
        <v>46248</v>
      </c>
      <c r="X914" s="30" t="s">
        <v>55</v>
      </c>
      <c r="Y914" s="30" t="s">
        <v>56</v>
      </c>
      <c r="Z914" s="30" t="s">
        <v>57</v>
      </c>
      <c r="AA914" s="30" t="s">
        <v>58</v>
      </c>
      <c r="AB914" s="30" t="s">
        <v>56</v>
      </c>
      <c r="AC914" s="27"/>
      <c r="AD914" s="31" t="s">
        <v>57</v>
      </c>
      <c r="AE914" s="32" t="str">
        <f t="shared" si="72"/>
        <v>✓ OK</v>
      </c>
      <c r="AF914" s="33" t="s">
        <v>61</v>
      </c>
      <c r="AG914" s="33" t="s">
        <v>55</v>
      </c>
      <c r="AH914" s="33" t="s">
        <v>56</v>
      </c>
      <c r="AI914" s="33" t="s">
        <v>57</v>
      </c>
      <c r="AJ914" s="33" t="s">
        <v>58</v>
      </c>
      <c r="AK914" s="33" t="s">
        <v>56</v>
      </c>
      <c r="AL914" s="27"/>
      <c r="AM914" s="34" t="s">
        <v>57</v>
      </c>
      <c r="AN914" s="35" t="str">
        <f t="shared" si="73"/>
        <v>✓ OK</v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3152</v>
      </c>
      <c r="C915" s="25" t="s">
        <v>3153</v>
      </c>
      <c r="D915" s="23" t="s">
        <v>2301</v>
      </c>
      <c r="E915" s="42">
        <v>46132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42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70">
        <v>46248</v>
      </c>
      <c r="X915" s="30" t="s">
        <v>55</v>
      </c>
      <c r="Y915" s="30" t="s">
        <v>56</v>
      </c>
      <c r="Z915" s="30" t="s">
        <v>57</v>
      </c>
      <c r="AA915" s="30" t="s">
        <v>58</v>
      </c>
      <c r="AB915" s="30" t="s">
        <v>56</v>
      </c>
      <c r="AC915" s="27"/>
      <c r="AD915" s="31" t="s">
        <v>57</v>
      </c>
      <c r="AE915" s="32" t="str">
        <f t="shared" si="72"/>
        <v>✓ OK</v>
      </c>
      <c r="AF915" s="33" t="s">
        <v>61</v>
      </c>
      <c r="AG915" s="33" t="s">
        <v>55</v>
      </c>
      <c r="AH915" s="33" t="s">
        <v>56</v>
      </c>
      <c r="AI915" s="33" t="s">
        <v>57</v>
      </c>
      <c r="AJ915" s="33" t="s">
        <v>58</v>
      </c>
      <c r="AK915" s="33" t="s">
        <v>56</v>
      </c>
      <c r="AL915" s="27"/>
      <c r="AM915" s="34" t="s">
        <v>57</v>
      </c>
      <c r="AN915" s="35" t="str">
        <f t="shared" si="73"/>
        <v>✓ OK</v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3154</v>
      </c>
      <c r="C916" s="41" t="s">
        <v>3155</v>
      </c>
      <c r="D916" s="39" t="s">
        <v>2301</v>
      </c>
      <c r="E916" s="42">
        <v>46132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42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70">
        <v>46248</v>
      </c>
      <c r="X916" s="30" t="s">
        <v>55</v>
      </c>
      <c r="Y916" s="30" t="s">
        <v>56</v>
      </c>
      <c r="Z916" s="30" t="s">
        <v>57</v>
      </c>
      <c r="AA916" s="30" t="s">
        <v>58</v>
      </c>
      <c r="AB916" s="30" t="s">
        <v>56</v>
      </c>
      <c r="AC916" s="27"/>
      <c r="AD916" s="31" t="s">
        <v>57</v>
      </c>
      <c r="AE916" s="32" t="str">
        <f t="shared" si="72"/>
        <v>✓ OK</v>
      </c>
      <c r="AF916" s="33" t="s">
        <v>61</v>
      </c>
      <c r="AG916" s="33" t="s">
        <v>55</v>
      </c>
      <c r="AH916" s="33" t="s">
        <v>56</v>
      </c>
      <c r="AI916" s="33" t="s">
        <v>57</v>
      </c>
      <c r="AJ916" s="33" t="s">
        <v>58</v>
      </c>
      <c r="AK916" s="33" t="s">
        <v>56</v>
      </c>
      <c r="AL916" s="27"/>
      <c r="AM916" s="34" t="s">
        <v>57</v>
      </c>
      <c r="AN916" s="35" t="str">
        <f t="shared" si="73"/>
        <v>✓ OK</v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3156</v>
      </c>
      <c r="C917" s="25" t="s">
        <v>3157</v>
      </c>
      <c r="D917" s="23" t="s">
        <v>2301</v>
      </c>
      <c r="E917" s="42">
        <v>46132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42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70">
        <v>46248</v>
      </c>
      <c r="X917" s="30" t="s">
        <v>55</v>
      </c>
      <c r="Y917" s="30" t="s">
        <v>56</v>
      </c>
      <c r="Z917" s="30" t="s">
        <v>57</v>
      </c>
      <c r="AA917" s="30" t="s">
        <v>58</v>
      </c>
      <c r="AB917" s="30" t="s">
        <v>56</v>
      </c>
      <c r="AC917" s="27"/>
      <c r="AD917" s="31" t="s">
        <v>57</v>
      </c>
      <c r="AE917" s="32" t="str">
        <f t="shared" si="72"/>
        <v>✓ OK</v>
      </c>
      <c r="AF917" s="33" t="s">
        <v>61</v>
      </c>
      <c r="AG917" s="33" t="s">
        <v>55</v>
      </c>
      <c r="AH917" s="33" t="s">
        <v>56</v>
      </c>
      <c r="AI917" s="33" t="s">
        <v>57</v>
      </c>
      <c r="AJ917" s="33" t="s">
        <v>58</v>
      </c>
      <c r="AK917" s="33" t="s">
        <v>56</v>
      </c>
      <c r="AL917" s="27"/>
      <c r="AM917" s="34" t="s">
        <v>57</v>
      </c>
      <c r="AN917" s="35" t="str">
        <f t="shared" si="73"/>
        <v>✓ OK</v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3158</v>
      </c>
      <c r="C918" s="41" t="s">
        <v>3159</v>
      </c>
      <c r="D918" s="39" t="s">
        <v>2301</v>
      </c>
      <c r="E918" s="42">
        <v>46132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42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70">
        <v>46248</v>
      </c>
      <c r="X918" s="30" t="s">
        <v>55</v>
      </c>
      <c r="Y918" s="30" t="s">
        <v>56</v>
      </c>
      <c r="Z918" s="30" t="s">
        <v>57</v>
      </c>
      <c r="AA918" s="30" t="s">
        <v>58</v>
      </c>
      <c r="AB918" s="30" t="s">
        <v>56</v>
      </c>
      <c r="AC918" s="27"/>
      <c r="AD918" s="31" t="s">
        <v>57</v>
      </c>
      <c r="AE918" s="32" t="str">
        <f t="shared" si="72"/>
        <v>✓ OK</v>
      </c>
      <c r="AF918" s="33" t="s">
        <v>61</v>
      </c>
      <c r="AG918" s="33" t="s">
        <v>55</v>
      </c>
      <c r="AH918" s="33" t="s">
        <v>56</v>
      </c>
      <c r="AI918" s="33" t="s">
        <v>57</v>
      </c>
      <c r="AJ918" s="33" t="s">
        <v>58</v>
      </c>
      <c r="AK918" s="33" t="s">
        <v>56</v>
      </c>
      <c r="AL918" s="27"/>
      <c r="AM918" s="34" t="s">
        <v>57</v>
      </c>
      <c r="AN918" s="35" t="str">
        <f t="shared" si="73"/>
        <v>✓ OK</v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3160</v>
      </c>
      <c r="C919" s="25" t="s">
        <v>3161</v>
      </c>
      <c r="D919" s="23" t="s">
        <v>2301</v>
      </c>
      <c r="E919" s="42">
        <v>46132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42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70">
        <v>46248</v>
      </c>
      <c r="X919" s="30" t="s">
        <v>55</v>
      </c>
      <c r="Y919" s="30" t="s">
        <v>56</v>
      </c>
      <c r="Z919" s="30" t="s">
        <v>57</v>
      </c>
      <c r="AA919" s="30" t="s">
        <v>58</v>
      </c>
      <c r="AB919" s="30" t="s">
        <v>56</v>
      </c>
      <c r="AC919" s="27"/>
      <c r="AD919" s="31" t="s">
        <v>57</v>
      </c>
      <c r="AE919" s="32" t="str">
        <f t="shared" si="72"/>
        <v>✓ OK</v>
      </c>
      <c r="AF919" s="33" t="s">
        <v>61</v>
      </c>
      <c r="AG919" s="33" t="s">
        <v>55</v>
      </c>
      <c r="AH919" s="33" t="s">
        <v>56</v>
      </c>
      <c r="AI919" s="33" t="s">
        <v>57</v>
      </c>
      <c r="AJ919" s="33" t="s">
        <v>58</v>
      </c>
      <c r="AK919" s="33" t="s">
        <v>56</v>
      </c>
      <c r="AL919" s="27"/>
      <c r="AM919" s="34" t="s">
        <v>57</v>
      </c>
      <c r="AN919" s="35" t="str">
        <f t="shared" si="73"/>
        <v>✓ OK</v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3162</v>
      </c>
      <c r="C920" s="41" t="s">
        <v>3163</v>
      </c>
      <c r="D920" s="39" t="s">
        <v>2301</v>
      </c>
      <c r="E920" s="42">
        <v>46132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42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70">
        <v>46248</v>
      </c>
      <c r="X920" s="30" t="s">
        <v>55</v>
      </c>
      <c r="Y920" s="30" t="s">
        <v>56</v>
      </c>
      <c r="Z920" s="30" t="s">
        <v>57</v>
      </c>
      <c r="AA920" s="30" t="s">
        <v>58</v>
      </c>
      <c r="AB920" s="30" t="s">
        <v>56</v>
      </c>
      <c r="AC920" s="27"/>
      <c r="AD920" s="31" t="s">
        <v>57</v>
      </c>
      <c r="AE920" s="32" t="str">
        <f t="shared" si="72"/>
        <v>✓ OK</v>
      </c>
      <c r="AF920" s="33" t="s">
        <v>61</v>
      </c>
      <c r="AG920" s="33" t="s">
        <v>55</v>
      </c>
      <c r="AH920" s="33" t="s">
        <v>56</v>
      </c>
      <c r="AI920" s="33" t="s">
        <v>57</v>
      </c>
      <c r="AJ920" s="33" t="s">
        <v>58</v>
      </c>
      <c r="AK920" s="33" t="s">
        <v>56</v>
      </c>
      <c r="AL920" s="27"/>
      <c r="AM920" s="34" t="s">
        <v>57</v>
      </c>
      <c r="AN920" s="35" t="str">
        <f t="shared" si="73"/>
        <v>✓ OK</v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3164</v>
      </c>
      <c r="C921" s="25" t="s">
        <v>3165</v>
      </c>
      <c r="D921" s="23" t="s">
        <v>2301</v>
      </c>
      <c r="E921" s="42">
        <v>46132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42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70">
        <v>46248</v>
      </c>
      <c r="X921" s="30" t="s">
        <v>55</v>
      </c>
      <c r="Y921" s="30" t="s">
        <v>56</v>
      </c>
      <c r="Z921" s="30" t="s">
        <v>57</v>
      </c>
      <c r="AA921" s="30" t="s">
        <v>58</v>
      </c>
      <c r="AB921" s="30" t="s">
        <v>56</v>
      </c>
      <c r="AC921" s="27"/>
      <c r="AD921" s="31" t="s">
        <v>57</v>
      </c>
      <c r="AE921" s="32" t="str">
        <f t="shared" si="72"/>
        <v>✓ OK</v>
      </c>
      <c r="AF921" s="33" t="s">
        <v>61</v>
      </c>
      <c r="AG921" s="33" t="s">
        <v>55</v>
      </c>
      <c r="AH921" s="33" t="s">
        <v>56</v>
      </c>
      <c r="AI921" s="33" t="s">
        <v>57</v>
      </c>
      <c r="AJ921" s="33" t="s">
        <v>58</v>
      </c>
      <c r="AK921" s="33" t="s">
        <v>56</v>
      </c>
      <c r="AL921" s="27"/>
      <c r="AM921" s="34" t="s">
        <v>57</v>
      </c>
      <c r="AN921" s="35" t="str">
        <f t="shared" si="73"/>
        <v>✓ OK</v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3166</v>
      </c>
      <c r="C922" s="41" t="s">
        <v>3167</v>
      </c>
      <c r="D922" s="39" t="s">
        <v>2301</v>
      </c>
      <c r="E922" s="42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42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70">
        <v>46248</v>
      </c>
      <c r="X922" s="30" t="s">
        <v>55</v>
      </c>
      <c r="Y922" s="30" t="s">
        <v>56</v>
      </c>
      <c r="Z922" s="30" t="s">
        <v>57</v>
      </c>
      <c r="AA922" s="30" t="s">
        <v>58</v>
      </c>
      <c r="AB922" s="30" t="s">
        <v>56</v>
      </c>
      <c r="AC922" s="27"/>
      <c r="AD922" s="31" t="s">
        <v>57</v>
      </c>
      <c r="AE922" s="32" t="str">
        <f t="shared" si="72"/>
        <v>✓ OK</v>
      </c>
      <c r="AF922" s="33" t="s">
        <v>61</v>
      </c>
      <c r="AG922" s="33" t="s">
        <v>55</v>
      </c>
      <c r="AH922" s="33" t="s">
        <v>56</v>
      </c>
      <c r="AI922" s="33" t="s">
        <v>57</v>
      </c>
      <c r="AJ922" s="33" t="s">
        <v>58</v>
      </c>
      <c r="AK922" s="33" t="s">
        <v>56</v>
      </c>
      <c r="AL922" s="27"/>
      <c r="AM922" s="34" t="s">
        <v>57</v>
      </c>
      <c r="AN922" s="35" t="str">
        <f t="shared" si="73"/>
        <v>✓ OK</v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3168</v>
      </c>
      <c r="C923" s="25" t="s">
        <v>3169</v>
      </c>
      <c r="D923" s="23" t="s">
        <v>2301</v>
      </c>
      <c r="E923" s="42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42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70">
        <v>46248</v>
      </c>
      <c r="X923" s="30" t="s">
        <v>55</v>
      </c>
      <c r="Y923" s="30" t="s">
        <v>56</v>
      </c>
      <c r="Z923" s="30" t="s">
        <v>57</v>
      </c>
      <c r="AA923" s="30" t="s">
        <v>58</v>
      </c>
      <c r="AB923" s="30" t="s">
        <v>56</v>
      </c>
      <c r="AC923" s="27"/>
      <c r="AD923" s="31" t="s">
        <v>57</v>
      </c>
      <c r="AE923" s="32" t="str">
        <f t="shared" si="72"/>
        <v>✓ OK</v>
      </c>
      <c r="AF923" s="33" t="s">
        <v>61</v>
      </c>
      <c r="AG923" s="33" t="s">
        <v>55</v>
      </c>
      <c r="AH923" s="33" t="s">
        <v>56</v>
      </c>
      <c r="AI923" s="33" t="s">
        <v>57</v>
      </c>
      <c r="AJ923" s="33" t="s">
        <v>58</v>
      </c>
      <c r="AK923" s="33" t="s">
        <v>56</v>
      </c>
      <c r="AL923" s="27"/>
      <c r="AM923" s="34" t="s">
        <v>57</v>
      </c>
      <c r="AN923" s="35" t="str">
        <f t="shared" si="73"/>
        <v>✓ OK</v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3170</v>
      </c>
      <c r="C924" s="41" t="s">
        <v>3171</v>
      </c>
      <c r="D924" s="39" t="s">
        <v>2301</v>
      </c>
      <c r="E924" s="42">
        <v>46132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42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70">
        <v>46248</v>
      </c>
      <c r="X924" s="30" t="s">
        <v>55</v>
      </c>
      <c r="Y924" s="30" t="s">
        <v>56</v>
      </c>
      <c r="Z924" s="30" t="s">
        <v>57</v>
      </c>
      <c r="AA924" s="30" t="s">
        <v>58</v>
      </c>
      <c r="AB924" s="30" t="s">
        <v>56</v>
      </c>
      <c r="AC924" s="27"/>
      <c r="AD924" s="31" t="s">
        <v>57</v>
      </c>
      <c r="AE924" s="32" t="str">
        <f t="shared" si="72"/>
        <v>✓ OK</v>
      </c>
      <c r="AF924" s="33" t="s">
        <v>61</v>
      </c>
      <c r="AG924" s="33" t="s">
        <v>55</v>
      </c>
      <c r="AH924" s="33" t="s">
        <v>56</v>
      </c>
      <c r="AI924" s="33" t="s">
        <v>57</v>
      </c>
      <c r="AJ924" s="33" t="s">
        <v>58</v>
      </c>
      <c r="AK924" s="33" t="s">
        <v>56</v>
      </c>
      <c r="AL924" s="27"/>
      <c r="AM924" s="34" t="s">
        <v>57</v>
      </c>
      <c r="AN924" s="35" t="str">
        <f t="shared" si="73"/>
        <v>✓ OK</v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3172</v>
      </c>
      <c r="C925" s="25" t="s">
        <v>3173</v>
      </c>
      <c r="D925" s="23" t="s">
        <v>2301</v>
      </c>
      <c r="E925" s="42">
        <v>46132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42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70">
        <v>46248</v>
      </c>
      <c r="X925" s="30" t="s">
        <v>55</v>
      </c>
      <c r="Y925" s="30" t="s">
        <v>56</v>
      </c>
      <c r="Z925" s="30" t="s">
        <v>57</v>
      </c>
      <c r="AA925" s="30" t="s">
        <v>58</v>
      </c>
      <c r="AB925" s="30" t="s">
        <v>56</v>
      </c>
      <c r="AC925" s="27"/>
      <c r="AD925" s="31" t="s">
        <v>57</v>
      </c>
      <c r="AE925" s="32" t="str">
        <f t="shared" si="72"/>
        <v>✓ OK</v>
      </c>
      <c r="AF925" s="33" t="s">
        <v>61</v>
      </c>
      <c r="AG925" s="33" t="s">
        <v>55</v>
      </c>
      <c r="AH925" s="33" t="s">
        <v>56</v>
      </c>
      <c r="AI925" s="33" t="s">
        <v>57</v>
      </c>
      <c r="AJ925" s="33" t="s">
        <v>58</v>
      </c>
      <c r="AK925" s="33" t="s">
        <v>56</v>
      </c>
      <c r="AL925" s="27"/>
      <c r="AM925" s="34" t="s">
        <v>57</v>
      </c>
      <c r="AN925" s="35" t="str">
        <f t="shared" si="73"/>
        <v>✓ OK</v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3174</v>
      </c>
      <c r="C926" s="41" t="s">
        <v>3175</v>
      </c>
      <c r="D926" s="39" t="s">
        <v>2301</v>
      </c>
      <c r="E926" s="42">
        <v>46132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42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70">
        <v>46248</v>
      </c>
      <c r="X926" s="30" t="s">
        <v>55</v>
      </c>
      <c r="Y926" s="30" t="s">
        <v>56</v>
      </c>
      <c r="Z926" s="30" t="s">
        <v>57</v>
      </c>
      <c r="AA926" s="30" t="s">
        <v>58</v>
      </c>
      <c r="AB926" s="30" t="s">
        <v>56</v>
      </c>
      <c r="AC926" s="27"/>
      <c r="AD926" s="31" t="s">
        <v>57</v>
      </c>
      <c r="AE926" s="32" t="str">
        <f t="shared" si="72"/>
        <v>✓ OK</v>
      </c>
      <c r="AF926" s="33" t="s">
        <v>61</v>
      </c>
      <c r="AG926" s="33" t="s">
        <v>55</v>
      </c>
      <c r="AH926" s="33" t="s">
        <v>56</v>
      </c>
      <c r="AI926" s="33" t="s">
        <v>57</v>
      </c>
      <c r="AJ926" s="33" t="s">
        <v>58</v>
      </c>
      <c r="AK926" s="33" t="s">
        <v>56</v>
      </c>
      <c r="AL926" s="27"/>
      <c r="AM926" s="34" t="s">
        <v>57</v>
      </c>
      <c r="AN926" s="35" t="str">
        <f t="shared" si="73"/>
        <v>✓ OK</v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3176</v>
      </c>
      <c r="C927" s="25" t="s">
        <v>3177</v>
      </c>
      <c r="D927" s="23" t="s">
        <v>2301</v>
      </c>
      <c r="E927" s="42">
        <v>46132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42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70">
        <v>46248</v>
      </c>
      <c r="X927" s="30" t="s">
        <v>55</v>
      </c>
      <c r="Y927" s="30" t="s">
        <v>56</v>
      </c>
      <c r="Z927" s="30" t="s">
        <v>57</v>
      </c>
      <c r="AA927" s="30" t="s">
        <v>58</v>
      </c>
      <c r="AB927" s="30" t="s">
        <v>56</v>
      </c>
      <c r="AC927" s="27"/>
      <c r="AD927" s="31" t="s">
        <v>57</v>
      </c>
      <c r="AE927" s="32" t="str">
        <f t="shared" si="72"/>
        <v>✓ OK</v>
      </c>
      <c r="AF927" s="33" t="s">
        <v>61</v>
      </c>
      <c r="AG927" s="33" t="s">
        <v>55</v>
      </c>
      <c r="AH927" s="33" t="s">
        <v>56</v>
      </c>
      <c r="AI927" s="33" t="s">
        <v>57</v>
      </c>
      <c r="AJ927" s="33" t="s">
        <v>58</v>
      </c>
      <c r="AK927" s="33" t="s">
        <v>56</v>
      </c>
      <c r="AL927" s="27"/>
      <c r="AM927" s="34" t="s">
        <v>57</v>
      </c>
      <c r="AN927" s="35" t="str">
        <f t="shared" si="73"/>
        <v>✓ OK</v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3178</v>
      </c>
      <c r="C928" s="41" t="s">
        <v>3179</v>
      </c>
      <c r="D928" s="39" t="s">
        <v>2301</v>
      </c>
      <c r="E928" s="42">
        <v>46132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42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70">
        <v>46248</v>
      </c>
      <c r="X928" s="30" t="s">
        <v>55</v>
      </c>
      <c r="Y928" s="30" t="s">
        <v>56</v>
      </c>
      <c r="Z928" s="30" t="s">
        <v>57</v>
      </c>
      <c r="AA928" s="30" t="s">
        <v>58</v>
      </c>
      <c r="AB928" s="30" t="s">
        <v>56</v>
      </c>
      <c r="AC928" s="27"/>
      <c r="AD928" s="31" t="s">
        <v>57</v>
      </c>
      <c r="AE928" s="32" t="str">
        <f t="shared" si="72"/>
        <v>✓ OK</v>
      </c>
      <c r="AF928" s="33" t="s">
        <v>61</v>
      </c>
      <c r="AG928" s="33" t="s">
        <v>55</v>
      </c>
      <c r="AH928" s="33" t="s">
        <v>56</v>
      </c>
      <c r="AI928" s="33" t="s">
        <v>57</v>
      </c>
      <c r="AJ928" s="33" t="s">
        <v>58</v>
      </c>
      <c r="AK928" s="33" t="s">
        <v>56</v>
      </c>
      <c r="AL928" s="27"/>
      <c r="AM928" s="34" t="s">
        <v>57</v>
      </c>
      <c r="AN928" s="35" t="str">
        <f t="shared" si="73"/>
        <v>✓ OK</v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3180</v>
      </c>
      <c r="C929" s="25" t="s">
        <v>3181</v>
      </c>
      <c r="D929" s="23" t="s">
        <v>2301</v>
      </c>
      <c r="E929" s="42">
        <v>46129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42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70">
        <v>46248</v>
      </c>
      <c r="X929" s="30" t="s">
        <v>55</v>
      </c>
      <c r="Y929" s="30" t="s">
        <v>56</v>
      </c>
      <c r="Z929" s="30" t="s">
        <v>57</v>
      </c>
      <c r="AA929" s="30" t="s">
        <v>58</v>
      </c>
      <c r="AB929" s="30" t="s">
        <v>56</v>
      </c>
      <c r="AC929" s="27"/>
      <c r="AD929" s="31" t="s">
        <v>57</v>
      </c>
      <c r="AE929" s="32" t="str">
        <f t="shared" si="72"/>
        <v>✓ OK</v>
      </c>
      <c r="AF929" s="33" t="s">
        <v>61</v>
      </c>
      <c r="AG929" s="33" t="s">
        <v>55</v>
      </c>
      <c r="AH929" s="33" t="s">
        <v>56</v>
      </c>
      <c r="AI929" s="33" t="s">
        <v>57</v>
      </c>
      <c r="AJ929" s="33" t="s">
        <v>58</v>
      </c>
      <c r="AK929" s="33" t="s">
        <v>56</v>
      </c>
      <c r="AL929" s="27"/>
      <c r="AM929" s="34" t="s">
        <v>57</v>
      </c>
      <c r="AN929" s="35" t="str">
        <f t="shared" si="73"/>
        <v>✓ OK</v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3182</v>
      </c>
      <c r="C930" s="41" t="s">
        <v>3183</v>
      </c>
      <c r="D930" s="39" t="s">
        <v>2301</v>
      </c>
      <c r="E930" s="42">
        <v>46129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42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70">
        <v>46248</v>
      </c>
      <c r="X930" s="30" t="s">
        <v>55</v>
      </c>
      <c r="Y930" s="30" t="s">
        <v>56</v>
      </c>
      <c r="Z930" s="30" t="s">
        <v>57</v>
      </c>
      <c r="AA930" s="30" t="s">
        <v>58</v>
      </c>
      <c r="AB930" s="30" t="s">
        <v>56</v>
      </c>
      <c r="AC930" s="27"/>
      <c r="AD930" s="31" t="s">
        <v>57</v>
      </c>
      <c r="AE930" s="32" t="str">
        <f t="shared" si="72"/>
        <v>✓ OK</v>
      </c>
      <c r="AF930" s="33" t="s">
        <v>61</v>
      </c>
      <c r="AG930" s="33" t="s">
        <v>55</v>
      </c>
      <c r="AH930" s="33" t="s">
        <v>56</v>
      </c>
      <c r="AI930" s="33" t="s">
        <v>57</v>
      </c>
      <c r="AJ930" s="33" t="s">
        <v>58</v>
      </c>
      <c r="AK930" s="33" t="s">
        <v>56</v>
      </c>
      <c r="AL930" s="27"/>
      <c r="AM930" s="34" t="s">
        <v>57</v>
      </c>
      <c r="AN930" s="35" t="str">
        <f t="shared" si="73"/>
        <v>✓ OK</v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3184</v>
      </c>
      <c r="C931" s="25" t="s">
        <v>3185</v>
      </c>
      <c r="D931" s="23" t="s">
        <v>2301</v>
      </c>
      <c r="E931" s="42">
        <v>46132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42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70">
        <v>46248</v>
      </c>
      <c r="X931" s="30" t="s">
        <v>55</v>
      </c>
      <c r="Y931" s="30" t="s">
        <v>56</v>
      </c>
      <c r="Z931" s="30" t="s">
        <v>57</v>
      </c>
      <c r="AA931" s="30" t="s">
        <v>58</v>
      </c>
      <c r="AB931" s="30" t="s">
        <v>56</v>
      </c>
      <c r="AC931" s="27"/>
      <c r="AD931" s="31" t="s">
        <v>57</v>
      </c>
      <c r="AE931" s="32" t="str">
        <f t="shared" si="72"/>
        <v>✓ OK</v>
      </c>
      <c r="AF931" s="33" t="s">
        <v>61</v>
      </c>
      <c r="AG931" s="33" t="s">
        <v>55</v>
      </c>
      <c r="AH931" s="33" t="s">
        <v>56</v>
      </c>
      <c r="AI931" s="33" t="s">
        <v>57</v>
      </c>
      <c r="AJ931" s="33" t="s">
        <v>58</v>
      </c>
      <c r="AK931" s="33" t="s">
        <v>56</v>
      </c>
      <c r="AL931" s="27"/>
      <c r="AM931" s="34" t="s">
        <v>57</v>
      </c>
      <c r="AN931" s="35" t="str">
        <f t="shared" si="73"/>
        <v>✓ OK</v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3186</v>
      </c>
      <c r="C932" s="41" t="s">
        <v>3187</v>
      </c>
      <c r="D932" s="39" t="s">
        <v>2301</v>
      </c>
      <c r="E932" s="42">
        <v>46132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42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70">
        <v>46248</v>
      </c>
      <c r="X932" s="30" t="s">
        <v>55</v>
      </c>
      <c r="Y932" s="30" t="s">
        <v>56</v>
      </c>
      <c r="Z932" s="30" t="s">
        <v>57</v>
      </c>
      <c r="AA932" s="30" t="s">
        <v>58</v>
      </c>
      <c r="AB932" s="30" t="s">
        <v>56</v>
      </c>
      <c r="AC932" s="27"/>
      <c r="AD932" s="31" t="s">
        <v>57</v>
      </c>
      <c r="AE932" s="32" t="str">
        <f t="shared" si="72"/>
        <v>✓ OK</v>
      </c>
      <c r="AF932" s="33" t="s">
        <v>61</v>
      </c>
      <c r="AG932" s="33" t="s">
        <v>55</v>
      </c>
      <c r="AH932" s="33" t="s">
        <v>56</v>
      </c>
      <c r="AI932" s="33" t="s">
        <v>57</v>
      </c>
      <c r="AJ932" s="33" t="s">
        <v>58</v>
      </c>
      <c r="AK932" s="33" t="s">
        <v>56</v>
      </c>
      <c r="AL932" s="27"/>
      <c r="AM932" s="34" t="s">
        <v>57</v>
      </c>
      <c r="AN932" s="35" t="str">
        <f t="shared" si="73"/>
        <v>✓ OK</v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3188</v>
      </c>
      <c r="C933" s="25" t="s">
        <v>3189</v>
      </c>
      <c r="D933" s="23" t="s">
        <v>2301</v>
      </c>
      <c r="E933" s="42">
        <v>46129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42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70">
        <v>46248</v>
      </c>
      <c r="X933" s="30" t="s">
        <v>55</v>
      </c>
      <c r="Y933" s="30" t="s">
        <v>56</v>
      </c>
      <c r="Z933" s="30" t="s">
        <v>57</v>
      </c>
      <c r="AA933" s="30" t="s">
        <v>58</v>
      </c>
      <c r="AB933" s="30" t="s">
        <v>56</v>
      </c>
      <c r="AC933" s="27"/>
      <c r="AD933" s="31" t="s">
        <v>57</v>
      </c>
      <c r="AE933" s="32" t="str">
        <f t="shared" si="72"/>
        <v>✓ OK</v>
      </c>
      <c r="AF933" s="33" t="s">
        <v>61</v>
      </c>
      <c r="AG933" s="33" t="s">
        <v>55</v>
      </c>
      <c r="AH933" s="33" t="s">
        <v>56</v>
      </c>
      <c r="AI933" s="33" t="s">
        <v>57</v>
      </c>
      <c r="AJ933" s="33" t="s">
        <v>58</v>
      </c>
      <c r="AK933" s="33" t="s">
        <v>56</v>
      </c>
      <c r="AL933" s="27"/>
      <c r="AM933" s="34" t="s">
        <v>57</v>
      </c>
      <c r="AN933" s="35" t="str">
        <f t="shared" si="73"/>
        <v>✓ OK</v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3190</v>
      </c>
      <c r="C934" s="41" t="s">
        <v>3191</v>
      </c>
      <c r="D934" s="39" t="s">
        <v>2301</v>
      </c>
      <c r="E934" s="42">
        <v>46129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42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70">
        <v>46248</v>
      </c>
      <c r="X934" s="30" t="s">
        <v>55</v>
      </c>
      <c r="Y934" s="30" t="s">
        <v>56</v>
      </c>
      <c r="Z934" s="30" t="s">
        <v>57</v>
      </c>
      <c r="AA934" s="30" t="s">
        <v>58</v>
      </c>
      <c r="AB934" s="30" t="s">
        <v>56</v>
      </c>
      <c r="AC934" s="27"/>
      <c r="AD934" s="31" t="s">
        <v>57</v>
      </c>
      <c r="AE934" s="32" t="str">
        <f t="shared" si="72"/>
        <v>✓ OK</v>
      </c>
      <c r="AF934" s="33" t="s">
        <v>61</v>
      </c>
      <c r="AG934" s="33" t="s">
        <v>55</v>
      </c>
      <c r="AH934" s="33" t="s">
        <v>56</v>
      </c>
      <c r="AI934" s="33" t="s">
        <v>57</v>
      </c>
      <c r="AJ934" s="33" t="s">
        <v>58</v>
      </c>
      <c r="AK934" s="33" t="s">
        <v>56</v>
      </c>
      <c r="AL934" s="27"/>
      <c r="AM934" s="34" t="s">
        <v>57</v>
      </c>
      <c r="AN934" s="35" t="str">
        <f t="shared" si="73"/>
        <v>✓ OK</v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3192</v>
      </c>
      <c r="C935" s="25" t="s">
        <v>3193</v>
      </c>
      <c r="D935" s="23" t="s">
        <v>2301</v>
      </c>
      <c r="E935" s="42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42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70">
        <v>46248</v>
      </c>
      <c r="X935" s="30" t="s">
        <v>55</v>
      </c>
      <c r="Y935" s="30" t="s">
        <v>56</v>
      </c>
      <c r="Z935" s="30" t="s">
        <v>57</v>
      </c>
      <c r="AA935" s="30" t="s">
        <v>58</v>
      </c>
      <c r="AB935" s="30" t="s">
        <v>56</v>
      </c>
      <c r="AC935" s="27"/>
      <c r="AD935" s="31" t="s">
        <v>57</v>
      </c>
      <c r="AE935" s="32" t="str">
        <f t="shared" si="72"/>
        <v>✓ OK</v>
      </c>
      <c r="AF935" s="33" t="s">
        <v>61</v>
      </c>
      <c r="AG935" s="33" t="s">
        <v>55</v>
      </c>
      <c r="AH935" s="33" t="s">
        <v>56</v>
      </c>
      <c r="AI935" s="33" t="s">
        <v>57</v>
      </c>
      <c r="AJ935" s="33" t="s">
        <v>58</v>
      </c>
      <c r="AK935" s="33" t="s">
        <v>56</v>
      </c>
      <c r="AL935" s="27"/>
      <c r="AM935" s="34" t="s">
        <v>57</v>
      </c>
      <c r="AN935" s="35" t="str">
        <f t="shared" si="73"/>
        <v>✓ OK</v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3194</v>
      </c>
      <c r="C936" s="41" t="s">
        <v>3195</v>
      </c>
      <c r="D936" s="39" t="s">
        <v>2301</v>
      </c>
      <c r="E936" s="42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42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70">
        <v>46248</v>
      </c>
      <c r="X936" s="30" t="s">
        <v>55</v>
      </c>
      <c r="Y936" s="30" t="s">
        <v>56</v>
      </c>
      <c r="Z936" s="30" t="s">
        <v>57</v>
      </c>
      <c r="AA936" s="30" t="s">
        <v>58</v>
      </c>
      <c r="AB936" s="30" t="s">
        <v>56</v>
      </c>
      <c r="AC936" s="27"/>
      <c r="AD936" s="31" t="s">
        <v>57</v>
      </c>
      <c r="AE936" s="32" t="str">
        <f t="shared" si="72"/>
        <v>✓ OK</v>
      </c>
      <c r="AF936" s="33" t="s">
        <v>61</v>
      </c>
      <c r="AG936" s="33" t="s">
        <v>55</v>
      </c>
      <c r="AH936" s="33" t="s">
        <v>56</v>
      </c>
      <c r="AI936" s="33" t="s">
        <v>57</v>
      </c>
      <c r="AJ936" s="33" t="s">
        <v>58</v>
      </c>
      <c r="AK936" s="33" t="s">
        <v>56</v>
      </c>
      <c r="AL936" s="27"/>
      <c r="AM936" s="34" t="s">
        <v>57</v>
      </c>
      <c r="AN936" s="35" t="str">
        <f t="shared" si="73"/>
        <v>✓ OK</v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3196</v>
      </c>
      <c r="C937" s="25" t="s">
        <v>3197</v>
      </c>
      <c r="D937" s="23" t="s">
        <v>2301</v>
      </c>
      <c r="E937" s="42">
        <v>46132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42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70">
        <v>46248</v>
      </c>
      <c r="X937" s="30" t="s">
        <v>55</v>
      </c>
      <c r="Y937" s="30" t="s">
        <v>56</v>
      </c>
      <c r="Z937" s="30" t="s">
        <v>57</v>
      </c>
      <c r="AA937" s="30" t="s">
        <v>58</v>
      </c>
      <c r="AB937" s="30" t="s">
        <v>56</v>
      </c>
      <c r="AC937" s="27"/>
      <c r="AD937" s="31" t="s">
        <v>57</v>
      </c>
      <c r="AE937" s="32" t="str">
        <f t="shared" si="72"/>
        <v>✓ OK</v>
      </c>
      <c r="AF937" s="33" t="s">
        <v>61</v>
      </c>
      <c r="AG937" s="33" t="s">
        <v>55</v>
      </c>
      <c r="AH937" s="33" t="s">
        <v>56</v>
      </c>
      <c r="AI937" s="33" t="s">
        <v>57</v>
      </c>
      <c r="AJ937" s="33" t="s">
        <v>58</v>
      </c>
      <c r="AK937" s="33" t="s">
        <v>56</v>
      </c>
      <c r="AL937" s="27"/>
      <c r="AM937" s="34" t="s">
        <v>57</v>
      </c>
      <c r="AN937" s="35" t="str">
        <f t="shared" si="73"/>
        <v>✓ OK</v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3198</v>
      </c>
      <c r="C938" s="41" t="s">
        <v>3199</v>
      </c>
      <c r="D938" s="39" t="s">
        <v>2301</v>
      </c>
      <c r="E938" s="42">
        <v>46132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42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70">
        <v>46248</v>
      </c>
      <c r="X938" s="30" t="s">
        <v>55</v>
      </c>
      <c r="Y938" s="30" t="s">
        <v>56</v>
      </c>
      <c r="Z938" s="30" t="s">
        <v>57</v>
      </c>
      <c r="AA938" s="30" t="s">
        <v>58</v>
      </c>
      <c r="AB938" s="30" t="s">
        <v>56</v>
      </c>
      <c r="AC938" s="27"/>
      <c r="AD938" s="31" t="s">
        <v>57</v>
      </c>
      <c r="AE938" s="32" t="str">
        <f t="shared" si="72"/>
        <v>✓ OK</v>
      </c>
      <c r="AF938" s="33" t="s">
        <v>61</v>
      </c>
      <c r="AG938" s="33" t="s">
        <v>55</v>
      </c>
      <c r="AH938" s="33" t="s">
        <v>56</v>
      </c>
      <c r="AI938" s="33" t="s">
        <v>57</v>
      </c>
      <c r="AJ938" s="33" t="s">
        <v>58</v>
      </c>
      <c r="AK938" s="33" t="s">
        <v>56</v>
      </c>
      <c r="AL938" s="27"/>
      <c r="AM938" s="34" t="s">
        <v>57</v>
      </c>
      <c r="AN938" s="35" t="str">
        <f t="shared" si="73"/>
        <v>✓ OK</v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3200</v>
      </c>
      <c r="C939" s="25" t="s">
        <v>3201</v>
      </c>
      <c r="D939" s="23" t="s">
        <v>2301</v>
      </c>
      <c r="E939" s="42">
        <v>46132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42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70">
        <v>46248</v>
      </c>
      <c r="X939" s="30" t="s">
        <v>55</v>
      </c>
      <c r="Y939" s="30" t="s">
        <v>56</v>
      </c>
      <c r="Z939" s="30" t="s">
        <v>57</v>
      </c>
      <c r="AA939" s="30" t="s">
        <v>58</v>
      </c>
      <c r="AB939" s="30" t="s">
        <v>56</v>
      </c>
      <c r="AC939" s="27"/>
      <c r="AD939" s="31" t="s">
        <v>57</v>
      </c>
      <c r="AE939" s="32" t="str">
        <f t="shared" si="72"/>
        <v>✓ OK</v>
      </c>
      <c r="AF939" s="33" t="s">
        <v>61</v>
      </c>
      <c r="AG939" s="33" t="s">
        <v>55</v>
      </c>
      <c r="AH939" s="33" t="s">
        <v>56</v>
      </c>
      <c r="AI939" s="33" t="s">
        <v>57</v>
      </c>
      <c r="AJ939" s="33" t="s">
        <v>58</v>
      </c>
      <c r="AK939" s="33" t="s">
        <v>56</v>
      </c>
      <c r="AL939" s="27"/>
      <c r="AM939" s="34" t="s">
        <v>57</v>
      </c>
      <c r="AN939" s="35" t="str">
        <f t="shared" si="73"/>
        <v>✓ OK</v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3202</v>
      </c>
      <c r="C940" s="41" t="s">
        <v>3203</v>
      </c>
      <c r="D940" s="39" t="s">
        <v>2301</v>
      </c>
      <c r="E940" s="42">
        <v>46132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42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70">
        <v>46248</v>
      </c>
      <c r="X940" s="30" t="s">
        <v>55</v>
      </c>
      <c r="Y940" s="30" t="s">
        <v>56</v>
      </c>
      <c r="Z940" s="30" t="s">
        <v>57</v>
      </c>
      <c r="AA940" s="30" t="s">
        <v>58</v>
      </c>
      <c r="AB940" s="30" t="s">
        <v>56</v>
      </c>
      <c r="AC940" s="27"/>
      <c r="AD940" s="31" t="s">
        <v>57</v>
      </c>
      <c r="AE940" s="32" t="str">
        <f t="shared" si="72"/>
        <v>✓ OK</v>
      </c>
      <c r="AF940" s="33" t="s">
        <v>61</v>
      </c>
      <c r="AG940" s="33" t="s">
        <v>55</v>
      </c>
      <c r="AH940" s="33" t="s">
        <v>56</v>
      </c>
      <c r="AI940" s="33" t="s">
        <v>57</v>
      </c>
      <c r="AJ940" s="33" t="s">
        <v>58</v>
      </c>
      <c r="AK940" s="33" t="s">
        <v>56</v>
      </c>
      <c r="AL940" s="27"/>
      <c r="AM940" s="34" t="s">
        <v>57</v>
      </c>
      <c r="AN940" s="35" t="str">
        <f t="shared" si="73"/>
        <v>✓ OK</v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3204</v>
      </c>
      <c r="C941" s="25" t="s">
        <v>3205</v>
      </c>
      <c r="D941" s="23" t="s">
        <v>2301</v>
      </c>
      <c r="E941" s="42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42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70">
        <v>46248</v>
      </c>
      <c r="X941" s="30" t="s">
        <v>55</v>
      </c>
      <c r="Y941" s="30" t="s">
        <v>56</v>
      </c>
      <c r="Z941" s="30" t="s">
        <v>57</v>
      </c>
      <c r="AA941" s="30" t="s">
        <v>58</v>
      </c>
      <c r="AB941" s="30" t="s">
        <v>56</v>
      </c>
      <c r="AC941" s="27"/>
      <c r="AD941" s="31" t="s">
        <v>57</v>
      </c>
      <c r="AE941" s="32" t="str">
        <f t="shared" si="72"/>
        <v>✓ OK</v>
      </c>
      <c r="AF941" s="33" t="s">
        <v>61</v>
      </c>
      <c r="AG941" s="33" t="s">
        <v>55</v>
      </c>
      <c r="AH941" s="33" t="s">
        <v>56</v>
      </c>
      <c r="AI941" s="33" t="s">
        <v>57</v>
      </c>
      <c r="AJ941" s="33" t="s">
        <v>58</v>
      </c>
      <c r="AK941" s="33" t="s">
        <v>56</v>
      </c>
      <c r="AL941" s="27"/>
      <c r="AM941" s="34" t="s">
        <v>57</v>
      </c>
      <c r="AN941" s="35" t="str">
        <f t="shared" si="73"/>
        <v>✓ OK</v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3206</v>
      </c>
      <c r="C942" s="41" t="s">
        <v>3207</v>
      </c>
      <c r="D942" s="39" t="s">
        <v>2301</v>
      </c>
      <c r="E942" s="42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42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70">
        <v>46248</v>
      </c>
      <c r="X942" s="30" t="s">
        <v>55</v>
      </c>
      <c r="Y942" s="30" t="s">
        <v>56</v>
      </c>
      <c r="Z942" s="30" t="s">
        <v>57</v>
      </c>
      <c r="AA942" s="30" t="s">
        <v>58</v>
      </c>
      <c r="AB942" s="30" t="s">
        <v>56</v>
      </c>
      <c r="AC942" s="27"/>
      <c r="AD942" s="31" t="s">
        <v>57</v>
      </c>
      <c r="AE942" s="32" t="str">
        <f t="shared" si="72"/>
        <v>✓ OK</v>
      </c>
      <c r="AF942" s="33" t="s">
        <v>61</v>
      </c>
      <c r="AG942" s="33" t="s">
        <v>55</v>
      </c>
      <c r="AH942" s="33" t="s">
        <v>56</v>
      </c>
      <c r="AI942" s="33" t="s">
        <v>57</v>
      </c>
      <c r="AJ942" s="33" t="s">
        <v>58</v>
      </c>
      <c r="AK942" s="33" t="s">
        <v>56</v>
      </c>
      <c r="AL942" s="27"/>
      <c r="AM942" s="34" t="s">
        <v>57</v>
      </c>
      <c r="AN942" s="35" t="str">
        <f t="shared" si="73"/>
        <v>✓ OK</v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3208</v>
      </c>
      <c r="C943" s="25" t="s">
        <v>3209</v>
      </c>
      <c r="D943" s="23" t="s">
        <v>2301</v>
      </c>
      <c r="E943" s="42">
        <v>46132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42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70">
        <v>46248</v>
      </c>
      <c r="X943" s="30" t="s">
        <v>55</v>
      </c>
      <c r="Y943" s="30" t="s">
        <v>56</v>
      </c>
      <c r="Z943" s="30" t="s">
        <v>57</v>
      </c>
      <c r="AA943" s="30" t="s">
        <v>58</v>
      </c>
      <c r="AB943" s="30" t="s">
        <v>56</v>
      </c>
      <c r="AC943" s="27"/>
      <c r="AD943" s="31" t="s">
        <v>57</v>
      </c>
      <c r="AE943" s="32" t="str">
        <f t="shared" si="72"/>
        <v>✓ OK</v>
      </c>
      <c r="AF943" s="33" t="s">
        <v>61</v>
      </c>
      <c r="AG943" s="33" t="s">
        <v>55</v>
      </c>
      <c r="AH943" s="33" t="s">
        <v>56</v>
      </c>
      <c r="AI943" s="33" t="s">
        <v>57</v>
      </c>
      <c r="AJ943" s="33" t="s">
        <v>58</v>
      </c>
      <c r="AK943" s="33" t="s">
        <v>56</v>
      </c>
      <c r="AL943" s="27"/>
      <c r="AM943" s="34" t="s">
        <v>57</v>
      </c>
      <c r="AN943" s="35" t="str">
        <f t="shared" si="73"/>
        <v>✓ OK</v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3210</v>
      </c>
      <c r="C944" s="41" t="s">
        <v>3211</v>
      </c>
      <c r="D944" s="39" t="s">
        <v>2301</v>
      </c>
      <c r="E944" s="42">
        <v>46132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42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70">
        <v>46248</v>
      </c>
      <c r="X944" s="30" t="s">
        <v>55</v>
      </c>
      <c r="Y944" s="30" t="s">
        <v>56</v>
      </c>
      <c r="Z944" s="30" t="s">
        <v>57</v>
      </c>
      <c r="AA944" s="30" t="s">
        <v>58</v>
      </c>
      <c r="AB944" s="30" t="s">
        <v>56</v>
      </c>
      <c r="AC944" s="27"/>
      <c r="AD944" s="31" t="s">
        <v>57</v>
      </c>
      <c r="AE944" s="32" t="str">
        <f t="shared" si="72"/>
        <v>✓ OK</v>
      </c>
      <c r="AF944" s="33" t="s">
        <v>61</v>
      </c>
      <c r="AG944" s="33" t="s">
        <v>55</v>
      </c>
      <c r="AH944" s="33" t="s">
        <v>56</v>
      </c>
      <c r="AI944" s="33" t="s">
        <v>57</v>
      </c>
      <c r="AJ944" s="33" t="s">
        <v>58</v>
      </c>
      <c r="AK944" s="33" t="s">
        <v>56</v>
      </c>
      <c r="AL944" s="27"/>
      <c r="AM944" s="34" t="s">
        <v>57</v>
      </c>
      <c r="AN944" s="35" t="str">
        <f t="shared" si="73"/>
        <v>✓ OK</v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3212</v>
      </c>
      <c r="C945" s="25" t="s">
        <v>3213</v>
      </c>
      <c r="D945" s="23" t="s">
        <v>2301</v>
      </c>
      <c r="E945" s="42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42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70">
        <v>46248</v>
      </c>
      <c r="X945" s="30" t="s">
        <v>55</v>
      </c>
      <c r="Y945" s="30" t="s">
        <v>56</v>
      </c>
      <c r="Z945" s="30" t="s">
        <v>57</v>
      </c>
      <c r="AA945" s="30" t="s">
        <v>58</v>
      </c>
      <c r="AB945" s="30" t="s">
        <v>56</v>
      </c>
      <c r="AC945" s="27"/>
      <c r="AD945" s="31" t="s">
        <v>57</v>
      </c>
      <c r="AE945" s="32" t="str">
        <f t="shared" si="72"/>
        <v>✓ OK</v>
      </c>
      <c r="AF945" s="33" t="s">
        <v>61</v>
      </c>
      <c r="AG945" s="33" t="s">
        <v>55</v>
      </c>
      <c r="AH945" s="33" t="s">
        <v>56</v>
      </c>
      <c r="AI945" s="33" t="s">
        <v>57</v>
      </c>
      <c r="AJ945" s="33" t="s">
        <v>58</v>
      </c>
      <c r="AK945" s="33" t="s">
        <v>56</v>
      </c>
      <c r="AL945" s="27"/>
      <c r="AM945" s="34" t="s">
        <v>57</v>
      </c>
      <c r="AN945" s="35" t="str">
        <f t="shared" si="73"/>
        <v>✓ OK</v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3214</v>
      </c>
      <c r="C946" s="41" t="s">
        <v>3215</v>
      </c>
      <c r="D946" s="39" t="s">
        <v>2301</v>
      </c>
      <c r="E946" s="42">
        <v>46129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42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70">
        <v>46248</v>
      </c>
      <c r="X946" s="30" t="s">
        <v>55</v>
      </c>
      <c r="Y946" s="30" t="s">
        <v>56</v>
      </c>
      <c r="Z946" s="30" t="s">
        <v>57</v>
      </c>
      <c r="AA946" s="30" t="s">
        <v>58</v>
      </c>
      <c r="AB946" s="30" t="s">
        <v>56</v>
      </c>
      <c r="AC946" s="27"/>
      <c r="AD946" s="31" t="s">
        <v>57</v>
      </c>
      <c r="AE946" s="32" t="str">
        <f t="shared" si="72"/>
        <v>✓ OK</v>
      </c>
      <c r="AF946" s="33" t="s">
        <v>61</v>
      </c>
      <c r="AG946" s="33" t="s">
        <v>55</v>
      </c>
      <c r="AH946" s="33" t="s">
        <v>56</v>
      </c>
      <c r="AI946" s="33" t="s">
        <v>57</v>
      </c>
      <c r="AJ946" s="33" t="s">
        <v>58</v>
      </c>
      <c r="AK946" s="33" t="s">
        <v>56</v>
      </c>
      <c r="AL946" s="27"/>
      <c r="AM946" s="34" t="s">
        <v>57</v>
      </c>
      <c r="AN946" s="35" t="str">
        <f t="shared" si="73"/>
        <v>✓ OK</v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3216</v>
      </c>
      <c r="C947" s="25" t="s">
        <v>3217</v>
      </c>
      <c r="D947" s="23" t="s">
        <v>2301</v>
      </c>
      <c r="E947" s="42">
        <v>46132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42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70">
        <v>46248</v>
      </c>
      <c r="X947" s="30" t="s">
        <v>55</v>
      </c>
      <c r="Y947" s="30" t="s">
        <v>56</v>
      </c>
      <c r="Z947" s="30" t="s">
        <v>57</v>
      </c>
      <c r="AA947" s="30" t="s">
        <v>58</v>
      </c>
      <c r="AB947" s="30" t="s">
        <v>56</v>
      </c>
      <c r="AC947" s="27"/>
      <c r="AD947" s="31" t="s">
        <v>57</v>
      </c>
      <c r="AE947" s="32" t="str">
        <f t="shared" si="72"/>
        <v>✓ OK</v>
      </c>
      <c r="AF947" s="33" t="s">
        <v>61</v>
      </c>
      <c r="AG947" s="33" t="s">
        <v>55</v>
      </c>
      <c r="AH947" s="33" t="s">
        <v>56</v>
      </c>
      <c r="AI947" s="33" t="s">
        <v>57</v>
      </c>
      <c r="AJ947" s="33" t="s">
        <v>58</v>
      </c>
      <c r="AK947" s="33" t="s">
        <v>56</v>
      </c>
      <c r="AL947" s="27"/>
      <c r="AM947" s="34" t="s">
        <v>57</v>
      </c>
      <c r="AN947" s="35" t="str">
        <f t="shared" si="73"/>
        <v>✓ OK</v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3218</v>
      </c>
      <c r="C948" s="41" t="s">
        <v>3219</v>
      </c>
      <c r="D948" s="39" t="s">
        <v>2301</v>
      </c>
      <c r="E948" s="42">
        <v>46132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42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70">
        <v>46248</v>
      </c>
      <c r="X948" s="30" t="s">
        <v>55</v>
      </c>
      <c r="Y948" s="30" t="s">
        <v>56</v>
      </c>
      <c r="Z948" s="30" t="s">
        <v>57</v>
      </c>
      <c r="AA948" s="30" t="s">
        <v>58</v>
      </c>
      <c r="AB948" s="30" t="s">
        <v>56</v>
      </c>
      <c r="AC948" s="27"/>
      <c r="AD948" s="31" t="s">
        <v>57</v>
      </c>
      <c r="AE948" s="32" t="str">
        <f t="shared" si="72"/>
        <v>✓ OK</v>
      </c>
      <c r="AF948" s="33" t="s">
        <v>61</v>
      </c>
      <c r="AG948" s="33" t="s">
        <v>55</v>
      </c>
      <c r="AH948" s="33" t="s">
        <v>56</v>
      </c>
      <c r="AI948" s="33" t="s">
        <v>57</v>
      </c>
      <c r="AJ948" s="33" t="s">
        <v>58</v>
      </c>
      <c r="AK948" s="33" t="s">
        <v>56</v>
      </c>
      <c r="AL948" s="27"/>
      <c r="AM948" s="34" t="s">
        <v>57</v>
      </c>
      <c r="AN948" s="35" t="str">
        <f t="shared" si="73"/>
        <v>✓ OK</v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3220</v>
      </c>
      <c r="C949" s="25" t="s">
        <v>3221</v>
      </c>
      <c r="D949" s="23" t="s">
        <v>2301</v>
      </c>
      <c r="E949" s="42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42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70">
        <v>46248</v>
      </c>
      <c r="X949" s="30" t="s">
        <v>55</v>
      </c>
      <c r="Y949" s="30" t="s">
        <v>56</v>
      </c>
      <c r="Z949" s="30" t="s">
        <v>57</v>
      </c>
      <c r="AA949" s="30" t="s">
        <v>58</v>
      </c>
      <c r="AB949" s="30" t="s">
        <v>56</v>
      </c>
      <c r="AC949" s="27"/>
      <c r="AD949" s="31" t="s">
        <v>57</v>
      </c>
      <c r="AE949" s="32" t="str">
        <f t="shared" si="72"/>
        <v>✓ OK</v>
      </c>
      <c r="AF949" s="33" t="s">
        <v>61</v>
      </c>
      <c r="AG949" s="33" t="s">
        <v>55</v>
      </c>
      <c r="AH949" s="33" t="s">
        <v>56</v>
      </c>
      <c r="AI949" s="33" t="s">
        <v>57</v>
      </c>
      <c r="AJ949" s="33" t="s">
        <v>58</v>
      </c>
      <c r="AK949" s="33" t="s">
        <v>56</v>
      </c>
      <c r="AL949" s="27"/>
      <c r="AM949" s="34" t="s">
        <v>57</v>
      </c>
      <c r="AN949" s="35" t="str">
        <f t="shared" si="73"/>
        <v>✓ OK</v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3222</v>
      </c>
      <c r="C950" s="41" t="s">
        <v>3223</v>
      </c>
      <c r="D950" s="39" t="s">
        <v>2301</v>
      </c>
      <c r="E950" s="42">
        <v>46129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42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70">
        <v>46248</v>
      </c>
      <c r="X950" s="30" t="s">
        <v>55</v>
      </c>
      <c r="Y950" s="30" t="s">
        <v>56</v>
      </c>
      <c r="Z950" s="30" t="s">
        <v>57</v>
      </c>
      <c r="AA950" s="30" t="s">
        <v>58</v>
      </c>
      <c r="AB950" s="30" t="s">
        <v>56</v>
      </c>
      <c r="AC950" s="27"/>
      <c r="AD950" s="31" t="s">
        <v>57</v>
      </c>
      <c r="AE950" s="32" t="str">
        <f t="shared" si="72"/>
        <v>✓ OK</v>
      </c>
      <c r="AF950" s="33" t="s">
        <v>61</v>
      </c>
      <c r="AG950" s="33" t="s">
        <v>55</v>
      </c>
      <c r="AH950" s="33" t="s">
        <v>56</v>
      </c>
      <c r="AI950" s="33" t="s">
        <v>57</v>
      </c>
      <c r="AJ950" s="33" t="s">
        <v>58</v>
      </c>
      <c r="AK950" s="33" t="s">
        <v>56</v>
      </c>
      <c r="AL950" s="27"/>
      <c r="AM950" s="34" t="s">
        <v>57</v>
      </c>
      <c r="AN950" s="35" t="str">
        <f t="shared" si="73"/>
        <v>✓ OK</v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3224</v>
      </c>
      <c r="C951" s="25" t="s">
        <v>3225</v>
      </c>
      <c r="D951" s="23" t="s">
        <v>2301</v>
      </c>
      <c r="E951" s="42">
        <v>46129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42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70">
        <v>46248</v>
      </c>
      <c r="X951" s="30" t="s">
        <v>55</v>
      </c>
      <c r="Y951" s="30" t="s">
        <v>56</v>
      </c>
      <c r="Z951" s="30" t="s">
        <v>57</v>
      </c>
      <c r="AA951" s="30" t="s">
        <v>58</v>
      </c>
      <c r="AB951" s="30" t="s">
        <v>56</v>
      </c>
      <c r="AC951" s="27"/>
      <c r="AD951" s="31" t="s">
        <v>57</v>
      </c>
      <c r="AE951" s="32" t="str">
        <f t="shared" si="72"/>
        <v>✓ OK</v>
      </c>
      <c r="AF951" s="33" t="s">
        <v>61</v>
      </c>
      <c r="AG951" s="33" t="s">
        <v>55</v>
      </c>
      <c r="AH951" s="33" t="s">
        <v>56</v>
      </c>
      <c r="AI951" s="33" t="s">
        <v>57</v>
      </c>
      <c r="AJ951" s="33" t="s">
        <v>58</v>
      </c>
      <c r="AK951" s="33" t="s">
        <v>56</v>
      </c>
      <c r="AL951" s="27"/>
      <c r="AM951" s="34" t="s">
        <v>57</v>
      </c>
      <c r="AN951" s="35" t="str">
        <f t="shared" si="73"/>
        <v>✓ OK</v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3226</v>
      </c>
      <c r="C952" s="41" t="s">
        <v>3227</v>
      </c>
      <c r="D952" s="39" t="s">
        <v>2301</v>
      </c>
      <c r="E952" s="42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42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70">
        <v>46248</v>
      </c>
      <c r="X952" s="30" t="s">
        <v>55</v>
      </c>
      <c r="Y952" s="30" t="s">
        <v>56</v>
      </c>
      <c r="Z952" s="30" t="s">
        <v>57</v>
      </c>
      <c r="AA952" s="30" t="s">
        <v>58</v>
      </c>
      <c r="AB952" s="30" t="s">
        <v>56</v>
      </c>
      <c r="AC952" s="27"/>
      <c r="AD952" s="31" t="s">
        <v>57</v>
      </c>
      <c r="AE952" s="32" t="str">
        <f t="shared" si="72"/>
        <v>✓ OK</v>
      </c>
      <c r="AF952" s="33" t="s">
        <v>61</v>
      </c>
      <c r="AG952" s="33" t="s">
        <v>55</v>
      </c>
      <c r="AH952" s="33" t="s">
        <v>56</v>
      </c>
      <c r="AI952" s="33" t="s">
        <v>57</v>
      </c>
      <c r="AJ952" s="33" t="s">
        <v>58</v>
      </c>
      <c r="AK952" s="33" t="s">
        <v>56</v>
      </c>
      <c r="AL952" s="27"/>
      <c r="AM952" s="34" t="s">
        <v>57</v>
      </c>
      <c r="AN952" s="35" t="str">
        <f t="shared" si="73"/>
        <v>✓ OK</v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3228</v>
      </c>
      <c r="C953" s="25" t="s">
        <v>3229</v>
      </c>
      <c r="D953" s="23" t="s">
        <v>2301</v>
      </c>
      <c r="E953" s="42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42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70">
        <v>46248</v>
      </c>
      <c r="X953" s="30" t="s">
        <v>55</v>
      </c>
      <c r="Y953" s="30" t="s">
        <v>56</v>
      </c>
      <c r="Z953" s="30" t="s">
        <v>57</v>
      </c>
      <c r="AA953" s="30" t="s">
        <v>58</v>
      </c>
      <c r="AB953" s="30" t="s">
        <v>56</v>
      </c>
      <c r="AC953" s="27"/>
      <c r="AD953" s="31" t="s">
        <v>57</v>
      </c>
      <c r="AE953" s="32" t="str">
        <f t="shared" si="72"/>
        <v>✓ OK</v>
      </c>
      <c r="AF953" s="33" t="s">
        <v>61</v>
      </c>
      <c r="AG953" s="33" t="s">
        <v>55</v>
      </c>
      <c r="AH953" s="33" t="s">
        <v>56</v>
      </c>
      <c r="AI953" s="33" t="s">
        <v>57</v>
      </c>
      <c r="AJ953" s="33" t="s">
        <v>58</v>
      </c>
      <c r="AK953" s="33" t="s">
        <v>56</v>
      </c>
      <c r="AL953" s="27"/>
      <c r="AM953" s="34" t="s">
        <v>57</v>
      </c>
      <c r="AN953" s="35" t="str">
        <f t="shared" si="73"/>
        <v>✓ OK</v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3230</v>
      </c>
      <c r="C954" s="41" t="s">
        <v>3231</v>
      </c>
      <c r="D954" s="39" t="s">
        <v>2301</v>
      </c>
      <c r="E954" s="42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42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70">
        <v>46248</v>
      </c>
      <c r="X954" s="30" t="s">
        <v>55</v>
      </c>
      <c r="Y954" s="30" t="s">
        <v>56</v>
      </c>
      <c r="Z954" s="30" t="s">
        <v>57</v>
      </c>
      <c r="AA954" s="30" t="s">
        <v>58</v>
      </c>
      <c r="AB954" s="30" t="s">
        <v>56</v>
      </c>
      <c r="AC954" s="27"/>
      <c r="AD954" s="31" t="s">
        <v>57</v>
      </c>
      <c r="AE954" s="32" t="str">
        <f t="shared" si="72"/>
        <v>✓ OK</v>
      </c>
      <c r="AF954" s="33" t="s">
        <v>61</v>
      </c>
      <c r="AG954" s="33" t="s">
        <v>55</v>
      </c>
      <c r="AH954" s="33" t="s">
        <v>56</v>
      </c>
      <c r="AI954" s="33" t="s">
        <v>57</v>
      </c>
      <c r="AJ954" s="33" t="s">
        <v>58</v>
      </c>
      <c r="AK954" s="33" t="s">
        <v>56</v>
      </c>
      <c r="AL954" s="27"/>
      <c r="AM954" s="34" t="s">
        <v>57</v>
      </c>
      <c r="AN954" s="35" t="str">
        <f t="shared" si="73"/>
        <v>✓ OK</v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3232</v>
      </c>
      <c r="C955" s="25" t="s">
        <v>3233</v>
      </c>
      <c r="D955" s="23" t="s">
        <v>2301</v>
      </c>
      <c r="E955" s="42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42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70">
        <v>46248</v>
      </c>
      <c r="X955" s="30" t="s">
        <v>55</v>
      </c>
      <c r="Y955" s="30" t="s">
        <v>56</v>
      </c>
      <c r="Z955" s="30" t="s">
        <v>57</v>
      </c>
      <c r="AA955" s="30" t="s">
        <v>58</v>
      </c>
      <c r="AB955" s="30" t="s">
        <v>56</v>
      </c>
      <c r="AC955" s="27"/>
      <c r="AD955" s="31" t="s">
        <v>57</v>
      </c>
      <c r="AE955" s="32" t="str">
        <f t="shared" si="72"/>
        <v>✓ OK</v>
      </c>
      <c r="AF955" s="33" t="s">
        <v>61</v>
      </c>
      <c r="AG955" s="33" t="s">
        <v>55</v>
      </c>
      <c r="AH955" s="33" t="s">
        <v>56</v>
      </c>
      <c r="AI955" s="33" t="s">
        <v>57</v>
      </c>
      <c r="AJ955" s="33" t="s">
        <v>58</v>
      </c>
      <c r="AK955" s="33" t="s">
        <v>56</v>
      </c>
      <c r="AL955" s="27"/>
      <c r="AM955" s="34" t="s">
        <v>57</v>
      </c>
      <c r="AN955" s="35" t="str">
        <f t="shared" si="73"/>
        <v>✓ OK</v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3234</v>
      </c>
      <c r="C956" s="41" t="s">
        <v>3235</v>
      </c>
      <c r="D956" s="39" t="s">
        <v>2301</v>
      </c>
      <c r="E956" s="42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42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70">
        <v>46248</v>
      </c>
      <c r="X956" s="30" t="s">
        <v>55</v>
      </c>
      <c r="Y956" s="30" t="s">
        <v>56</v>
      </c>
      <c r="Z956" s="30" t="s">
        <v>57</v>
      </c>
      <c r="AA956" s="30" t="s">
        <v>58</v>
      </c>
      <c r="AB956" s="30" t="s">
        <v>56</v>
      </c>
      <c r="AC956" s="27"/>
      <c r="AD956" s="31" t="s">
        <v>57</v>
      </c>
      <c r="AE956" s="32" t="str">
        <f t="shared" si="72"/>
        <v>✓ OK</v>
      </c>
      <c r="AF956" s="33" t="s">
        <v>61</v>
      </c>
      <c r="AG956" s="33" t="s">
        <v>55</v>
      </c>
      <c r="AH956" s="33" t="s">
        <v>56</v>
      </c>
      <c r="AI956" s="33" t="s">
        <v>57</v>
      </c>
      <c r="AJ956" s="33" t="s">
        <v>58</v>
      </c>
      <c r="AK956" s="33" t="s">
        <v>56</v>
      </c>
      <c r="AL956" s="27"/>
      <c r="AM956" s="34" t="s">
        <v>57</v>
      </c>
      <c r="AN956" s="35" t="str">
        <f t="shared" si="73"/>
        <v>✓ OK</v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3236</v>
      </c>
      <c r="C957" s="25" t="s">
        <v>3237</v>
      </c>
      <c r="D957" s="23" t="s">
        <v>2301</v>
      </c>
      <c r="E957" s="42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42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70">
        <v>46248</v>
      </c>
      <c r="X957" s="30" t="s">
        <v>55</v>
      </c>
      <c r="Y957" s="30" t="s">
        <v>56</v>
      </c>
      <c r="Z957" s="30" t="s">
        <v>57</v>
      </c>
      <c r="AA957" s="30" t="s">
        <v>58</v>
      </c>
      <c r="AB957" s="30" t="s">
        <v>56</v>
      </c>
      <c r="AC957" s="27"/>
      <c r="AD957" s="31" t="s">
        <v>57</v>
      </c>
      <c r="AE957" s="32" t="str">
        <f t="shared" si="72"/>
        <v>✓ OK</v>
      </c>
      <c r="AF957" s="33" t="s">
        <v>61</v>
      </c>
      <c r="AG957" s="33" t="s">
        <v>55</v>
      </c>
      <c r="AH957" s="33" t="s">
        <v>56</v>
      </c>
      <c r="AI957" s="33" t="s">
        <v>57</v>
      </c>
      <c r="AJ957" s="33" t="s">
        <v>58</v>
      </c>
      <c r="AK957" s="33" t="s">
        <v>56</v>
      </c>
      <c r="AL957" s="27"/>
      <c r="AM957" s="34" t="s">
        <v>57</v>
      </c>
      <c r="AN957" s="35" t="str">
        <f t="shared" si="73"/>
        <v>✓ OK</v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3238</v>
      </c>
      <c r="C958" s="41" t="s">
        <v>3239</v>
      </c>
      <c r="D958" s="39" t="s">
        <v>2301</v>
      </c>
      <c r="E958" s="42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42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70">
        <v>46248</v>
      </c>
      <c r="X958" s="30" t="s">
        <v>55</v>
      </c>
      <c r="Y958" s="30" t="s">
        <v>56</v>
      </c>
      <c r="Z958" s="30" t="s">
        <v>57</v>
      </c>
      <c r="AA958" s="30" t="s">
        <v>58</v>
      </c>
      <c r="AB958" s="30" t="s">
        <v>56</v>
      </c>
      <c r="AC958" s="27"/>
      <c r="AD958" s="31" t="s">
        <v>57</v>
      </c>
      <c r="AE958" s="32" t="str">
        <f t="shared" si="72"/>
        <v>✓ OK</v>
      </c>
      <c r="AF958" s="33" t="s">
        <v>61</v>
      </c>
      <c r="AG958" s="33" t="s">
        <v>55</v>
      </c>
      <c r="AH958" s="33" t="s">
        <v>56</v>
      </c>
      <c r="AI958" s="33" t="s">
        <v>57</v>
      </c>
      <c r="AJ958" s="33" t="s">
        <v>58</v>
      </c>
      <c r="AK958" s="33" t="s">
        <v>56</v>
      </c>
      <c r="AL958" s="27"/>
      <c r="AM958" s="34" t="s">
        <v>57</v>
      </c>
      <c r="AN958" s="35" t="str">
        <f t="shared" si="73"/>
        <v>✓ OK</v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3240</v>
      </c>
      <c r="C959" s="25" t="s">
        <v>3241</v>
      </c>
      <c r="D959" s="23" t="s">
        <v>2301</v>
      </c>
      <c r="E959" s="42">
        <v>46132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42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70">
        <v>46248</v>
      </c>
      <c r="X959" s="30" t="s">
        <v>55</v>
      </c>
      <c r="Y959" s="30" t="s">
        <v>56</v>
      </c>
      <c r="Z959" s="30" t="s">
        <v>57</v>
      </c>
      <c r="AA959" s="30" t="s">
        <v>58</v>
      </c>
      <c r="AB959" s="30" t="s">
        <v>56</v>
      </c>
      <c r="AC959" s="27"/>
      <c r="AD959" s="31" t="s">
        <v>57</v>
      </c>
      <c r="AE959" s="32" t="str">
        <f t="shared" si="72"/>
        <v>✓ OK</v>
      </c>
      <c r="AF959" s="33" t="s">
        <v>61</v>
      </c>
      <c r="AG959" s="33" t="s">
        <v>55</v>
      </c>
      <c r="AH959" s="33" t="s">
        <v>56</v>
      </c>
      <c r="AI959" s="33" t="s">
        <v>57</v>
      </c>
      <c r="AJ959" s="33" t="s">
        <v>58</v>
      </c>
      <c r="AK959" s="33" t="s">
        <v>56</v>
      </c>
      <c r="AL959" s="27"/>
      <c r="AM959" s="34" t="s">
        <v>57</v>
      </c>
      <c r="AN959" s="35" t="str">
        <f t="shared" si="73"/>
        <v>✓ OK</v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3242</v>
      </c>
      <c r="C960" s="41" t="s">
        <v>3243</v>
      </c>
      <c r="D960" s="39" t="s">
        <v>2301</v>
      </c>
      <c r="E960" s="42">
        <v>46132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42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70">
        <v>46248</v>
      </c>
      <c r="X960" s="30" t="s">
        <v>55</v>
      </c>
      <c r="Y960" s="30" t="s">
        <v>56</v>
      </c>
      <c r="Z960" s="30" t="s">
        <v>57</v>
      </c>
      <c r="AA960" s="30" t="s">
        <v>58</v>
      </c>
      <c r="AB960" s="30" t="s">
        <v>56</v>
      </c>
      <c r="AC960" s="27"/>
      <c r="AD960" s="31" t="s">
        <v>57</v>
      </c>
      <c r="AE960" s="32" t="str">
        <f t="shared" si="72"/>
        <v>✓ OK</v>
      </c>
      <c r="AF960" s="33" t="s">
        <v>61</v>
      </c>
      <c r="AG960" s="33" t="s">
        <v>55</v>
      </c>
      <c r="AH960" s="33" t="s">
        <v>56</v>
      </c>
      <c r="AI960" s="33" t="s">
        <v>57</v>
      </c>
      <c r="AJ960" s="33" t="s">
        <v>58</v>
      </c>
      <c r="AK960" s="33" t="s">
        <v>56</v>
      </c>
      <c r="AL960" s="27"/>
      <c r="AM960" s="34" t="s">
        <v>57</v>
      </c>
      <c r="AN960" s="35" t="str">
        <f t="shared" si="73"/>
        <v>✓ OK</v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3244</v>
      </c>
      <c r="C961" s="25" t="s">
        <v>3245</v>
      </c>
      <c r="D961" s="23" t="s">
        <v>2301</v>
      </c>
      <c r="E961" s="42">
        <v>46129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42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70">
        <v>46248</v>
      </c>
      <c r="X961" s="30" t="s">
        <v>55</v>
      </c>
      <c r="Y961" s="30" t="s">
        <v>56</v>
      </c>
      <c r="Z961" s="30" t="s">
        <v>57</v>
      </c>
      <c r="AA961" s="30" t="s">
        <v>58</v>
      </c>
      <c r="AB961" s="30" t="s">
        <v>56</v>
      </c>
      <c r="AC961" s="27"/>
      <c r="AD961" s="31" t="s">
        <v>57</v>
      </c>
      <c r="AE961" s="32" t="str">
        <f t="shared" si="72"/>
        <v>✓ OK</v>
      </c>
      <c r="AF961" s="33" t="s">
        <v>61</v>
      </c>
      <c r="AG961" s="33" t="s">
        <v>55</v>
      </c>
      <c r="AH961" s="33" t="s">
        <v>56</v>
      </c>
      <c r="AI961" s="33" t="s">
        <v>57</v>
      </c>
      <c r="AJ961" s="33" t="s">
        <v>58</v>
      </c>
      <c r="AK961" s="33" t="s">
        <v>56</v>
      </c>
      <c r="AL961" s="27"/>
      <c r="AM961" s="34" t="s">
        <v>57</v>
      </c>
      <c r="AN961" s="35" t="str">
        <f t="shared" si="73"/>
        <v>✓ OK</v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3246</v>
      </c>
      <c r="C962" s="41" t="s">
        <v>3247</v>
      </c>
      <c r="D962" s="39" t="s">
        <v>2301</v>
      </c>
      <c r="E962" s="42">
        <v>46129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42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70">
        <v>46248</v>
      </c>
      <c r="X962" s="30" t="s">
        <v>55</v>
      </c>
      <c r="Y962" s="30" t="s">
        <v>56</v>
      </c>
      <c r="Z962" s="30" t="s">
        <v>57</v>
      </c>
      <c r="AA962" s="30" t="s">
        <v>58</v>
      </c>
      <c r="AB962" s="30" t="s">
        <v>56</v>
      </c>
      <c r="AC962" s="27"/>
      <c r="AD962" s="31" t="s">
        <v>57</v>
      </c>
      <c r="AE962" s="32" t="str">
        <f t="shared" si="72"/>
        <v>✓ OK</v>
      </c>
      <c r="AF962" s="33" t="s">
        <v>61</v>
      </c>
      <c r="AG962" s="33" t="s">
        <v>55</v>
      </c>
      <c r="AH962" s="33" t="s">
        <v>56</v>
      </c>
      <c r="AI962" s="33" t="s">
        <v>57</v>
      </c>
      <c r="AJ962" s="33" t="s">
        <v>58</v>
      </c>
      <c r="AK962" s="33" t="s">
        <v>56</v>
      </c>
      <c r="AL962" s="27"/>
      <c r="AM962" s="34" t="s">
        <v>57</v>
      </c>
      <c r="AN962" s="35" t="str">
        <f t="shared" si="73"/>
        <v>✓ OK</v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3248</v>
      </c>
      <c r="C963" s="25" t="s">
        <v>3249</v>
      </c>
      <c r="D963" s="23" t="s">
        <v>2301</v>
      </c>
      <c r="E963" s="42">
        <v>46129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42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70">
        <v>46248</v>
      </c>
      <c r="X963" s="30" t="s">
        <v>55</v>
      </c>
      <c r="Y963" s="30" t="s">
        <v>56</v>
      </c>
      <c r="Z963" s="30" t="s">
        <v>57</v>
      </c>
      <c r="AA963" s="30" t="s">
        <v>58</v>
      </c>
      <c r="AB963" s="30" t="s">
        <v>56</v>
      </c>
      <c r="AC963" s="27"/>
      <c r="AD963" s="31" t="s">
        <v>57</v>
      </c>
      <c r="AE963" s="32" t="str">
        <f t="shared" si="72"/>
        <v>✓ OK</v>
      </c>
      <c r="AF963" s="33" t="s">
        <v>61</v>
      </c>
      <c r="AG963" s="33" t="s">
        <v>55</v>
      </c>
      <c r="AH963" s="33" t="s">
        <v>56</v>
      </c>
      <c r="AI963" s="33" t="s">
        <v>57</v>
      </c>
      <c r="AJ963" s="33" t="s">
        <v>58</v>
      </c>
      <c r="AK963" s="33" t="s">
        <v>56</v>
      </c>
      <c r="AL963" s="27"/>
      <c r="AM963" s="34" t="s">
        <v>57</v>
      </c>
      <c r="AN963" s="35" t="str">
        <f t="shared" si="73"/>
        <v>✓ OK</v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3250</v>
      </c>
      <c r="C964" s="41" t="s">
        <v>3251</v>
      </c>
      <c r="D964" s="39" t="s">
        <v>2301</v>
      </c>
      <c r="E964" s="42">
        <v>46129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42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70">
        <v>46248</v>
      </c>
      <c r="X964" s="30" t="s">
        <v>55</v>
      </c>
      <c r="Y964" s="30" t="s">
        <v>56</v>
      </c>
      <c r="Z964" s="30" t="s">
        <v>57</v>
      </c>
      <c r="AA964" s="30" t="s">
        <v>58</v>
      </c>
      <c r="AB964" s="30" t="s">
        <v>56</v>
      </c>
      <c r="AC964" s="27"/>
      <c r="AD964" s="31" t="s">
        <v>57</v>
      </c>
      <c r="AE964" s="32" t="str">
        <f t="shared" si="72"/>
        <v>✓ OK</v>
      </c>
      <c r="AF964" s="33" t="s">
        <v>61</v>
      </c>
      <c r="AG964" s="33" t="s">
        <v>55</v>
      </c>
      <c r="AH964" s="33" t="s">
        <v>56</v>
      </c>
      <c r="AI964" s="33" t="s">
        <v>57</v>
      </c>
      <c r="AJ964" s="33" t="s">
        <v>58</v>
      </c>
      <c r="AK964" s="33" t="s">
        <v>56</v>
      </c>
      <c r="AL964" s="27"/>
      <c r="AM964" s="34" t="s">
        <v>57</v>
      </c>
      <c r="AN964" s="35" t="str">
        <f t="shared" si="73"/>
        <v>✓ OK</v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3252</v>
      </c>
      <c r="C965" s="25" t="s">
        <v>3253</v>
      </c>
      <c r="D965" s="23" t="s">
        <v>2301</v>
      </c>
      <c r="E965" s="42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42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70">
        <v>46248</v>
      </c>
      <c r="X965" s="30" t="s">
        <v>55</v>
      </c>
      <c r="Y965" s="30" t="s">
        <v>56</v>
      </c>
      <c r="Z965" s="30" t="s">
        <v>57</v>
      </c>
      <c r="AA965" s="30" t="s">
        <v>58</v>
      </c>
      <c r="AB965" s="30" t="s">
        <v>56</v>
      </c>
      <c r="AC965" s="27"/>
      <c r="AD965" s="31" t="s">
        <v>57</v>
      </c>
      <c r="AE965" s="32" t="str">
        <f t="shared" ref="AE965:AE1028" si="77">IF(W965="","",IF(Z965="Yes","❌ Disc",IF(Y965="No","⚠ Missing",IF(AB965="Yes","✓ OK","⚠ Check"))))</f>
        <v>✓ OK</v>
      </c>
      <c r="AF965" s="33" t="s">
        <v>61</v>
      </c>
      <c r="AG965" s="33" t="s">
        <v>55</v>
      </c>
      <c r="AH965" s="33" t="s">
        <v>56</v>
      </c>
      <c r="AI965" s="33" t="s">
        <v>57</v>
      </c>
      <c r="AJ965" s="33" t="s">
        <v>58</v>
      </c>
      <c r="AK965" s="33" t="s">
        <v>56</v>
      </c>
      <c r="AL965" s="27"/>
      <c r="AM965" s="34" t="s">
        <v>57</v>
      </c>
      <c r="AN965" s="35" t="str">
        <f t="shared" ref="AN965:AN1028" si="78">IF(AF965="","",IF(AI965="Yes","❌ Disc",IF(AH965="No","⚠ Missing",IF(AK965="Yes","✓ OK","⚠ Check"))))</f>
        <v>✓ OK</v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3254</v>
      </c>
      <c r="C966" s="41" t="s">
        <v>3255</v>
      </c>
      <c r="D966" s="39" t="s">
        <v>2301</v>
      </c>
      <c r="E966" s="42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42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70">
        <v>46248</v>
      </c>
      <c r="X966" s="30" t="s">
        <v>55</v>
      </c>
      <c r="Y966" s="30" t="s">
        <v>56</v>
      </c>
      <c r="Z966" s="30" t="s">
        <v>57</v>
      </c>
      <c r="AA966" s="30" t="s">
        <v>58</v>
      </c>
      <c r="AB966" s="30" t="s">
        <v>56</v>
      </c>
      <c r="AC966" s="27"/>
      <c r="AD966" s="31" t="s">
        <v>57</v>
      </c>
      <c r="AE966" s="32" t="str">
        <f t="shared" si="77"/>
        <v>✓ OK</v>
      </c>
      <c r="AF966" s="33" t="s">
        <v>61</v>
      </c>
      <c r="AG966" s="33" t="s">
        <v>55</v>
      </c>
      <c r="AH966" s="33" t="s">
        <v>56</v>
      </c>
      <c r="AI966" s="33" t="s">
        <v>57</v>
      </c>
      <c r="AJ966" s="33" t="s">
        <v>58</v>
      </c>
      <c r="AK966" s="33" t="s">
        <v>56</v>
      </c>
      <c r="AL966" s="27"/>
      <c r="AM966" s="34" t="s">
        <v>57</v>
      </c>
      <c r="AN966" s="35" t="str">
        <f t="shared" si="78"/>
        <v>✓ OK</v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3256</v>
      </c>
      <c r="C967" s="25" t="s">
        <v>3257</v>
      </c>
      <c r="D967" s="23" t="s">
        <v>2301</v>
      </c>
      <c r="E967" s="42">
        <v>46132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42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70">
        <v>46248</v>
      </c>
      <c r="X967" s="30" t="s">
        <v>55</v>
      </c>
      <c r="Y967" s="30" t="s">
        <v>56</v>
      </c>
      <c r="Z967" s="30" t="s">
        <v>57</v>
      </c>
      <c r="AA967" s="30" t="s">
        <v>58</v>
      </c>
      <c r="AB967" s="30" t="s">
        <v>56</v>
      </c>
      <c r="AC967" s="27"/>
      <c r="AD967" s="31" t="s">
        <v>57</v>
      </c>
      <c r="AE967" s="32" t="str">
        <f t="shared" si="77"/>
        <v>✓ OK</v>
      </c>
      <c r="AF967" s="33" t="s">
        <v>61</v>
      </c>
      <c r="AG967" s="33" t="s">
        <v>55</v>
      </c>
      <c r="AH967" s="33" t="s">
        <v>56</v>
      </c>
      <c r="AI967" s="33" t="s">
        <v>57</v>
      </c>
      <c r="AJ967" s="33" t="s">
        <v>58</v>
      </c>
      <c r="AK967" s="33" t="s">
        <v>56</v>
      </c>
      <c r="AL967" s="27"/>
      <c r="AM967" s="34" t="s">
        <v>57</v>
      </c>
      <c r="AN967" s="35" t="str">
        <f t="shared" si="78"/>
        <v>✓ OK</v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3258</v>
      </c>
      <c r="C968" s="41" t="s">
        <v>3259</v>
      </c>
      <c r="D968" s="39" t="s">
        <v>2301</v>
      </c>
      <c r="E968" s="42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42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70">
        <v>46248</v>
      </c>
      <c r="X968" s="30" t="s">
        <v>55</v>
      </c>
      <c r="Y968" s="30" t="s">
        <v>56</v>
      </c>
      <c r="Z968" s="30" t="s">
        <v>57</v>
      </c>
      <c r="AA968" s="30" t="s">
        <v>58</v>
      </c>
      <c r="AB968" s="30" t="s">
        <v>56</v>
      </c>
      <c r="AC968" s="27"/>
      <c r="AD968" s="31" t="s">
        <v>57</v>
      </c>
      <c r="AE968" s="32" t="str">
        <f t="shared" si="77"/>
        <v>✓ OK</v>
      </c>
      <c r="AF968" s="33" t="s">
        <v>61</v>
      </c>
      <c r="AG968" s="33" t="s">
        <v>55</v>
      </c>
      <c r="AH968" s="33" t="s">
        <v>56</v>
      </c>
      <c r="AI968" s="33" t="s">
        <v>57</v>
      </c>
      <c r="AJ968" s="33" t="s">
        <v>58</v>
      </c>
      <c r="AK968" s="33" t="s">
        <v>56</v>
      </c>
      <c r="AL968" s="27"/>
      <c r="AM968" s="34" t="s">
        <v>57</v>
      </c>
      <c r="AN968" s="35" t="str">
        <f t="shared" si="78"/>
        <v>✓ OK</v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3260</v>
      </c>
      <c r="C969" s="25" t="s">
        <v>3261</v>
      </c>
      <c r="D969" s="23" t="s">
        <v>2301</v>
      </c>
      <c r="E969" s="42">
        <v>46132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42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70">
        <v>46248</v>
      </c>
      <c r="X969" s="30" t="s">
        <v>55</v>
      </c>
      <c r="Y969" s="30" t="s">
        <v>56</v>
      </c>
      <c r="Z969" s="30" t="s">
        <v>57</v>
      </c>
      <c r="AA969" s="30" t="s">
        <v>58</v>
      </c>
      <c r="AB969" s="30" t="s">
        <v>56</v>
      </c>
      <c r="AC969" s="27"/>
      <c r="AD969" s="31" t="s">
        <v>57</v>
      </c>
      <c r="AE969" s="32" t="str">
        <f t="shared" si="77"/>
        <v>✓ OK</v>
      </c>
      <c r="AF969" s="33" t="s">
        <v>61</v>
      </c>
      <c r="AG969" s="33" t="s">
        <v>55</v>
      </c>
      <c r="AH969" s="33" t="s">
        <v>56</v>
      </c>
      <c r="AI969" s="33" t="s">
        <v>57</v>
      </c>
      <c r="AJ969" s="33" t="s">
        <v>58</v>
      </c>
      <c r="AK969" s="33" t="s">
        <v>56</v>
      </c>
      <c r="AL969" s="27"/>
      <c r="AM969" s="34" t="s">
        <v>57</v>
      </c>
      <c r="AN969" s="35" t="str">
        <f t="shared" si="78"/>
        <v>✓ OK</v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3262</v>
      </c>
      <c r="C970" s="41" t="s">
        <v>3263</v>
      </c>
      <c r="D970" s="39" t="s">
        <v>2301</v>
      </c>
      <c r="E970" s="42">
        <v>46132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42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70">
        <v>46248</v>
      </c>
      <c r="X970" s="30" t="s">
        <v>55</v>
      </c>
      <c r="Y970" s="30" t="s">
        <v>56</v>
      </c>
      <c r="Z970" s="30" t="s">
        <v>57</v>
      </c>
      <c r="AA970" s="30" t="s">
        <v>58</v>
      </c>
      <c r="AB970" s="30" t="s">
        <v>56</v>
      </c>
      <c r="AC970" s="27"/>
      <c r="AD970" s="31" t="s">
        <v>57</v>
      </c>
      <c r="AE970" s="32" t="str">
        <f t="shared" si="77"/>
        <v>✓ OK</v>
      </c>
      <c r="AF970" s="33" t="s">
        <v>61</v>
      </c>
      <c r="AG970" s="33" t="s">
        <v>55</v>
      </c>
      <c r="AH970" s="33" t="s">
        <v>56</v>
      </c>
      <c r="AI970" s="33" t="s">
        <v>57</v>
      </c>
      <c r="AJ970" s="33" t="s">
        <v>58</v>
      </c>
      <c r="AK970" s="33" t="s">
        <v>56</v>
      </c>
      <c r="AL970" s="27"/>
      <c r="AM970" s="34" t="s">
        <v>57</v>
      </c>
      <c r="AN970" s="35" t="str">
        <f t="shared" si="78"/>
        <v>✓ OK</v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3264</v>
      </c>
      <c r="C971" s="25" t="s">
        <v>3265</v>
      </c>
      <c r="D971" s="23" t="s">
        <v>2301</v>
      </c>
      <c r="E971" s="42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42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70">
        <v>46248</v>
      </c>
      <c r="X971" s="30" t="s">
        <v>55</v>
      </c>
      <c r="Y971" s="30" t="s">
        <v>56</v>
      </c>
      <c r="Z971" s="30" t="s">
        <v>57</v>
      </c>
      <c r="AA971" s="30" t="s">
        <v>58</v>
      </c>
      <c r="AB971" s="30" t="s">
        <v>56</v>
      </c>
      <c r="AC971" s="27"/>
      <c r="AD971" s="31" t="s">
        <v>57</v>
      </c>
      <c r="AE971" s="32" t="str">
        <f t="shared" si="77"/>
        <v>✓ OK</v>
      </c>
      <c r="AF971" s="33" t="s">
        <v>61</v>
      </c>
      <c r="AG971" s="33" t="s">
        <v>55</v>
      </c>
      <c r="AH971" s="33" t="s">
        <v>56</v>
      </c>
      <c r="AI971" s="33" t="s">
        <v>57</v>
      </c>
      <c r="AJ971" s="33" t="s">
        <v>58</v>
      </c>
      <c r="AK971" s="33" t="s">
        <v>56</v>
      </c>
      <c r="AL971" s="27"/>
      <c r="AM971" s="34" t="s">
        <v>57</v>
      </c>
      <c r="AN971" s="35" t="str">
        <f t="shared" si="78"/>
        <v>✓ OK</v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3266</v>
      </c>
      <c r="C972" s="41" t="s">
        <v>3267</v>
      </c>
      <c r="D972" s="39" t="s">
        <v>2301</v>
      </c>
      <c r="E972" s="42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42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70">
        <v>46248</v>
      </c>
      <c r="X972" s="30" t="s">
        <v>55</v>
      </c>
      <c r="Y972" s="30" t="s">
        <v>56</v>
      </c>
      <c r="Z972" s="30" t="s">
        <v>57</v>
      </c>
      <c r="AA972" s="30" t="s">
        <v>58</v>
      </c>
      <c r="AB972" s="30" t="s">
        <v>56</v>
      </c>
      <c r="AC972" s="27"/>
      <c r="AD972" s="31" t="s">
        <v>57</v>
      </c>
      <c r="AE972" s="32" t="str">
        <f t="shared" si="77"/>
        <v>✓ OK</v>
      </c>
      <c r="AF972" s="33" t="s">
        <v>61</v>
      </c>
      <c r="AG972" s="33" t="s">
        <v>55</v>
      </c>
      <c r="AH972" s="33" t="s">
        <v>56</v>
      </c>
      <c r="AI972" s="33" t="s">
        <v>57</v>
      </c>
      <c r="AJ972" s="33" t="s">
        <v>58</v>
      </c>
      <c r="AK972" s="33" t="s">
        <v>56</v>
      </c>
      <c r="AL972" s="27"/>
      <c r="AM972" s="34" t="s">
        <v>57</v>
      </c>
      <c r="AN972" s="35" t="str">
        <f t="shared" si="78"/>
        <v>✓ OK</v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3268</v>
      </c>
      <c r="C973" s="25" t="s">
        <v>3269</v>
      </c>
      <c r="D973" s="23" t="s">
        <v>2301</v>
      </c>
      <c r="E973" s="42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42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70">
        <v>46248</v>
      </c>
      <c r="X973" s="30" t="s">
        <v>55</v>
      </c>
      <c r="Y973" s="30" t="s">
        <v>56</v>
      </c>
      <c r="Z973" s="30" t="s">
        <v>57</v>
      </c>
      <c r="AA973" s="30" t="s">
        <v>58</v>
      </c>
      <c r="AB973" s="30" t="s">
        <v>56</v>
      </c>
      <c r="AC973" s="27"/>
      <c r="AD973" s="31" t="s">
        <v>57</v>
      </c>
      <c r="AE973" s="32" t="str">
        <f t="shared" si="77"/>
        <v>✓ OK</v>
      </c>
      <c r="AF973" s="33" t="s">
        <v>61</v>
      </c>
      <c r="AG973" s="33" t="s">
        <v>55</v>
      </c>
      <c r="AH973" s="33" t="s">
        <v>56</v>
      </c>
      <c r="AI973" s="33" t="s">
        <v>57</v>
      </c>
      <c r="AJ973" s="33" t="s">
        <v>58</v>
      </c>
      <c r="AK973" s="33" t="s">
        <v>56</v>
      </c>
      <c r="AL973" s="27"/>
      <c r="AM973" s="34" t="s">
        <v>57</v>
      </c>
      <c r="AN973" s="35" t="str">
        <f t="shared" si="78"/>
        <v>✓ OK</v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3270</v>
      </c>
      <c r="C974" s="41" t="s">
        <v>3271</v>
      </c>
      <c r="D974" s="39" t="s">
        <v>2301</v>
      </c>
      <c r="E974" s="42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42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70">
        <v>46248</v>
      </c>
      <c r="X974" s="30" t="s">
        <v>55</v>
      </c>
      <c r="Y974" s="30" t="s">
        <v>56</v>
      </c>
      <c r="Z974" s="30" t="s">
        <v>57</v>
      </c>
      <c r="AA974" s="30" t="s">
        <v>58</v>
      </c>
      <c r="AB974" s="30" t="s">
        <v>56</v>
      </c>
      <c r="AC974" s="27"/>
      <c r="AD974" s="31" t="s">
        <v>57</v>
      </c>
      <c r="AE974" s="32" t="str">
        <f t="shared" si="77"/>
        <v>✓ OK</v>
      </c>
      <c r="AF974" s="33" t="s">
        <v>61</v>
      </c>
      <c r="AG974" s="33" t="s">
        <v>55</v>
      </c>
      <c r="AH974" s="33" t="s">
        <v>56</v>
      </c>
      <c r="AI974" s="33" t="s">
        <v>57</v>
      </c>
      <c r="AJ974" s="33" t="s">
        <v>58</v>
      </c>
      <c r="AK974" s="33" t="s">
        <v>56</v>
      </c>
      <c r="AL974" s="27"/>
      <c r="AM974" s="34" t="s">
        <v>57</v>
      </c>
      <c r="AN974" s="35" t="str">
        <f t="shared" si="78"/>
        <v>✓ OK</v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3272</v>
      </c>
      <c r="C975" s="25" t="s">
        <v>3273</v>
      </c>
      <c r="D975" s="23" t="s">
        <v>2301</v>
      </c>
      <c r="E975" s="42">
        <v>46129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42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70">
        <v>46248</v>
      </c>
      <c r="X975" s="30" t="s">
        <v>55</v>
      </c>
      <c r="Y975" s="30" t="s">
        <v>56</v>
      </c>
      <c r="Z975" s="30" t="s">
        <v>57</v>
      </c>
      <c r="AA975" s="30" t="s">
        <v>58</v>
      </c>
      <c r="AB975" s="30" t="s">
        <v>56</v>
      </c>
      <c r="AC975" s="27"/>
      <c r="AD975" s="31" t="s">
        <v>57</v>
      </c>
      <c r="AE975" s="32" t="str">
        <f t="shared" si="77"/>
        <v>✓ OK</v>
      </c>
      <c r="AF975" s="33" t="s">
        <v>61</v>
      </c>
      <c r="AG975" s="33" t="s">
        <v>55</v>
      </c>
      <c r="AH975" s="33" t="s">
        <v>56</v>
      </c>
      <c r="AI975" s="33" t="s">
        <v>57</v>
      </c>
      <c r="AJ975" s="33" t="s">
        <v>58</v>
      </c>
      <c r="AK975" s="33" t="s">
        <v>56</v>
      </c>
      <c r="AL975" s="27"/>
      <c r="AM975" s="34" t="s">
        <v>57</v>
      </c>
      <c r="AN975" s="35" t="str">
        <f t="shared" si="78"/>
        <v>✓ OK</v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3274</v>
      </c>
      <c r="C976" s="41" t="s">
        <v>3275</v>
      </c>
      <c r="D976" s="39" t="s">
        <v>2301</v>
      </c>
      <c r="E976" s="42">
        <v>46129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42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70">
        <v>46248</v>
      </c>
      <c r="X976" s="30" t="s">
        <v>55</v>
      </c>
      <c r="Y976" s="30" t="s">
        <v>56</v>
      </c>
      <c r="Z976" s="30" t="s">
        <v>57</v>
      </c>
      <c r="AA976" s="30" t="s">
        <v>58</v>
      </c>
      <c r="AB976" s="30" t="s">
        <v>56</v>
      </c>
      <c r="AC976" s="27"/>
      <c r="AD976" s="31" t="s">
        <v>57</v>
      </c>
      <c r="AE976" s="32" t="str">
        <f t="shared" si="77"/>
        <v>✓ OK</v>
      </c>
      <c r="AF976" s="33" t="s">
        <v>61</v>
      </c>
      <c r="AG976" s="33" t="s">
        <v>55</v>
      </c>
      <c r="AH976" s="33" t="s">
        <v>56</v>
      </c>
      <c r="AI976" s="33" t="s">
        <v>57</v>
      </c>
      <c r="AJ976" s="33" t="s">
        <v>58</v>
      </c>
      <c r="AK976" s="33" t="s">
        <v>56</v>
      </c>
      <c r="AL976" s="27"/>
      <c r="AM976" s="34" t="s">
        <v>57</v>
      </c>
      <c r="AN976" s="35" t="str">
        <f t="shared" si="78"/>
        <v>✓ OK</v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3276</v>
      </c>
      <c r="C977" s="25" t="s">
        <v>3277</v>
      </c>
      <c r="D977" s="23" t="s">
        <v>2301</v>
      </c>
      <c r="E977" s="42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42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70">
        <v>46248</v>
      </c>
      <c r="X977" s="30" t="s">
        <v>55</v>
      </c>
      <c r="Y977" s="30" t="s">
        <v>56</v>
      </c>
      <c r="Z977" s="30" t="s">
        <v>57</v>
      </c>
      <c r="AA977" s="30" t="s">
        <v>58</v>
      </c>
      <c r="AB977" s="30" t="s">
        <v>56</v>
      </c>
      <c r="AC977" s="27"/>
      <c r="AD977" s="31" t="s">
        <v>57</v>
      </c>
      <c r="AE977" s="32" t="str">
        <f t="shared" si="77"/>
        <v>✓ OK</v>
      </c>
      <c r="AF977" s="33" t="s">
        <v>61</v>
      </c>
      <c r="AG977" s="33" t="s">
        <v>55</v>
      </c>
      <c r="AH977" s="33" t="s">
        <v>56</v>
      </c>
      <c r="AI977" s="33" t="s">
        <v>57</v>
      </c>
      <c r="AJ977" s="33" t="s">
        <v>58</v>
      </c>
      <c r="AK977" s="33" t="s">
        <v>56</v>
      </c>
      <c r="AL977" s="27"/>
      <c r="AM977" s="34" t="s">
        <v>57</v>
      </c>
      <c r="AN977" s="35" t="str">
        <f t="shared" si="78"/>
        <v>✓ OK</v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3278</v>
      </c>
      <c r="C978" s="41" t="s">
        <v>3279</v>
      </c>
      <c r="D978" s="39" t="s">
        <v>2301</v>
      </c>
      <c r="E978" s="42">
        <v>46132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42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70">
        <v>46248</v>
      </c>
      <c r="X978" s="30" t="s">
        <v>55</v>
      </c>
      <c r="Y978" s="30" t="s">
        <v>56</v>
      </c>
      <c r="Z978" s="30" t="s">
        <v>57</v>
      </c>
      <c r="AA978" s="30" t="s">
        <v>58</v>
      </c>
      <c r="AB978" s="30" t="s">
        <v>56</v>
      </c>
      <c r="AC978" s="27"/>
      <c r="AD978" s="31" t="s">
        <v>57</v>
      </c>
      <c r="AE978" s="32" t="str">
        <f t="shared" si="77"/>
        <v>✓ OK</v>
      </c>
      <c r="AF978" s="33" t="s">
        <v>61</v>
      </c>
      <c r="AG978" s="33" t="s">
        <v>55</v>
      </c>
      <c r="AH978" s="33" t="s">
        <v>56</v>
      </c>
      <c r="AI978" s="33" t="s">
        <v>57</v>
      </c>
      <c r="AJ978" s="33" t="s">
        <v>58</v>
      </c>
      <c r="AK978" s="33" t="s">
        <v>56</v>
      </c>
      <c r="AL978" s="27"/>
      <c r="AM978" s="34" t="s">
        <v>57</v>
      </c>
      <c r="AN978" s="35" t="str">
        <f t="shared" si="78"/>
        <v>✓ OK</v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3280</v>
      </c>
      <c r="C979" s="25" t="s">
        <v>3281</v>
      </c>
      <c r="D979" s="23" t="s">
        <v>2301</v>
      </c>
      <c r="E979" s="42">
        <v>46132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42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70">
        <v>46248</v>
      </c>
      <c r="X979" s="30" t="s">
        <v>55</v>
      </c>
      <c r="Y979" s="30" t="s">
        <v>56</v>
      </c>
      <c r="Z979" s="30" t="s">
        <v>57</v>
      </c>
      <c r="AA979" s="30" t="s">
        <v>58</v>
      </c>
      <c r="AB979" s="30" t="s">
        <v>56</v>
      </c>
      <c r="AC979" s="27"/>
      <c r="AD979" s="31" t="s">
        <v>57</v>
      </c>
      <c r="AE979" s="32" t="str">
        <f t="shared" si="77"/>
        <v>✓ OK</v>
      </c>
      <c r="AF979" s="33" t="s">
        <v>61</v>
      </c>
      <c r="AG979" s="33" t="s">
        <v>55</v>
      </c>
      <c r="AH979" s="33" t="s">
        <v>56</v>
      </c>
      <c r="AI979" s="33" t="s">
        <v>57</v>
      </c>
      <c r="AJ979" s="33" t="s">
        <v>58</v>
      </c>
      <c r="AK979" s="33" t="s">
        <v>56</v>
      </c>
      <c r="AL979" s="27"/>
      <c r="AM979" s="34" t="s">
        <v>57</v>
      </c>
      <c r="AN979" s="35" t="str">
        <f t="shared" si="78"/>
        <v>✓ OK</v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3282</v>
      </c>
      <c r="C980" s="41" t="s">
        <v>3283</v>
      </c>
      <c r="D980" s="39" t="s">
        <v>2301</v>
      </c>
      <c r="E980" s="42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42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70">
        <v>46248</v>
      </c>
      <c r="X980" s="30" t="s">
        <v>55</v>
      </c>
      <c r="Y980" s="30" t="s">
        <v>56</v>
      </c>
      <c r="Z980" s="30" t="s">
        <v>57</v>
      </c>
      <c r="AA980" s="30" t="s">
        <v>58</v>
      </c>
      <c r="AB980" s="30" t="s">
        <v>56</v>
      </c>
      <c r="AC980" s="27"/>
      <c r="AD980" s="31" t="s">
        <v>57</v>
      </c>
      <c r="AE980" s="32" t="str">
        <f t="shared" si="77"/>
        <v>✓ OK</v>
      </c>
      <c r="AF980" s="33" t="s">
        <v>61</v>
      </c>
      <c r="AG980" s="33" t="s">
        <v>55</v>
      </c>
      <c r="AH980" s="33" t="s">
        <v>56</v>
      </c>
      <c r="AI980" s="33" t="s">
        <v>57</v>
      </c>
      <c r="AJ980" s="33" t="s">
        <v>58</v>
      </c>
      <c r="AK980" s="33" t="s">
        <v>56</v>
      </c>
      <c r="AL980" s="27"/>
      <c r="AM980" s="34" t="s">
        <v>57</v>
      </c>
      <c r="AN980" s="35" t="str">
        <f t="shared" si="78"/>
        <v>✓ OK</v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3284</v>
      </c>
      <c r="C981" s="25" t="s">
        <v>3285</v>
      </c>
      <c r="D981" s="23" t="s">
        <v>2301</v>
      </c>
      <c r="E981" s="42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42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70">
        <v>46248</v>
      </c>
      <c r="X981" s="30" t="s">
        <v>55</v>
      </c>
      <c r="Y981" s="30" t="s">
        <v>56</v>
      </c>
      <c r="Z981" s="30" t="s">
        <v>57</v>
      </c>
      <c r="AA981" s="30" t="s">
        <v>58</v>
      </c>
      <c r="AB981" s="30" t="s">
        <v>56</v>
      </c>
      <c r="AC981" s="27"/>
      <c r="AD981" s="31" t="s">
        <v>57</v>
      </c>
      <c r="AE981" s="32" t="str">
        <f t="shared" si="77"/>
        <v>✓ OK</v>
      </c>
      <c r="AF981" s="33" t="s">
        <v>61</v>
      </c>
      <c r="AG981" s="33" t="s">
        <v>55</v>
      </c>
      <c r="AH981" s="33" t="s">
        <v>56</v>
      </c>
      <c r="AI981" s="33" t="s">
        <v>57</v>
      </c>
      <c r="AJ981" s="33" t="s">
        <v>58</v>
      </c>
      <c r="AK981" s="33" t="s">
        <v>56</v>
      </c>
      <c r="AL981" s="27"/>
      <c r="AM981" s="34" t="s">
        <v>57</v>
      </c>
      <c r="AN981" s="35" t="str">
        <f t="shared" si="78"/>
        <v>✓ OK</v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3286</v>
      </c>
      <c r="C982" s="41" t="s">
        <v>3287</v>
      </c>
      <c r="D982" s="39" t="s">
        <v>2301</v>
      </c>
      <c r="E982" s="42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42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70">
        <v>46248</v>
      </c>
      <c r="X982" s="30" t="s">
        <v>55</v>
      </c>
      <c r="Y982" s="30" t="s">
        <v>56</v>
      </c>
      <c r="Z982" s="30" t="s">
        <v>57</v>
      </c>
      <c r="AA982" s="30" t="s">
        <v>58</v>
      </c>
      <c r="AB982" s="30" t="s">
        <v>56</v>
      </c>
      <c r="AC982" s="27"/>
      <c r="AD982" s="31" t="s">
        <v>57</v>
      </c>
      <c r="AE982" s="32" t="str">
        <f t="shared" si="77"/>
        <v>✓ OK</v>
      </c>
      <c r="AF982" s="33" t="s">
        <v>61</v>
      </c>
      <c r="AG982" s="33" t="s">
        <v>55</v>
      </c>
      <c r="AH982" s="33" t="s">
        <v>56</v>
      </c>
      <c r="AI982" s="33" t="s">
        <v>57</v>
      </c>
      <c r="AJ982" s="33" t="s">
        <v>58</v>
      </c>
      <c r="AK982" s="33" t="s">
        <v>56</v>
      </c>
      <c r="AL982" s="27"/>
      <c r="AM982" s="34" t="s">
        <v>57</v>
      </c>
      <c r="AN982" s="35" t="str">
        <f t="shared" si="78"/>
        <v>✓ OK</v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3288</v>
      </c>
      <c r="C983" s="25" t="s">
        <v>3289</v>
      </c>
      <c r="D983" s="23" t="s">
        <v>2301</v>
      </c>
      <c r="E983" s="42">
        <v>46132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42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70">
        <v>46248</v>
      </c>
      <c r="X983" s="30" t="s">
        <v>55</v>
      </c>
      <c r="Y983" s="30" t="s">
        <v>56</v>
      </c>
      <c r="Z983" s="30" t="s">
        <v>57</v>
      </c>
      <c r="AA983" s="30" t="s">
        <v>58</v>
      </c>
      <c r="AB983" s="30" t="s">
        <v>56</v>
      </c>
      <c r="AC983" s="27"/>
      <c r="AD983" s="31" t="s">
        <v>57</v>
      </c>
      <c r="AE983" s="32" t="str">
        <f t="shared" si="77"/>
        <v>✓ OK</v>
      </c>
      <c r="AF983" s="33" t="s">
        <v>61</v>
      </c>
      <c r="AG983" s="33" t="s">
        <v>55</v>
      </c>
      <c r="AH983" s="33" t="s">
        <v>56</v>
      </c>
      <c r="AI983" s="33" t="s">
        <v>57</v>
      </c>
      <c r="AJ983" s="33" t="s">
        <v>58</v>
      </c>
      <c r="AK983" s="33" t="s">
        <v>56</v>
      </c>
      <c r="AL983" s="27"/>
      <c r="AM983" s="34" t="s">
        <v>57</v>
      </c>
      <c r="AN983" s="35" t="str">
        <f t="shared" si="78"/>
        <v>✓ OK</v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3290</v>
      </c>
      <c r="C984" s="41" t="s">
        <v>3291</v>
      </c>
      <c r="D984" s="39" t="s">
        <v>2301</v>
      </c>
      <c r="E984" s="42">
        <v>46132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42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70">
        <v>46248</v>
      </c>
      <c r="X984" s="30" t="s">
        <v>55</v>
      </c>
      <c r="Y984" s="30" t="s">
        <v>56</v>
      </c>
      <c r="Z984" s="30" t="s">
        <v>57</v>
      </c>
      <c r="AA984" s="30" t="s">
        <v>58</v>
      </c>
      <c r="AB984" s="30" t="s">
        <v>56</v>
      </c>
      <c r="AC984" s="27"/>
      <c r="AD984" s="31" t="s">
        <v>57</v>
      </c>
      <c r="AE984" s="32" t="str">
        <f t="shared" si="77"/>
        <v>✓ OK</v>
      </c>
      <c r="AF984" s="33" t="s">
        <v>61</v>
      </c>
      <c r="AG984" s="33" t="s">
        <v>55</v>
      </c>
      <c r="AH984" s="33" t="s">
        <v>56</v>
      </c>
      <c r="AI984" s="33" t="s">
        <v>57</v>
      </c>
      <c r="AJ984" s="33" t="s">
        <v>58</v>
      </c>
      <c r="AK984" s="33" t="s">
        <v>56</v>
      </c>
      <c r="AL984" s="27"/>
      <c r="AM984" s="34" t="s">
        <v>57</v>
      </c>
      <c r="AN984" s="35" t="str">
        <f t="shared" si="78"/>
        <v>✓ OK</v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3292</v>
      </c>
      <c r="C985" s="25" t="s">
        <v>3293</v>
      </c>
      <c r="D985" s="23" t="s">
        <v>2301</v>
      </c>
      <c r="E985" s="42">
        <v>46129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42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70">
        <v>46248</v>
      </c>
      <c r="X985" s="30" t="s">
        <v>55</v>
      </c>
      <c r="Y985" s="30" t="s">
        <v>56</v>
      </c>
      <c r="Z985" s="30" t="s">
        <v>57</v>
      </c>
      <c r="AA985" s="30" t="s">
        <v>58</v>
      </c>
      <c r="AB985" s="30" t="s">
        <v>56</v>
      </c>
      <c r="AC985" s="27"/>
      <c r="AD985" s="31" t="s">
        <v>57</v>
      </c>
      <c r="AE985" s="32" t="str">
        <f t="shared" si="77"/>
        <v>✓ OK</v>
      </c>
      <c r="AF985" s="33" t="s">
        <v>61</v>
      </c>
      <c r="AG985" s="33" t="s">
        <v>55</v>
      </c>
      <c r="AH985" s="33" t="s">
        <v>56</v>
      </c>
      <c r="AI985" s="33" t="s">
        <v>57</v>
      </c>
      <c r="AJ985" s="33" t="s">
        <v>58</v>
      </c>
      <c r="AK985" s="33" t="s">
        <v>56</v>
      </c>
      <c r="AL985" s="27"/>
      <c r="AM985" s="34" t="s">
        <v>57</v>
      </c>
      <c r="AN985" s="35" t="str">
        <f t="shared" si="78"/>
        <v>✓ OK</v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3294</v>
      </c>
      <c r="C986" s="41" t="s">
        <v>3295</v>
      </c>
      <c r="D986" s="39" t="s">
        <v>2301</v>
      </c>
      <c r="E986" s="42">
        <v>46129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42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70">
        <v>46248</v>
      </c>
      <c r="X986" s="30" t="s">
        <v>55</v>
      </c>
      <c r="Y986" s="30" t="s">
        <v>56</v>
      </c>
      <c r="Z986" s="30" t="s">
        <v>57</v>
      </c>
      <c r="AA986" s="30" t="s">
        <v>58</v>
      </c>
      <c r="AB986" s="30" t="s">
        <v>56</v>
      </c>
      <c r="AC986" s="27"/>
      <c r="AD986" s="31" t="s">
        <v>57</v>
      </c>
      <c r="AE986" s="32" t="str">
        <f t="shared" si="77"/>
        <v>✓ OK</v>
      </c>
      <c r="AF986" s="33" t="s">
        <v>61</v>
      </c>
      <c r="AG986" s="33" t="s">
        <v>55</v>
      </c>
      <c r="AH986" s="33" t="s">
        <v>56</v>
      </c>
      <c r="AI986" s="33" t="s">
        <v>57</v>
      </c>
      <c r="AJ986" s="33" t="s">
        <v>58</v>
      </c>
      <c r="AK986" s="33" t="s">
        <v>56</v>
      </c>
      <c r="AL986" s="27"/>
      <c r="AM986" s="34" t="s">
        <v>57</v>
      </c>
      <c r="AN986" s="35" t="str">
        <f t="shared" si="78"/>
        <v>✓ OK</v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3296</v>
      </c>
      <c r="C987" s="25" t="s">
        <v>3297</v>
      </c>
      <c r="D987" s="23" t="s">
        <v>2301</v>
      </c>
      <c r="E987" s="42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42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70">
        <v>46248</v>
      </c>
      <c r="X987" s="30" t="s">
        <v>55</v>
      </c>
      <c r="Y987" s="30" t="s">
        <v>56</v>
      </c>
      <c r="Z987" s="30" t="s">
        <v>57</v>
      </c>
      <c r="AA987" s="30" t="s">
        <v>58</v>
      </c>
      <c r="AB987" s="30" t="s">
        <v>56</v>
      </c>
      <c r="AC987" s="27"/>
      <c r="AD987" s="31" t="s">
        <v>57</v>
      </c>
      <c r="AE987" s="32" t="str">
        <f t="shared" si="77"/>
        <v>✓ OK</v>
      </c>
      <c r="AF987" s="33" t="s">
        <v>61</v>
      </c>
      <c r="AG987" s="33" t="s">
        <v>55</v>
      </c>
      <c r="AH987" s="33" t="s">
        <v>56</v>
      </c>
      <c r="AI987" s="33" t="s">
        <v>57</v>
      </c>
      <c r="AJ987" s="33" t="s">
        <v>58</v>
      </c>
      <c r="AK987" s="33" t="s">
        <v>56</v>
      </c>
      <c r="AL987" s="27"/>
      <c r="AM987" s="34" t="s">
        <v>57</v>
      </c>
      <c r="AN987" s="35" t="str">
        <f t="shared" si="78"/>
        <v>✓ OK</v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3298</v>
      </c>
      <c r="C988" s="41" t="s">
        <v>3299</v>
      </c>
      <c r="D988" s="39" t="s">
        <v>2301</v>
      </c>
      <c r="E988" s="42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42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70">
        <v>46248</v>
      </c>
      <c r="X988" s="30" t="s">
        <v>55</v>
      </c>
      <c r="Y988" s="30" t="s">
        <v>56</v>
      </c>
      <c r="Z988" s="30" t="s">
        <v>57</v>
      </c>
      <c r="AA988" s="30" t="s">
        <v>58</v>
      </c>
      <c r="AB988" s="30" t="s">
        <v>56</v>
      </c>
      <c r="AC988" s="27"/>
      <c r="AD988" s="31" t="s">
        <v>57</v>
      </c>
      <c r="AE988" s="32" t="str">
        <f t="shared" si="77"/>
        <v>✓ OK</v>
      </c>
      <c r="AF988" s="33" t="s">
        <v>61</v>
      </c>
      <c r="AG988" s="33" t="s">
        <v>55</v>
      </c>
      <c r="AH988" s="33" t="s">
        <v>56</v>
      </c>
      <c r="AI988" s="33" t="s">
        <v>57</v>
      </c>
      <c r="AJ988" s="33" t="s">
        <v>58</v>
      </c>
      <c r="AK988" s="33" t="s">
        <v>56</v>
      </c>
      <c r="AL988" s="27"/>
      <c r="AM988" s="34" t="s">
        <v>57</v>
      </c>
      <c r="AN988" s="35" t="str">
        <f t="shared" si="78"/>
        <v>✓ OK</v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3300</v>
      </c>
      <c r="C989" s="25" t="s">
        <v>3301</v>
      </c>
      <c r="D989" s="23" t="s">
        <v>2301</v>
      </c>
      <c r="E989" s="42">
        <v>46132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42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70">
        <v>46248</v>
      </c>
      <c r="X989" s="30" t="s">
        <v>55</v>
      </c>
      <c r="Y989" s="30" t="s">
        <v>56</v>
      </c>
      <c r="Z989" s="30" t="s">
        <v>57</v>
      </c>
      <c r="AA989" s="30" t="s">
        <v>58</v>
      </c>
      <c r="AB989" s="30" t="s">
        <v>56</v>
      </c>
      <c r="AC989" s="27"/>
      <c r="AD989" s="31" t="s">
        <v>57</v>
      </c>
      <c r="AE989" s="32" t="str">
        <f t="shared" si="77"/>
        <v>✓ OK</v>
      </c>
      <c r="AF989" s="33" t="s">
        <v>61</v>
      </c>
      <c r="AG989" s="33" t="s">
        <v>55</v>
      </c>
      <c r="AH989" s="33" t="s">
        <v>56</v>
      </c>
      <c r="AI989" s="33" t="s">
        <v>57</v>
      </c>
      <c r="AJ989" s="33" t="s">
        <v>58</v>
      </c>
      <c r="AK989" s="33" t="s">
        <v>56</v>
      </c>
      <c r="AL989" s="27"/>
      <c r="AM989" s="34" t="s">
        <v>57</v>
      </c>
      <c r="AN989" s="35" t="str">
        <f t="shared" si="78"/>
        <v>✓ OK</v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3302</v>
      </c>
      <c r="C990" s="41" t="s">
        <v>3303</v>
      </c>
      <c r="D990" s="39" t="s">
        <v>2301</v>
      </c>
      <c r="E990" s="42">
        <v>46132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42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70">
        <v>46248</v>
      </c>
      <c r="X990" s="30" t="s">
        <v>55</v>
      </c>
      <c r="Y990" s="30" t="s">
        <v>56</v>
      </c>
      <c r="Z990" s="30" t="s">
        <v>57</v>
      </c>
      <c r="AA990" s="30" t="s">
        <v>58</v>
      </c>
      <c r="AB990" s="30" t="s">
        <v>56</v>
      </c>
      <c r="AC990" s="27"/>
      <c r="AD990" s="31" t="s">
        <v>57</v>
      </c>
      <c r="AE990" s="32" t="str">
        <f t="shared" si="77"/>
        <v>✓ OK</v>
      </c>
      <c r="AF990" s="33" t="s">
        <v>61</v>
      </c>
      <c r="AG990" s="33" t="s">
        <v>55</v>
      </c>
      <c r="AH990" s="33" t="s">
        <v>56</v>
      </c>
      <c r="AI990" s="33" t="s">
        <v>57</v>
      </c>
      <c r="AJ990" s="33" t="s">
        <v>58</v>
      </c>
      <c r="AK990" s="33" t="s">
        <v>56</v>
      </c>
      <c r="AL990" s="27"/>
      <c r="AM990" s="34" t="s">
        <v>57</v>
      </c>
      <c r="AN990" s="35" t="str">
        <f t="shared" si="78"/>
        <v>✓ OK</v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3304</v>
      </c>
      <c r="C991" s="25" t="s">
        <v>3305</v>
      </c>
      <c r="D991" s="23" t="s">
        <v>2301</v>
      </c>
      <c r="E991" s="42">
        <v>46132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42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70">
        <v>46248</v>
      </c>
      <c r="X991" s="30" t="s">
        <v>55</v>
      </c>
      <c r="Y991" s="30" t="s">
        <v>56</v>
      </c>
      <c r="Z991" s="30" t="s">
        <v>57</v>
      </c>
      <c r="AA991" s="30" t="s">
        <v>58</v>
      </c>
      <c r="AB991" s="30" t="s">
        <v>56</v>
      </c>
      <c r="AC991" s="27"/>
      <c r="AD991" s="31" t="s">
        <v>57</v>
      </c>
      <c r="AE991" s="32" t="str">
        <f t="shared" si="77"/>
        <v>✓ OK</v>
      </c>
      <c r="AF991" s="33" t="s">
        <v>61</v>
      </c>
      <c r="AG991" s="33" t="s">
        <v>55</v>
      </c>
      <c r="AH991" s="33" t="s">
        <v>56</v>
      </c>
      <c r="AI991" s="33" t="s">
        <v>57</v>
      </c>
      <c r="AJ991" s="33" t="s">
        <v>58</v>
      </c>
      <c r="AK991" s="33" t="s">
        <v>56</v>
      </c>
      <c r="AL991" s="27"/>
      <c r="AM991" s="34" t="s">
        <v>57</v>
      </c>
      <c r="AN991" s="35" t="str">
        <f t="shared" si="78"/>
        <v>✓ OK</v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3306</v>
      </c>
      <c r="C992" s="41" t="s">
        <v>3307</v>
      </c>
      <c r="D992" s="39" t="s">
        <v>2301</v>
      </c>
      <c r="E992" s="42">
        <v>46132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42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70">
        <v>46248</v>
      </c>
      <c r="X992" s="30" t="s">
        <v>55</v>
      </c>
      <c r="Y992" s="30" t="s">
        <v>56</v>
      </c>
      <c r="Z992" s="30" t="s">
        <v>57</v>
      </c>
      <c r="AA992" s="30" t="s">
        <v>58</v>
      </c>
      <c r="AB992" s="30" t="s">
        <v>56</v>
      </c>
      <c r="AC992" s="27"/>
      <c r="AD992" s="31" t="s">
        <v>57</v>
      </c>
      <c r="AE992" s="32" t="str">
        <f t="shared" si="77"/>
        <v>✓ OK</v>
      </c>
      <c r="AF992" s="33" t="s">
        <v>61</v>
      </c>
      <c r="AG992" s="33" t="s">
        <v>55</v>
      </c>
      <c r="AH992" s="33" t="s">
        <v>56</v>
      </c>
      <c r="AI992" s="33" t="s">
        <v>57</v>
      </c>
      <c r="AJ992" s="33" t="s">
        <v>58</v>
      </c>
      <c r="AK992" s="33" t="s">
        <v>56</v>
      </c>
      <c r="AL992" s="27"/>
      <c r="AM992" s="34" t="s">
        <v>57</v>
      </c>
      <c r="AN992" s="35" t="str">
        <f t="shared" si="78"/>
        <v>✓ OK</v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3308</v>
      </c>
      <c r="C993" s="25" t="s">
        <v>3309</v>
      </c>
      <c r="D993" s="23" t="s">
        <v>2301</v>
      </c>
      <c r="E993" s="42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42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70">
        <v>46248</v>
      </c>
      <c r="X993" s="30" t="s">
        <v>55</v>
      </c>
      <c r="Y993" s="30" t="s">
        <v>56</v>
      </c>
      <c r="Z993" s="30" t="s">
        <v>57</v>
      </c>
      <c r="AA993" s="30" t="s">
        <v>58</v>
      </c>
      <c r="AB993" s="30" t="s">
        <v>56</v>
      </c>
      <c r="AC993" s="27"/>
      <c r="AD993" s="31" t="s">
        <v>57</v>
      </c>
      <c r="AE993" s="32" t="str">
        <f t="shared" si="77"/>
        <v>✓ OK</v>
      </c>
      <c r="AF993" s="33" t="s">
        <v>61</v>
      </c>
      <c r="AG993" s="33" t="s">
        <v>55</v>
      </c>
      <c r="AH993" s="33" t="s">
        <v>56</v>
      </c>
      <c r="AI993" s="33" t="s">
        <v>57</v>
      </c>
      <c r="AJ993" s="33" t="s">
        <v>58</v>
      </c>
      <c r="AK993" s="33" t="s">
        <v>56</v>
      </c>
      <c r="AL993" s="27"/>
      <c r="AM993" s="34" t="s">
        <v>57</v>
      </c>
      <c r="AN993" s="35" t="str">
        <f t="shared" si="78"/>
        <v>✓ OK</v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3310</v>
      </c>
      <c r="C994" s="41" t="s">
        <v>3311</v>
      </c>
      <c r="D994" s="39" t="s">
        <v>2301</v>
      </c>
      <c r="E994" s="42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42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70">
        <v>46248</v>
      </c>
      <c r="X994" s="30" t="s">
        <v>55</v>
      </c>
      <c r="Y994" s="30" t="s">
        <v>56</v>
      </c>
      <c r="Z994" s="30" t="s">
        <v>57</v>
      </c>
      <c r="AA994" s="30" t="s">
        <v>58</v>
      </c>
      <c r="AB994" s="30" t="s">
        <v>56</v>
      </c>
      <c r="AC994" s="27"/>
      <c r="AD994" s="31" t="s">
        <v>57</v>
      </c>
      <c r="AE994" s="32" t="str">
        <f t="shared" si="77"/>
        <v>✓ OK</v>
      </c>
      <c r="AF994" s="33" t="s">
        <v>61</v>
      </c>
      <c r="AG994" s="33" t="s">
        <v>55</v>
      </c>
      <c r="AH994" s="33" t="s">
        <v>56</v>
      </c>
      <c r="AI994" s="33" t="s">
        <v>57</v>
      </c>
      <c r="AJ994" s="33" t="s">
        <v>58</v>
      </c>
      <c r="AK994" s="33" t="s">
        <v>56</v>
      </c>
      <c r="AL994" s="27"/>
      <c r="AM994" s="34" t="s">
        <v>57</v>
      </c>
      <c r="AN994" s="35" t="str">
        <f t="shared" si="78"/>
        <v>✓ OK</v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3312</v>
      </c>
      <c r="C995" s="25" t="s">
        <v>3313</v>
      </c>
      <c r="D995" s="23" t="s">
        <v>2301</v>
      </c>
      <c r="E995" s="42">
        <v>46132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42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70">
        <v>46248</v>
      </c>
      <c r="X995" s="30" t="s">
        <v>55</v>
      </c>
      <c r="Y995" s="30" t="s">
        <v>56</v>
      </c>
      <c r="Z995" s="30" t="s">
        <v>57</v>
      </c>
      <c r="AA995" s="30" t="s">
        <v>58</v>
      </c>
      <c r="AB995" s="30" t="s">
        <v>56</v>
      </c>
      <c r="AC995" s="27"/>
      <c r="AD995" s="31" t="s">
        <v>57</v>
      </c>
      <c r="AE995" s="32" t="str">
        <f t="shared" si="77"/>
        <v>✓ OK</v>
      </c>
      <c r="AF995" s="33" t="s">
        <v>61</v>
      </c>
      <c r="AG995" s="33" t="s">
        <v>55</v>
      </c>
      <c r="AH995" s="33" t="s">
        <v>56</v>
      </c>
      <c r="AI995" s="33" t="s">
        <v>57</v>
      </c>
      <c r="AJ995" s="33" t="s">
        <v>58</v>
      </c>
      <c r="AK995" s="33" t="s">
        <v>56</v>
      </c>
      <c r="AL995" s="27"/>
      <c r="AM995" s="34" t="s">
        <v>57</v>
      </c>
      <c r="AN995" s="35" t="str">
        <f t="shared" si="78"/>
        <v>✓ OK</v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3314</v>
      </c>
      <c r="C996" s="41" t="s">
        <v>3315</v>
      </c>
      <c r="D996" s="39" t="s">
        <v>2301</v>
      </c>
      <c r="E996" s="42">
        <v>46132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42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70">
        <v>46248</v>
      </c>
      <c r="X996" s="30" t="s">
        <v>55</v>
      </c>
      <c r="Y996" s="30" t="s">
        <v>56</v>
      </c>
      <c r="Z996" s="30" t="s">
        <v>57</v>
      </c>
      <c r="AA996" s="30" t="s">
        <v>58</v>
      </c>
      <c r="AB996" s="30" t="s">
        <v>56</v>
      </c>
      <c r="AC996" s="27"/>
      <c r="AD996" s="31" t="s">
        <v>57</v>
      </c>
      <c r="AE996" s="32" t="str">
        <f t="shared" si="77"/>
        <v>✓ OK</v>
      </c>
      <c r="AF996" s="33" t="s">
        <v>61</v>
      </c>
      <c r="AG996" s="33" t="s">
        <v>55</v>
      </c>
      <c r="AH996" s="33" t="s">
        <v>56</v>
      </c>
      <c r="AI996" s="33" t="s">
        <v>57</v>
      </c>
      <c r="AJ996" s="33" t="s">
        <v>58</v>
      </c>
      <c r="AK996" s="33" t="s">
        <v>56</v>
      </c>
      <c r="AL996" s="27"/>
      <c r="AM996" s="34" t="s">
        <v>57</v>
      </c>
      <c r="AN996" s="35" t="str">
        <f t="shared" si="78"/>
        <v>✓ OK</v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3316</v>
      </c>
      <c r="C997" s="25" t="s">
        <v>3317</v>
      </c>
      <c r="D997" s="23" t="s">
        <v>2301</v>
      </c>
      <c r="E997" s="42">
        <v>46129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42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70">
        <v>46248</v>
      </c>
      <c r="X997" s="30" t="s">
        <v>55</v>
      </c>
      <c r="Y997" s="30" t="s">
        <v>56</v>
      </c>
      <c r="Z997" s="30" t="s">
        <v>57</v>
      </c>
      <c r="AA997" s="30" t="s">
        <v>58</v>
      </c>
      <c r="AB997" s="30" t="s">
        <v>56</v>
      </c>
      <c r="AC997" s="27"/>
      <c r="AD997" s="31" t="s">
        <v>57</v>
      </c>
      <c r="AE997" s="32" t="str">
        <f t="shared" si="77"/>
        <v>✓ OK</v>
      </c>
      <c r="AF997" s="33" t="s">
        <v>61</v>
      </c>
      <c r="AG997" s="33" t="s">
        <v>55</v>
      </c>
      <c r="AH997" s="33" t="s">
        <v>56</v>
      </c>
      <c r="AI997" s="33" t="s">
        <v>57</v>
      </c>
      <c r="AJ997" s="33" t="s">
        <v>58</v>
      </c>
      <c r="AK997" s="33" t="s">
        <v>56</v>
      </c>
      <c r="AL997" s="27"/>
      <c r="AM997" s="34" t="s">
        <v>57</v>
      </c>
      <c r="AN997" s="35" t="str">
        <f t="shared" si="78"/>
        <v>✓ OK</v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3318</v>
      </c>
      <c r="C998" s="41" t="s">
        <v>3319</v>
      </c>
      <c r="D998" s="39" t="s">
        <v>2301</v>
      </c>
      <c r="E998" s="42">
        <v>46129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42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70">
        <v>46248</v>
      </c>
      <c r="X998" s="30" t="s">
        <v>55</v>
      </c>
      <c r="Y998" s="30" t="s">
        <v>56</v>
      </c>
      <c r="Z998" s="30" t="s">
        <v>57</v>
      </c>
      <c r="AA998" s="30" t="s">
        <v>58</v>
      </c>
      <c r="AB998" s="30" t="s">
        <v>56</v>
      </c>
      <c r="AC998" s="27"/>
      <c r="AD998" s="31" t="s">
        <v>57</v>
      </c>
      <c r="AE998" s="32" t="str">
        <f t="shared" si="77"/>
        <v>✓ OK</v>
      </c>
      <c r="AF998" s="33" t="s">
        <v>61</v>
      </c>
      <c r="AG998" s="33" t="s">
        <v>55</v>
      </c>
      <c r="AH998" s="33" t="s">
        <v>56</v>
      </c>
      <c r="AI998" s="33" t="s">
        <v>57</v>
      </c>
      <c r="AJ998" s="33" t="s">
        <v>58</v>
      </c>
      <c r="AK998" s="33" t="s">
        <v>56</v>
      </c>
      <c r="AL998" s="27"/>
      <c r="AM998" s="34" t="s">
        <v>57</v>
      </c>
      <c r="AN998" s="35" t="str">
        <f t="shared" si="78"/>
        <v>✓ OK</v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3320</v>
      </c>
      <c r="C999" s="25" t="s">
        <v>3321</v>
      </c>
      <c r="D999" s="23" t="s">
        <v>2301</v>
      </c>
      <c r="E999" s="42">
        <v>46129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42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70">
        <v>46248</v>
      </c>
      <c r="X999" s="30" t="s">
        <v>55</v>
      </c>
      <c r="Y999" s="30" t="s">
        <v>56</v>
      </c>
      <c r="Z999" s="30" t="s">
        <v>57</v>
      </c>
      <c r="AA999" s="30" t="s">
        <v>58</v>
      </c>
      <c r="AB999" s="30" t="s">
        <v>56</v>
      </c>
      <c r="AC999" s="27"/>
      <c r="AD999" s="31" t="s">
        <v>57</v>
      </c>
      <c r="AE999" s="32" t="str">
        <f t="shared" si="77"/>
        <v>✓ OK</v>
      </c>
      <c r="AF999" s="33" t="s">
        <v>61</v>
      </c>
      <c r="AG999" s="33" t="s">
        <v>55</v>
      </c>
      <c r="AH999" s="33" t="s">
        <v>56</v>
      </c>
      <c r="AI999" s="33" t="s">
        <v>57</v>
      </c>
      <c r="AJ999" s="33" t="s">
        <v>58</v>
      </c>
      <c r="AK999" s="33" t="s">
        <v>56</v>
      </c>
      <c r="AL999" s="27"/>
      <c r="AM999" s="34" t="s">
        <v>57</v>
      </c>
      <c r="AN999" s="35" t="str">
        <f t="shared" si="78"/>
        <v>✓ OK</v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3322</v>
      </c>
      <c r="C1000" s="41" t="s">
        <v>3323</v>
      </c>
      <c r="D1000" s="39" t="s">
        <v>2301</v>
      </c>
      <c r="E1000" s="42">
        <v>46129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42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70">
        <v>46248</v>
      </c>
      <c r="X1000" s="30" t="s">
        <v>55</v>
      </c>
      <c r="Y1000" s="30" t="s">
        <v>56</v>
      </c>
      <c r="Z1000" s="30" t="s">
        <v>57</v>
      </c>
      <c r="AA1000" s="30" t="s">
        <v>58</v>
      </c>
      <c r="AB1000" s="30" t="s">
        <v>56</v>
      </c>
      <c r="AC1000" s="27"/>
      <c r="AD1000" s="31" t="s">
        <v>57</v>
      </c>
      <c r="AE1000" s="32" t="str">
        <f t="shared" si="77"/>
        <v>✓ OK</v>
      </c>
      <c r="AF1000" s="33" t="s">
        <v>61</v>
      </c>
      <c r="AG1000" s="33" t="s">
        <v>55</v>
      </c>
      <c r="AH1000" s="33" t="s">
        <v>56</v>
      </c>
      <c r="AI1000" s="33" t="s">
        <v>57</v>
      </c>
      <c r="AJ1000" s="33" t="s">
        <v>58</v>
      </c>
      <c r="AK1000" s="33" t="s">
        <v>56</v>
      </c>
      <c r="AL1000" s="27"/>
      <c r="AM1000" s="34" t="s">
        <v>57</v>
      </c>
      <c r="AN1000" s="35" t="str">
        <f t="shared" si="78"/>
        <v>✓ OK</v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3324</v>
      </c>
      <c r="C1001" s="25" t="s">
        <v>3325</v>
      </c>
      <c r="D1001" s="23" t="s">
        <v>2301</v>
      </c>
      <c r="E1001" s="42">
        <v>46129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42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70">
        <v>46248</v>
      </c>
      <c r="X1001" s="30" t="s">
        <v>55</v>
      </c>
      <c r="Y1001" s="30" t="s">
        <v>56</v>
      </c>
      <c r="Z1001" s="30" t="s">
        <v>57</v>
      </c>
      <c r="AA1001" s="30" t="s">
        <v>58</v>
      </c>
      <c r="AB1001" s="30" t="s">
        <v>56</v>
      </c>
      <c r="AC1001" s="27"/>
      <c r="AD1001" s="31" t="s">
        <v>57</v>
      </c>
      <c r="AE1001" s="32" t="str">
        <f t="shared" si="77"/>
        <v>✓ OK</v>
      </c>
      <c r="AF1001" s="33" t="s">
        <v>61</v>
      </c>
      <c r="AG1001" s="33" t="s">
        <v>55</v>
      </c>
      <c r="AH1001" s="33" t="s">
        <v>56</v>
      </c>
      <c r="AI1001" s="33" t="s">
        <v>57</v>
      </c>
      <c r="AJ1001" s="33" t="s">
        <v>58</v>
      </c>
      <c r="AK1001" s="33" t="s">
        <v>56</v>
      </c>
      <c r="AL1001" s="27"/>
      <c r="AM1001" s="34" t="s">
        <v>57</v>
      </c>
      <c r="AN1001" s="35" t="str">
        <f t="shared" si="78"/>
        <v>✓ OK</v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3326</v>
      </c>
      <c r="C1002" s="41" t="s">
        <v>3327</v>
      </c>
      <c r="D1002" s="39" t="s">
        <v>2301</v>
      </c>
      <c r="E1002" s="42">
        <v>46129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42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70">
        <v>46248</v>
      </c>
      <c r="X1002" s="30" t="s">
        <v>55</v>
      </c>
      <c r="Y1002" s="30" t="s">
        <v>56</v>
      </c>
      <c r="Z1002" s="30" t="s">
        <v>57</v>
      </c>
      <c r="AA1002" s="30" t="s">
        <v>58</v>
      </c>
      <c r="AB1002" s="30" t="s">
        <v>56</v>
      </c>
      <c r="AC1002" s="27"/>
      <c r="AD1002" s="31" t="s">
        <v>57</v>
      </c>
      <c r="AE1002" s="32" t="str">
        <f t="shared" si="77"/>
        <v>✓ OK</v>
      </c>
      <c r="AF1002" s="33" t="s">
        <v>61</v>
      </c>
      <c r="AG1002" s="33" t="s">
        <v>55</v>
      </c>
      <c r="AH1002" s="33" t="s">
        <v>56</v>
      </c>
      <c r="AI1002" s="33" t="s">
        <v>57</v>
      </c>
      <c r="AJ1002" s="33" t="s">
        <v>58</v>
      </c>
      <c r="AK1002" s="33" t="s">
        <v>56</v>
      </c>
      <c r="AL1002" s="27"/>
      <c r="AM1002" s="34" t="s">
        <v>57</v>
      </c>
      <c r="AN1002" s="35" t="str">
        <f t="shared" si="78"/>
        <v>✓ OK</v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3328</v>
      </c>
      <c r="C1003" s="25" t="s">
        <v>3329</v>
      </c>
      <c r="D1003" s="23" t="s">
        <v>2301</v>
      </c>
      <c r="E1003" s="42">
        <v>46129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42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70">
        <v>46248</v>
      </c>
      <c r="X1003" s="30" t="s">
        <v>55</v>
      </c>
      <c r="Y1003" s="30" t="s">
        <v>56</v>
      </c>
      <c r="Z1003" s="30" t="s">
        <v>57</v>
      </c>
      <c r="AA1003" s="30" t="s">
        <v>58</v>
      </c>
      <c r="AB1003" s="30" t="s">
        <v>56</v>
      </c>
      <c r="AC1003" s="27"/>
      <c r="AD1003" s="31" t="s">
        <v>57</v>
      </c>
      <c r="AE1003" s="32" t="str">
        <f t="shared" si="77"/>
        <v>✓ OK</v>
      </c>
      <c r="AF1003" s="33" t="s">
        <v>61</v>
      </c>
      <c r="AG1003" s="33" t="s">
        <v>55</v>
      </c>
      <c r="AH1003" s="33" t="s">
        <v>56</v>
      </c>
      <c r="AI1003" s="33" t="s">
        <v>57</v>
      </c>
      <c r="AJ1003" s="33" t="s">
        <v>58</v>
      </c>
      <c r="AK1003" s="33" t="s">
        <v>56</v>
      </c>
      <c r="AL1003" s="27"/>
      <c r="AM1003" s="34" t="s">
        <v>57</v>
      </c>
      <c r="AN1003" s="35" t="str">
        <f t="shared" si="78"/>
        <v>✓ OK</v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3330</v>
      </c>
      <c r="C1004" s="41" t="s">
        <v>3331</v>
      </c>
      <c r="D1004" s="39" t="s">
        <v>2301</v>
      </c>
      <c r="E1004" s="42">
        <v>46129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42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70">
        <v>46248</v>
      </c>
      <c r="X1004" s="30" t="s">
        <v>55</v>
      </c>
      <c r="Y1004" s="30" t="s">
        <v>56</v>
      </c>
      <c r="Z1004" s="30" t="s">
        <v>57</v>
      </c>
      <c r="AA1004" s="30" t="s">
        <v>58</v>
      </c>
      <c r="AB1004" s="30" t="s">
        <v>56</v>
      </c>
      <c r="AC1004" s="27"/>
      <c r="AD1004" s="31" t="s">
        <v>57</v>
      </c>
      <c r="AE1004" s="32" t="str">
        <f t="shared" si="77"/>
        <v>✓ OK</v>
      </c>
      <c r="AF1004" s="33" t="s">
        <v>61</v>
      </c>
      <c r="AG1004" s="33" t="s">
        <v>55</v>
      </c>
      <c r="AH1004" s="33" t="s">
        <v>56</v>
      </c>
      <c r="AI1004" s="33" t="s">
        <v>57</v>
      </c>
      <c r="AJ1004" s="33" t="s">
        <v>58</v>
      </c>
      <c r="AK1004" s="33" t="s">
        <v>56</v>
      </c>
      <c r="AL1004" s="27"/>
      <c r="AM1004" s="34" t="s">
        <v>57</v>
      </c>
      <c r="AN1004" s="35" t="str">
        <f t="shared" si="78"/>
        <v>✓ OK</v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3332</v>
      </c>
      <c r="C1005" s="25" t="s">
        <v>3333</v>
      </c>
      <c r="D1005" s="23" t="s">
        <v>2301</v>
      </c>
      <c r="E1005" s="42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42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70">
        <v>46248</v>
      </c>
      <c r="X1005" s="30" t="s">
        <v>55</v>
      </c>
      <c r="Y1005" s="30" t="s">
        <v>56</v>
      </c>
      <c r="Z1005" s="30" t="s">
        <v>57</v>
      </c>
      <c r="AA1005" s="30" t="s">
        <v>58</v>
      </c>
      <c r="AB1005" s="30" t="s">
        <v>56</v>
      </c>
      <c r="AC1005" s="27"/>
      <c r="AD1005" s="31" t="s">
        <v>57</v>
      </c>
      <c r="AE1005" s="32" t="str">
        <f t="shared" si="77"/>
        <v>✓ OK</v>
      </c>
      <c r="AF1005" s="33" t="s">
        <v>61</v>
      </c>
      <c r="AG1005" s="33" t="s">
        <v>55</v>
      </c>
      <c r="AH1005" s="33" t="s">
        <v>56</v>
      </c>
      <c r="AI1005" s="33" t="s">
        <v>57</v>
      </c>
      <c r="AJ1005" s="33" t="s">
        <v>58</v>
      </c>
      <c r="AK1005" s="33" t="s">
        <v>56</v>
      </c>
      <c r="AL1005" s="27"/>
      <c r="AM1005" s="34" t="s">
        <v>57</v>
      </c>
      <c r="AN1005" s="35" t="str">
        <f t="shared" si="78"/>
        <v>✓ OK</v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3334</v>
      </c>
      <c r="C1006" s="41" t="s">
        <v>3335</v>
      </c>
      <c r="D1006" s="39" t="s">
        <v>2301</v>
      </c>
      <c r="E1006" s="42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42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70">
        <v>46248</v>
      </c>
      <c r="X1006" s="30" t="s">
        <v>55</v>
      </c>
      <c r="Y1006" s="30" t="s">
        <v>56</v>
      </c>
      <c r="Z1006" s="30" t="s">
        <v>57</v>
      </c>
      <c r="AA1006" s="30" t="s">
        <v>58</v>
      </c>
      <c r="AB1006" s="30" t="s">
        <v>56</v>
      </c>
      <c r="AC1006" s="27"/>
      <c r="AD1006" s="31" t="s">
        <v>57</v>
      </c>
      <c r="AE1006" s="32" t="str">
        <f t="shared" si="77"/>
        <v>✓ OK</v>
      </c>
      <c r="AF1006" s="33" t="s">
        <v>61</v>
      </c>
      <c r="AG1006" s="33" t="s">
        <v>55</v>
      </c>
      <c r="AH1006" s="33" t="s">
        <v>56</v>
      </c>
      <c r="AI1006" s="33" t="s">
        <v>57</v>
      </c>
      <c r="AJ1006" s="33" t="s">
        <v>58</v>
      </c>
      <c r="AK1006" s="33" t="s">
        <v>56</v>
      </c>
      <c r="AL1006" s="27"/>
      <c r="AM1006" s="34" t="s">
        <v>57</v>
      </c>
      <c r="AN1006" s="35" t="str">
        <f t="shared" si="78"/>
        <v>✓ OK</v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3336</v>
      </c>
      <c r="C1007" s="25" t="s">
        <v>3337</v>
      </c>
      <c r="D1007" s="23" t="s">
        <v>2301</v>
      </c>
      <c r="E1007" s="42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42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70">
        <v>46248</v>
      </c>
      <c r="X1007" s="30" t="s">
        <v>55</v>
      </c>
      <c r="Y1007" s="30" t="s">
        <v>56</v>
      </c>
      <c r="Z1007" s="30" t="s">
        <v>57</v>
      </c>
      <c r="AA1007" s="30" t="s">
        <v>58</v>
      </c>
      <c r="AB1007" s="30" t="s">
        <v>56</v>
      </c>
      <c r="AC1007" s="27"/>
      <c r="AD1007" s="31" t="s">
        <v>57</v>
      </c>
      <c r="AE1007" s="32" t="str">
        <f t="shared" si="77"/>
        <v>✓ OK</v>
      </c>
      <c r="AF1007" s="33" t="s">
        <v>61</v>
      </c>
      <c r="AG1007" s="33" t="s">
        <v>55</v>
      </c>
      <c r="AH1007" s="33" t="s">
        <v>56</v>
      </c>
      <c r="AI1007" s="33" t="s">
        <v>57</v>
      </c>
      <c r="AJ1007" s="33" t="s">
        <v>58</v>
      </c>
      <c r="AK1007" s="33" t="s">
        <v>56</v>
      </c>
      <c r="AL1007" s="27"/>
      <c r="AM1007" s="34" t="s">
        <v>57</v>
      </c>
      <c r="AN1007" s="35" t="str">
        <f t="shared" si="78"/>
        <v>✓ OK</v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3338</v>
      </c>
      <c r="C1008" s="41" t="s">
        <v>3339</v>
      </c>
      <c r="D1008" s="39" t="s">
        <v>2301</v>
      </c>
      <c r="E1008" s="42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42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70">
        <v>46248</v>
      </c>
      <c r="X1008" s="30" t="s">
        <v>55</v>
      </c>
      <c r="Y1008" s="30" t="s">
        <v>56</v>
      </c>
      <c r="Z1008" s="30" t="s">
        <v>57</v>
      </c>
      <c r="AA1008" s="30" t="s">
        <v>58</v>
      </c>
      <c r="AB1008" s="30" t="s">
        <v>56</v>
      </c>
      <c r="AC1008" s="27"/>
      <c r="AD1008" s="31" t="s">
        <v>57</v>
      </c>
      <c r="AE1008" s="32" t="str">
        <f t="shared" si="77"/>
        <v>✓ OK</v>
      </c>
      <c r="AF1008" s="33" t="s">
        <v>61</v>
      </c>
      <c r="AG1008" s="33" t="s">
        <v>55</v>
      </c>
      <c r="AH1008" s="33" t="s">
        <v>56</v>
      </c>
      <c r="AI1008" s="33" t="s">
        <v>57</v>
      </c>
      <c r="AJ1008" s="33" t="s">
        <v>58</v>
      </c>
      <c r="AK1008" s="33" t="s">
        <v>56</v>
      </c>
      <c r="AL1008" s="27"/>
      <c r="AM1008" s="34" t="s">
        <v>57</v>
      </c>
      <c r="AN1008" s="35" t="str">
        <f t="shared" si="78"/>
        <v>✓ OK</v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3340</v>
      </c>
      <c r="C1009" s="25" t="s">
        <v>3341</v>
      </c>
      <c r="D1009" s="23" t="s">
        <v>2301</v>
      </c>
      <c r="E1009" s="42">
        <v>46132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42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70">
        <v>46248</v>
      </c>
      <c r="X1009" s="30" t="s">
        <v>55</v>
      </c>
      <c r="Y1009" s="30" t="s">
        <v>56</v>
      </c>
      <c r="Z1009" s="30" t="s">
        <v>57</v>
      </c>
      <c r="AA1009" s="30" t="s">
        <v>58</v>
      </c>
      <c r="AB1009" s="30" t="s">
        <v>56</v>
      </c>
      <c r="AC1009" s="27"/>
      <c r="AD1009" s="31" t="s">
        <v>57</v>
      </c>
      <c r="AE1009" s="32" t="str">
        <f t="shared" si="77"/>
        <v>✓ OK</v>
      </c>
      <c r="AF1009" s="33" t="s">
        <v>61</v>
      </c>
      <c r="AG1009" s="33" t="s">
        <v>55</v>
      </c>
      <c r="AH1009" s="33" t="s">
        <v>56</v>
      </c>
      <c r="AI1009" s="33" t="s">
        <v>57</v>
      </c>
      <c r="AJ1009" s="33" t="s">
        <v>58</v>
      </c>
      <c r="AK1009" s="33" t="s">
        <v>56</v>
      </c>
      <c r="AL1009" s="27"/>
      <c r="AM1009" s="34" t="s">
        <v>57</v>
      </c>
      <c r="AN1009" s="35" t="str">
        <f t="shared" si="78"/>
        <v>✓ OK</v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3342</v>
      </c>
      <c r="C1010" s="41" t="s">
        <v>3343</v>
      </c>
      <c r="D1010" s="39" t="s">
        <v>2301</v>
      </c>
      <c r="E1010" s="42">
        <v>46132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42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70">
        <v>46248</v>
      </c>
      <c r="X1010" s="30" t="s">
        <v>55</v>
      </c>
      <c r="Y1010" s="30" t="s">
        <v>56</v>
      </c>
      <c r="Z1010" s="30" t="s">
        <v>57</v>
      </c>
      <c r="AA1010" s="30" t="s">
        <v>58</v>
      </c>
      <c r="AB1010" s="30" t="s">
        <v>56</v>
      </c>
      <c r="AC1010" s="27"/>
      <c r="AD1010" s="31" t="s">
        <v>57</v>
      </c>
      <c r="AE1010" s="32" t="str">
        <f t="shared" si="77"/>
        <v>✓ OK</v>
      </c>
      <c r="AF1010" s="33" t="s">
        <v>61</v>
      </c>
      <c r="AG1010" s="33" t="s">
        <v>55</v>
      </c>
      <c r="AH1010" s="33" t="s">
        <v>56</v>
      </c>
      <c r="AI1010" s="33" t="s">
        <v>57</v>
      </c>
      <c r="AJ1010" s="33" t="s">
        <v>58</v>
      </c>
      <c r="AK1010" s="33" t="s">
        <v>56</v>
      </c>
      <c r="AL1010" s="27"/>
      <c r="AM1010" s="34" t="s">
        <v>57</v>
      </c>
      <c r="AN1010" s="35" t="str">
        <f t="shared" si="78"/>
        <v>✓ OK</v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3344</v>
      </c>
      <c r="C1011" s="25" t="s">
        <v>3345</v>
      </c>
      <c r="D1011" s="23" t="s">
        <v>2301</v>
      </c>
      <c r="E1011" s="42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42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70">
        <v>46248</v>
      </c>
      <c r="X1011" s="30" t="s">
        <v>55</v>
      </c>
      <c r="Y1011" s="30" t="s">
        <v>56</v>
      </c>
      <c r="Z1011" s="30" t="s">
        <v>57</v>
      </c>
      <c r="AA1011" s="30" t="s">
        <v>58</v>
      </c>
      <c r="AB1011" s="30" t="s">
        <v>56</v>
      </c>
      <c r="AC1011" s="27"/>
      <c r="AD1011" s="31" t="s">
        <v>57</v>
      </c>
      <c r="AE1011" s="32" t="str">
        <f t="shared" si="77"/>
        <v>✓ OK</v>
      </c>
      <c r="AF1011" s="33" t="s">
        <v>61</v>
      </c>
      <c r="AG1011" s="33" t="s">
        <v>55</v>
      </c>
      <c r="AH1011" s="33" t="s">
        <v>56</v>
      </c>
      <c r="AI1011" s="33" t="s">
        <v>57</v>
      </c>
      <c r="AJ1011" s="33" t="s">
        <v>58</v>
      </c>
      <c r="AK1011" s="33" t="s">
        <v>56</v>
      </c>
      <c r="AL1011" s="27"/>
      <c r="AM1011" s="34" t="s">
        <v>57</v>
      </c>
      <c r="AN1011" s="35" t="str">
        <f t="shared" si="78"/>
        <v>✓ OK</v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3346</v>
      </c>
      <c r="C1012" s="41" t="s">
        <v>3347</v>
      </c>
      <c r="D1012" s="39" t="s">
        <v>2301</v>
      </c>
      <c r="E1012" s="42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42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70">
        <v>46248</v>
      </c>
      <c r="X1012" s="30" t="s">
        <v>55</v>
      </c>
      <c r="Y1012" s="30" t="s">
        <v>56</v>
      </c>
      <c r="Z1012" s="30" t="s">
        <v>57</v>
      </c>
      <c r="AA1012" s="30" t="s">
        <v>58</v>
      </c>
      <c r="AB1012" s="30" t="s">
        <v>56</v>
      </c>
      <c r="AC1012" s="27"/>
      <c r="AD1012" s="31" t="s">
        <v>57</v>
      </c>
      <c r="AE1012" s="32" t="str">
        <f t="shared" si="77"/>
        <v>✓ OK</v>
      </c>
      <c r="AF1012" s="33" t="s">
        <v>61</v>
      </c>
      <c r="AG1012" s="33" t="s">
        <v>55</v>
      </c>
      <c r="AH1012" s="33" t="s">
        <v>56</v>
      </c>
      <c r="AI1012" s="33" t="s">
        <v>57</v>
      </c>
      <c r="AJ1012" s="33" t="s">
        <v>58</v>
      </c>
      <c r="AK1012" s="33" t="s">
        <v>56</v>
      </c>
      <c r="AL1012" s="27"/>
      <c r="AM1012" s="34" t="s">
        <v>57</v>
      </c>
      <c r="AN1012" s="35" t="str">
        <f t="shared" si="78"/>
        <v>✓ OK</v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3348</v>
      </c>
      <c r="C1013" s="25" t="s">
        <v>3349</v>
      </c>
      <c r="D1013" s="23" t="s">
        <v>2301</v>
      </c>
      <c r="E1013" s="42">
        <v>46132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42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70">
        <v>46248</v>
      </c>
      <c r="X1013" s="30" t="s">
        <v>55</v>
      </c>
      <c r="Y1013" s="30" t="s">
        <v>56</v>
      </c>
      <c r="Z1013" s="30" t="s">
        <v>57</v>
      </c>
      <c r="AA1013" s="30" t="s">
        <v>58</v>
      </c>
      <c r="AB1013" s="30" t="s">
        <v>56</v>
      </c>
      <c r="AC1013" s="27"/>
      <c r="AD1013" s="31" t="s">
        <v>57</v>
      </c>
      <c r="AE1013" s="32" t="str">
        <f t="shared" si="77"/>
        <v>✓ OK</v>
      </c>
      <c r="AF1013" s="33" t="s">
        <v>61</v>
      </c>
      <c r="AG1013" s="33" t="s">
        <v>55</v>
      </c>
      <c r="AH1013" s="33" t="s">
        <v>56</v>
      </c>
      <c r="AI1013" s="33" t="s">
        <v>57</v>
      </c>
      <c r="AJ1013" s="33" t="s">
        <v>58</v>
      </c>
      <c r="AK1013" s="33" t="s">
        <v>56</v>
      </c>
      <c r="AL1013" s="27"/>
      <c r="AM1013" s="34" t="s">
        <v>57</v>
      </c>
      <c r="AN1013" s="35" t="str">
        <f t="shared" si="78"/>
        <v>✓ OK</v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3350</v>
      </c>
      <c r="C1014" s="41" t="s">
        <v>3351</v>
      </c>
      <c r="D1014" s="39" t="s">
        <v>2301</v>
      </c>
      <c r="E1014" s="42">
        <v>46132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42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70">
        <v>46248</v>
      </c>
      <c r="X1014" s="30" t="s">
        <v>55</v>
      </c>
      <c r="Y1014" s="30" t="s">
        <v>56</v>
      </c>
      <c r="Z1014" s="30" t="s">
        <v>57</v>
      </c>
      <c r="AA1014" s="30" t="s">
        <v>58</v>
      </c>
      <c r="AB1014" s="30" t="s">
        <v>56</v>
      </c>
      <c r="AC1014" s="27"/>
      <c r="AD1014" s="31" t="s">
        <v>57</v>
      </c>
      <c r="AE1014" s="32" t="str">
        <f t="shared" si="77"/>
        <v>✓ OK</v>
      </c>
      <c r="AF1014" s="33" t="s">
        <v>61</v>
      </c>
      <c r="AG1014" s="33" t="s">
        <v>55</v>
      </c>
      <c r="AH1014" s="33" t="s">
        <v>56</v>
      </c>
      <c r="AI1014" s="33" t="s">
        <v>57</v>
      </c>
      <c r="AJ1014" s="33" t="s">
        <v>58</v>
      </c>
      <c r="AK1014" s="33" t="s">
        <v>56</v>
      </c>
      <c r="AL1014" s="27"/>
      <c r="AM1014" s="34" t="s">
        <v>57</v>
      </c>
      <c r="AN1014" s="35" t="str">
        <f t="shared" si="78"/>
        <v>✓ OK</v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3352</v>
      </c>
      <c r="C1015" s="25" t="s">
        <v>3353</v>
      </c>
      <c r="D1015" s="23" t="s">
        <v>2301</v>
      </c>
      <c r="E1015" s="42">
        <v>46129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42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70">
        <v>46248</v>
      </c>
      <c r="X1015" s="30" t="s">
        <v>55</v>
      </c>
      <c r="Y1015" s="30" t="s">
        <v>56</v>
      </c>
      <c r="Z1015" s="30" t="s">
        <v>57</v>
      </c>
      <c r="AA1015" s="30" t="s">
        <v>58</v>
      </c>
      <c r="AB1015" s="30" t="s">
        <v>56</v>
      </c>
      <c r="AC1015" s="27"/>
      <c r="AD1015" s="31" t="s">
        <v>57</v>
      </c>
      <c r="AE1015" s="32" t="str">
        <f t="shared" si="77"/>
        <v>✓ OK</v>
      </c>
      <c r="AF1015" s="33" t="s">
        <v>61</v>
      </c>
      <c r="AG1015" s="33" t="s">
        <v>55</v>
      </c>
      <c r="AH1015" s="33" t="s">
        <v>56</v>
      </c>
      <c r="AI1015" s="33" t="s">
        <v>57</v>
      </c>
      <c r="AJ1015" s="33" t="s">
        <v>58</v>
      </c>
      <c r="AK1015" s="33" t="s">
        <v>56</v>
      </c>
      <c r="AL1015" s="27"/>
      <c r="AM1015" s="34" t="s">
        <v>57</v>
      </c>
      <c r="AN1015" s="35" t="str">
        <f t="shared" si="78"/>
        <v>✓ OK</v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3354</v>
      </c>
      <c r="C1016" s="41" t="s">
        <v>3355</v>
      </c>
      <c r="D1016" s="39" t="s">
        <v>2301</v>
      </c>
      <c r="E1016" s="42">
        <v>46129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42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70">
        <v>46248</v>
      </c>
      <c r="X1016" s="30" t="s">
        <v>55</v>
      </c>
      <c r="Y1016" s="30" t="s">
        <v>56</v>
      </c>
      <c r="Z1016" s="30" t="s">
        <v>57</v>
      </c>
      <c r="AA1016" s="30" t="s">
        <v>58</v>
      </c>
      <c r="AB1016" s="30" t="s">
        <v>56</v>
      </c>
      <c r="AC1016" s="27"/>
      <c r="AD1016" s="31" t="s">
        <v>57</v>
      </c>
      <c r="AE1016" s="32" t="str">
        <f t="shared" si="77"/>
        <v>✓ OK</v>
      </c>
      <c r="AF1016" s="33" t="s">
        <v>61</v>
      </c>
      <c r="AG1016" s="33" t="s">
        <v>55</v>
      </c>
      <c r="AH1016" s="33" t="s">
        <v>56</v>
      </c>
      <c r="AI1016" s="33" t="s">
        <v>57</v>
      </c>
      <c r="AJ1016" s="33" t="s">
        <v>58</v>
      </c>
      <c r="AK1016" s="33" t="s">
        <v>56</v>
      </c>
      <c r="AL1016" s="27"/>
      <c r="AM1016" s="34" t="s">
        <v>57</v>
      </c>
      <c r="AN1016" s="35" t="str">
        <f t="shared" si="78"/>
        <v>✓ OK</v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3356</v>
      </c>
      <c r="C1017" s="25" t="s">
        <v>3357</v>
      </c>
      <c r="D1017" s="23" t="s">
        <v>2301</v>
      </c>
      <c r="E1017" s="42">
        <v>46129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42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70">
        <v>46248</v>
      </c>
      <c r="X1017" s="30" t="s">
        <v>55</v>
      </c>
      <c r="Y1017" s="30" t="s">
        <v>56</v>
      </c>
      <c r="Z1017" s="30" t="s">
        <v>57</v>
      </c>
      <c r="AA1017" s="30" t="s">
        <v>58</v>
      </c>
      <c r="AB1017" s="30" t="s">
        <v>56</v>
      </c>
      <c r="AC1017" s="27"/>
      <c r="AD1017" s="31" t="s">
        <v>57</v>
      </c>
      <c r="AE1017" s="32" t="str">
        <f t="shared" si="77"/>
        <v>✓ OK</v>
      </c>
      <c r="AF1017" s="33" t="s">
        <v>61</v>
      </c>
      <c r="AG1017" s="33" t="s">
        <v>55</v>
      </c>
      <c r="AH1017" s="33" t="s">
        <v>56</v>
      </c>
      <c r="AI1017" s="33" t="s">
        <v>57</v>
      </c>
      <c r="AJ1017" s="33" t="s">
        <v>58</v>
      </c>
      <c r="AK1017" s="33" t="s">
        <v>56</v>
      </c>
      <c r="AL1017" s="27"/>
      <c r="AM1017" s="34" t="s">
        <v>57</v>
      </c>
      <c r="AN1017" s="35" t="str">
        <f t="shared" si="78"/>
        <v>✓ OK</v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3358</v>
      </c>
      <c r="C1018" s="41" t="s">
        <v>3359</v>
      </c>
      <c r="D1018" s="39" t="s">
        <v>2301</v>
      </c>
      <c r="E1018" s="42">
        <v>46129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42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70">
        <v>46248</v>
      </c>
      <c r="X1018" s="30" t="s">
        <v>55</v>
      </c>
      <c r="Y1018" s="30" t="s">
        <v>56</v>
      </c>
      <c r="Z1018" s="30" t="s">
        <v>57</v>
      </c>
      <c r="AA1018" s="30" t="s">
        <v>58</v>
      </c>
      <c r="AB1018" s="30" t="s">
        <v>56</v>
      </c>
      <c r="AC1018" s="27"/>
      <c r="AD1018" s="31" t="s">
        <v>57</v>
      </c>
      <c r="AE1018" s="32" t="str">
        <f t="shared" si="77"/>
        <v>✓ OK</v>
      </c>
      <c r="AF1018" s="33" t="s">
        <v>61</v>
      </c>
      <c r="AG1018" s="33" t="s">
        <v>55</v>
      </c>
      <c r="AH1018" s="33" t="s">
        <v>56</v>
      </c>
      <c r="AI1018" s="33" t="s">
        <v>57</v>
      </c>
      <c r="AJ1018" s="33" t="s">
        <v>58</v>
      </c>
      <c r="AK1018" s="33" t="s">
        <v>56</v>
      </c>
      <c r="AL1018" s="27"/>
      <c r="AM1018" s="34" t="s">
        <v>57</v>
      </c>
      <c r="AN1018" s="35" t="str">
        <f t="shared" si="78"/>
        <v>✓ OK</v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3360</v>
      </c>
      <c r="C1019" s="25" t="s">
        <v>3361</v>
      </c>
      <c r="D1019" s="23" t="s">
        <v>2301</v>
      </c>
      <c r="E1019" s="42">
        <v>46129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42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70">
        <v>46248</v>
      </c>
      <c r="X1019" s="30" t="s">
        <v>55</v>
      </c>
      <c r="Y1019" s="30" t="s">
        <v>56</v>
      </c>
      <c r="Z1019" s="30" t="s">
        <v>57</v>
      </c>
      <c r="AA1019" s="30" t="s">
        <v>58</v>
      </c>
      <c r="AB1019" s="30" t="s">
        <v>56</v>
      </c>
      <c r="AC1019" s="27"/>
      <c r="AD1019" s="31" t="s">
        <v>57</v>
      </c>
      <c r="AE1019" s="32" t="str">
        <f t="shared" si="77"/>
        <v>✓ OK</v>
      </c>
      <c r="AF1019" s="33" t="s">
        <v>61</v>
      </c>
      <c r="AG1019" s="33" t="s">
        <v>55</v>
      </c>
      <c r="AH1019" s="33" t="s">
        <v>56</v>
      </c>
      <c r="AI1019" s="33" t="s">
        <v>57</v>
      </c>
      <c r="AJ1019" s="33" t="s">
        <v>58</v>
      </c>
      <c r="AK1019" s="33" t="s">
        <v>56</v>
      </c>
      <c r="AL1019" s="27"/>
      <c r="AM1019" s="34" t="s">
        <v>57</v>
      </c>
      <c r="AN1019" s="35" t="str">
        <f t="shared" si="78"/>
        <v>✓ OK</v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3362</v>
      </c>
      <c r="C1020" s="41" t="s">
        <v>3363</v>
      </c>
      <c r="D1020" s="39" t="s">
        <v>2301</v>
      </c>
      <c r="E1020" s="42">
        <v>46129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42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70">
        <v>46248</v>
      </c>
      <c r="X1020" s="30" t="s">
        <v>55</v>
      </c>
      <c r="Y1020" s="30" t="s">
        <v>56</v>
      </c>
      <c r="Z1020" s="30" t="s">
        <v>57</v>
      </c>
      <c r="AA1020" s="30" t="s">
        <v>58</v>
      </c>
      <c r="AB1020" s="30" t="s">
        <v>56</v>
      </c>
      <c r="AC1020" s="27"/>
      <c r="AD1020" s="31" t="s">
        <v>57</v>
      </c>
      <c r="AE1020" s="32" t="str">
        <f t="shared" si="77"/>
        <v>✓ OK</v>
      </c>
      <c r="AF1020" s="33" t="s">
        <v>61</v>
      </c>
      <c r="AG1020" s="33" t="s">
        <v>55</v>
      </c>
      <c r="AH1020" s="33" t="s">
        <v>56</v>
      </c>
      <c r="AI1020" s="33" t="s">
        <v>57</v>
      </c>
      <c r="AJ1020" s="33" t="s">
        <v>58</v>
      </c>
      <c r="AK1020" s="33" t="s">
        <v>56</v>
      </c>
      <c r="AL1020" s="27"/>
      <c r="AM1020" s="34" t="s">
        <v>57</v>
      </c>
      <c r="AN1020" s="35" t="str">
        <f t="shared" si="78"/>
        <v>✓ OK</v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3364</v>
      </c>
      <c r="C1021" s="25" t="s">
        <v>3365</v>
      </c>
      <c r="D1021" s="23" t="s">
        <v>2301</v>
      </c>
      <c r="E1021" s="42">
        <v>46129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42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70">
        <v>46248</v>
      </c>
      <c r="X1021" s="30" t="s">
        <v>55</v>
      </c>
      <c r="Y1021" s="30" t="s">
        <v>56</v>
      </c>
      <c r="Z1021" s="30" t="s">
        <v>57</v>
      </c>
      <c r="AA1021" s="30" t="s">
        <v>58</v>
      </c>
      <c r="AB1021" s="30" t="s">
        <v>56</v>
      </c>
      <c r="AC1021" s="27"/>
      <c r="AD1021" s="31" t="s">
        <v>57</v>
      </c>
      <c r="AE1021" s="32" t="str">
        <f t="shared" si="77"/>
        <v>✓ OK</v>
      </c>
      <c r="AF1021" s="33" t="s">
        <v>61</v>
      </c>
      <c r="AG1021" s="33" t="s">
        <v>55</v>
      </c>
      <c r="AH1021" s="33" t="s">
        <v>56</v>
      </c>
      <c r="AI1021" s="33" t="s">
        <v>57</v>
      </c>
      <c r="AJ1021" s="33" t="s">
        <v>58</v>
      </c>
      <c r="AK1021" s="33" t="s">
        <v>56</v>
      </c>
      <c r="AL1021" s="27"/>
      <c r="AM1021" s="34" t="s">
        <v>57</v>
      </c>
      <c r="AN1021" s="35" t="str">
        <f t="shared" si="78"/>
        <v>✓ OK</v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3366</v>
      </c>
      <c r="C1022" s="41" t="s">
        <v>3367</v>
      </c>
      <c r="D1022" s="39" t="s">
        <v>2301</v>
      </c>
      <c r="E1022" s="42">
        <v>46129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42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70">
        <v>46248</v>
      </c>
      <c r="X1022" s="30" t="s">
        <v>55</v>
      </c>
      <c r="Y1022" s="30" t="s">
        <v>56</v>
      </c>
      <c r="Z1022" s="30" t="s">
        <v>57</v>
      </c>
      <c r="AA1022" s="30" t="s">
        <v>58</v>
      </c>
      <c r="AB1022" s="30" t="s">
        <v>56</v>
      </c>
      <c r="AC1022" s="27"/>
      <c r="AD1022" s="31" t="s">
        <v>57</v>
      </c>
      <c r="AE1022" s="32" t="str">
        <f t="shared" si="77"/>
        <v>✓ OK</v>
      </c>
      <c r="AF1022" s="33" t="s">
        <v>61</v>
      </c>
      <c r="AG1022" s="33" t="s">
        <v>55</v>
      </c>
      <c r="AH1022" s="33" t="s">
        <v>56</v>
      </c>
      <c r="AI1022" s="33" t="s">
        <v>57</v>
      </c>
      <c r="AJ1022" s="33" t="s">
        <v>58</v>
      </c>
      <c r="AK1022" s="33" t="s">
        <v>56</v>
      </c>
      <c r="AL1022" s="27"/>
      <c r="AM1022" s="34" t="s">
        <v>57</v>
      </c>
      <c r="AN1022" s="35" t="str">
        <f t="shared" si="78"/>
        <v>✓ OK</v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3368</v>
      </c>
      <c r="C1023" s="25" t="s">
        <v>3369</v>
      </c>
      <c r="D1023" s="23" t="s">
        <v>2301</v>
      </c>
      <c r="E1023" s="42">
        <v>46129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42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70">
        <v>46248</v>
      </c>
      <c r="X1023" s="30" t="s">
        <v>55</v>
      </c>
      <c r="Y1023" s="30" t="s">
        <v>56</v>
      </c>
      <c r="Z1023" s="30" t="s">
        <v>57</v>
      </c>
      <c r="AA1023" s="30" t="s">
        <v>58</v>
      </c>
      <c r="AB1023" s="30" t="s">
        <v>56</v>
      </c>
      <c r="AC1023" s="27"/>
      <c r="AD1023" s="31" t="s">
        <v>57</v>
      </c>
      <c r="AE1023" s="32" t="str">
        <f t="shared" si="77"/>
        <v>✓ OK</v>
      </c>
      <c r="AF1023" s="33" t="s">
        <v>61</v>
      </c>
      <c r="AG1023" s="33" t="s">
        <v>55</v>
      </c>
      <c r="AH1023" s="33" t="s">
        <v>56</v>
      </c>
      <c r="AI1023" s="33" t="s">
        <v>57</v>
      </c>
      <c r="AJ1023" s="33" t="s">
        <v>58</v>
      </c>
      <c r="AK1023" s="33" t="s">
        <v>56</v>
      </c>
      <c r="AL1023" s="27"/>
      <c r="AM1023" s="34" t="s">
        <v>57</v>
      </c>
      <c r="AN1023" s="35" t="str">
        <f t="shared" si="78"/>
        <v>✓ OK</v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3370</v>
      </c>
      <c r="C1024" s="41" t="s">
        <v>3371</v>
      </c>
      <c r="D1024" s="39" t="s">
        <v>2301</v>
      </c>
      <c r="E1024" s="42">
        <v>46129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42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70">
        <v>46248</v>
      </c>
      <c r="X1024" s="30" t="s">
        <v>55</v>
      </c>
      <c r="Y1024" s="30" t="s">
        <v>56</v>
      </c>
      <c r="Z1024" s="30" t="s">
        <v>57</v>
      </c>
      <c r="AA1024" s="30" t="s">
        <v>58</v>
      </c>
      <c r="AB1024" s="30" t="s">
        <v>56</v>
      </c>
      <c r="AC1024" s="27"/>
      <c r="AD1024" s="31" t="s">
        <v>57</v>
      </c>
      <c r="AE1024" s="32" t="str">
        <f t="shared" si="77"/>
        <v>✓ OK</v>
      </c>
      <c r="AF1024" s="33" t="s">
        <v>61</v>
      </c>
      <c r="AG1024" s="33" t="s">
        <v>55</v>
      </c>
      <c r="AH1024" s="33" t="s">
        <v>56</v>
      </c>
      <c r="AI1024" s="33" t="s">
        <v>57</v>
      </c>
      <c r="AJ1024" s="33" t="s">
        <v>58</v>
      </c>
      <c r="AK1024" s="33" t="s">
        <v>56</v>
      </c>
      <c r="AL1024" s="27"/>
      <c r="AM1024" s="34" t="s">
        <v>57</v>
      </c>
      <c r="AN1024" s="35" t="str">
        <f t="shared" si="78"/>
        <v>✓ OK</v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3372</v>
      </c>
      <c r="C1025" s="25" t="s">
        <v>3373</v>
      </c>
      <c r="D1025" s="23" t="s">
        <v>2301</v>
      </c>
      <c r="E1025" s="42">
        <v>46129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42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70">
        <v>46248</v>
      </c>
      <c r="X1025" s="30" t="s">
        <v>55</v>
      </c>
      <c r="Y1025" s="30" t="s">
        <v>56</v>
      </c>
      <c r="Z1025" s="30" t="s">
        <v>57</v>
      </c>
      <c r="AA1025" s="30" t="s">
        <v>58</v>
      </c>
      <c r="AB1025" s="30" t="s">
        <v>56</v>
      </c>
      <c r="AC1025" s="27"/>
      <c r="AD1025" s="31" t="s">
        <v>57</v>
      </c>
      <c r="AE1025" s="32" t="str">
        <f t="shared" si="77"/>
        <v>✓ OK</v>
      </c>
      <c r="AF1025" s="33" t="s">
        <v>61</v>
      </c>
      <c r="AG1025" s="33" t="s">
        <v>55</v>
      </c>
      <c r="AH1025" s="33" t="s">
        <v>56</v>
      </c>
      <c r="AI1025" s="33" t="s">
        <v>57</v>
      </c>
      <c r="AJ1025" s="33" t="s">
        <v>58</v>
      </c>
      <c r="AK1025" s="33" t="s">
        <v>56</v>
      </c>
      <c r="AL1025" s="27"/>
      <c r="AM1025" s="34" t="s">
        <v>57</v>
      </c>
      <c r="AN1025" s="35" t="str">
        <f t="shared" si="78"/>
        <v>✓ OK</v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3374</v>
      </c>
      <c r="C1026" s="41" t="s">
        <v>3375</v>
      </c>
      <c r="D1026" s="39" t="s">
        <v>2301</v>
      </c>
      <c r="E1026" s="42">
        <v>46129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42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70">
        <v>46248</v>
      </c>
      <c r="X1026" s="30" t="s">
        <v>55</v>
      </c>
      <c r="Y1026" s="30" t="s">
        <v>56</v>
      </c>
      <c r="Z1026" s="30" t="s">
        <v>57</v>
      </c>
      <c r="AA1026" s="30" t="s">
        <v>58</v>
      </c>
      <c r="AB1026" s="30" t="s">
        <v>56</v>
      </c>
      <c r="AC1026" s="27"/>
      <c r="AD1026" s="31" t="s">
        <v>57</v>
      </c>
      <c r="AE1026" s="32" t="str">
        <f t="shared" si="77"/>
        <v>✓ OK</v>
      </c>
      <c r="AF1026" s="33" t="s">
        <v>61</v>
      </c>
      <c r="AG1026" s="33" t="s">
        <v>55</v>
      </c>
      <c r="AH1026" s="33" t="s">
        <v>56</v>
      </c>
      <c r="AI1026" s="33" t="s">
        <v>57</v>
      </c>
      <c r="AJ1026" s="33" t="s">
        <v>58</v>
      </c>
      <c r="AK1026" s="33" t="s">
        <v>56</v>
      </c>
      <c r="AL1026" s="27"/>
      <c r="AM1026" s="34" t="s">
        <v>57</v>
      </c>
      <c r="AN1026" s="35" t="str">
        <f t="shared" si="78"/>
        <v>✓ OK</v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3376</v>
      </c>
      <c r="C1027" s="25" t="s">
        <v>3377</v>
      </c>
      <c r="D1027" s="23" t="s">
        <v>2301</v>
      </c>
      <c r="E1027" s="42">
        <v>46129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42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70">
        <v>46248</v>
      </c>
      <c r="X1027" s="30" t="s">
        <v>55</v>
      </c>
      <c r="Y1027" s="30" t="s">
        <v>56</v>
      </c>
      <c r="Z1027" s="30" t="s">
        <v>57</v>
      </c>
      <c r="AA1027" s="30" t="s">
        <v>58</v>
      </c>
      <c r="AB1027" s="30" t="s">
        <v>56</v>
      </c>
      <c r="AC1027" s="27"/>
      <c r="AD1027" s="31" t="s">
        <v>57</v>
      </c>
      <c r="AE1027" s="32" t="str">
        <f t="shared" si="77"/>
        <v>✓ OK</v>
      </c>
      <c r="AF1027" s="33" t="s">
        <v>61</v>
      </c>
      <c r="AG1027" s="33" t="s">
        <v>55</v>
      </c>
      <c r="AH1027" s="33" t="s">
        <v>56</v>
      </c>
      <c r="AI1027" s="33" t="s">
        <v>57</v>
      </c>
      <c r="AJ1027" s="33" t="s">
        <v>58</v>
      </c>
      <c r="AK1027" s="33" t="s">
        <v>56</v>
      </c>
      <c r="AL1027" s="27"/>
      <c r="AM1027" s="34" t="s">
        <v>57</v>
      </c>
      <c r="AN1027" s="35" t="str">
        <f t="shared" si="78"/>
        <v>✓ OK</v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3378</v>
      </c>
      <c r="C1028" s="41" t="s">
        <v>3379</v>
      </c>
      <c r="D1028" s="39" t="s">
        <v>2301</v>
      </c>
      <c r="E1028" s="42">
        <v>46129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42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70">
        <v>46248</v>
      </c>
      <c r="X1028" s="30" t="s">
        <v>55</v>
      </c>
      <c r="Y1028" s="30" t="s">
        <v>56</v>
      </c>
      <c r="Z1028" s="30" t="s">
        <v>57</v>
      </c>
      <c r="AA1028" s="30" t="s">
        <v>58</v>
      </c>
      <c r="AB1028" s="30" t="s">
        <v>56</v>
      </c>
      <c r="AC1028" s="27"/>
      <c r="AD1028" s="31" t="s">
        <v>57</v>
      </c>
      <c r="AE1028" s="32" t="str">
        <f t="shared" si="77"/>
        <v>✓ OK</v>
      </c>
      <c r="AF1028" s="33" t="s">
        <v>61</v>
      </c>
      <c r="AG1028" s="33" t="s">
        <v>55</v>
      </c>
      <c r="AH1028" s="33" t="s">
        <v>56</v>
      </c>
      <c r="AI1028" s="33" t="s">
        <v>57</v>
      </c>
      <c r="AJ1028" s="33" t="s">
        <v>58</v>
      </c>
      <c r="AK1028" s="33" t="s">
        <v>56</v>
      </c>
      <c r="AL1028" s="27"/>
      <c r="AM1028" s="34" t="s">
        <v>57</v>
      </c>
      <c r="AN1028" s="35" t="str">
        <f t="shared" si="78"/>
        <v>✓ OK</v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3380</v>
      </c>
      <c r="C1029" s="25" t="s">
        <v>3381</v>
      </c>
      <c r="D1029" s="23" t="s">
        <v>2301</v>
      </c>
      <c r="E1029" s="42">
        <v>46129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42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70">
        <v>46248</v>
      </c>
      <c r="X1029" s="30" t="s">
        <v>55</v>
      </c>
      <c r="Y1029" s="30" t="s">
        <v>56</v>
      </c>
      <c r="Z1029" s="30" t="s">
        <v>57</v>
      </c>
      <c r="AA1029" s="30" t="s">
        <v>58</v>
      </c>
      <c r="AB1029" s="30" t="s">
        <v>56</v>
      </c>
      <c r="AC1029" s="27"/>
      <c r="AD1029" s="31" t="s">
        <v>57</v>
      </c>
      <c r="AE1029" s="32" t="str">
        <f t="shared" ref="AE1029:AE1092" si="82">IF(W1029="","",IF(Z1029="Yes","❌ Disc",IF(Y1029="No","⚠ Missing",IF(AB1029="Yes","✓ OK","⚠ Check"))))</f>
        <v>✓ OK</v>
      </c>
      <c r="AF1029" s="33" t="s">
        <v>61</v>
      </c>
      <c r="AG1029" s="33" t="s">
        <v>55</v>
      </c>
      <c r="AH1029" s="33" t="s">
        <v>56</v>
      </c>
      <c r="AI1029" s="33" t="s">
        <v>57</v>
      </c>
      <c r="AJ1029" s="33" t="s">
        <v>58</v>
      </c>
      <c r="AK1029" s="33" t="s">
        <v>56</v>
      </c>
      <c r="AL1029" s="27"/>
      <c r="AM1029" s="34" t="s">
        <v>57</v>
      </c>
      <c r="AN1029" s="35" t="str">
        <f t="shared" ref="AN1029:AN1092" si="83">IF(AF1029="","",IF(AI1029="Yes","❌ Disc",IF(AH1029="No","⚠ Missing",IF(AK1029="Yes","✓ OK","⚠ Check"))))</f>
        <v>✓ OK</v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3382</v>
      </c>
      <c r="C1030" s="41" t="s">
        <v>3383</v>
      </c>
      <c r="D1030" s="39" t="s">
        <v>2301</v>
      </c>
      <c r="E1030" s="42">
        <v>46129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42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70">
        <v>46248</v>
      </c>
      <c r="X1030" s="30" t="s">
        <v>55</v>
      </c>
      <c r="Y1030" s="30" t="s">
        <v>56</v>
      </c>
      <c r="Z1030" s="30" t="s">
        <v>57</v>
      </c>
      <c r="AA1030" s="30" t="s">
        <v>58</v>
      </c>
      <c r="AB1030" s="30" t="s">
        <v>56</v>
      </c>
      <c r="AC1030" s="27"/>
      <c r="AD1030" s="31" t="s">
        <v>57</v>
      </c>
      <c r="AE1030" s="32" t="str">
        <f t="shared" si="82"/>
        <v>✓ OK</v>
      </c>
      <c r="AF1030" s="33" t="s">
        <v>61</v>
      </c>
      <c r="AG1030" s="33" t="s">
        <v>55</v>
      </c>
      <c r="AH1030" s="33" t="s">
        <v>56</v>
      </c>
      <c r="AI1030" s="33" t="s">
        <v>57</v>
      </c>
      <c r="AJ1030" s="33" t="s">
        <v>58</v>
      </c>
      <c r="AK1030" s="33" t="s">
        <v>56</v>
      </c>
      <c r="AL1030" s="27"/>
      <c r="AM1030" s="34" t="s">
        <v>57</v>
      </c>
      <c r="AN1030" s="35" t="str">
        <f t="shared" si="83"/>
        <v>✓ OK</v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3384</v>
      </c>
      <c r="C1031" s="25" t="s">
        <v>3385</v>
      </c>
      <c r="D1031" s="23" t="s">
        <v>2301</v>
      </c>
      <c r="E1031" s="42">
        <v>46129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42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70">
        <v>46248</v>
      </c>
      <c r="X1031" s="30" t="s">
        <v>55</v>
      </c>
      <c r="Y1031" s="30" t="s">
        <v>56</v>
      </c>
      <c r="Z1031" s="30" t="s">
        <v>57</v>
      </c>
      <c r="AA1031" s="30" t="s">
        <v>58</v>
      </c>
      <c r="AB1031" s="30" t="s">
        <v>56</v>
      </c>
      <c r="AC1031" s="27"/>
      <c r="AD1031" s="31" t="s">
        <v>57</v>
      </c>
      <c r="AE1031" s="32" t="str">
        <f t="shared" si="82"/>
        <v>✓ OK</v>
      </c>
      <c r="AF1031" s="33" t="s">
        <v>61</v>
      </c>
      <c r="AG1031" s="33" t="s">
        <v>55</v>
      </c>
      <c r="AH1031" s="33" t="s">
        <v>56</v>
      </c>
      <c r="AI1031" s="33" t="s">
        <v>57</v>
      </c>
      <c r="AJ1031" s="33" t="s">
        <v>58</v>
      </c>
      <c r="AK1031" s="33" t="s">
        <v>56</v>
      </c>
      <c r="AL1031" s="27"/>
      <c r="AM1031" s="34" t="s">
        <v>57</v>
      </c>
      <c r="AN1031" s="35" t="str">
        <f t="shared" si="83"/>
        <v>✓ OK</v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3386</v>
      </c>
      <c r="C1032" s="41" t="s">
        <v>3387</v>
      </c>
      <c r="D1032" s="39" t="s">
        <v>2301</v>
      </c>
      <c r="E1032" s="42">
        <v>46129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42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70">
        <v>46248</v>
      </c>
      <c r="X1032" s="30" t="s">
        <v>55</v>
      </c>
      <c r="Y1032" s="30" t="s">
        <v>56</v>
      </c>
      <c r="Z1032" s="30" t="s">
        <v>57</v>
      </c>
      <c r="AA1032" s="30" t="s">
        <v>58</v>
      </c>
      <c r="AB1032" s="30" t="s">
        <v>56</v>
      </c>
      <c r="AC1032" s="27"/>
      <c r="AD1032" s="31" t="s">
        <v>57</v>
      </c>
      <c r="AE1032" s="32" t="str">
        <f t="shared" si="82"/>
        <v>✓ OK</v>
      </c>
      <c r="AF1032" s="33" t="s">
        <v>61</v>
      </c>
      <c r="AG1032" s="33" t="s">
        <v>55</v>
      </c>
      <c r="AH1032" s="33" t="s">
        <v>56</v>
      </c>
      <c r="AI1032" s="33" t="s">
        <v>57</v>
      </c>
      <c r="AJ1032" s="33" t="s">
        <v>58</v>
      </c>
      <c r="AK1032" s="33" t="s">
        <v>56</v>
      </c>
      <c r="AL1032" s="27"/>
      <c r="AM1032" s="34" t="s">
        <v>57</v>
      </c>
      <c r="AN1032" s="35" t="str">
        <f t="shared" si="83"/>
        <v>✓ OK</v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3388</v>
      </c>
      <c r="C1033" s="25" t="s">
        <v>3389</v>
      </c>
      <c r="D1033" s="23" t="s">
        <v>2301</v>
      </c>
      <c r="E1033" s="42">
        <v>46129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42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70">
        <v>46248</v>
      </c>
      <c r="X1033" s="30" t="s">
        <v>55</v>
      </c>
      <c r="Y1033" s="30" t="s">
        <v>56</v>
      </c>
      <c r="Z1033" s="30" t="s">
        <v>57</v>
      </c>
      <c r="AA1033" s="30" t="s">
        <v>58</v>
      </c>
      <c r="AB1033" s="30" t="s">
        <v>56</v>
      </c>
      <c r="AC1033" s="27"/>
      <c r="AD1033" s="31" t="s">
        <v>57</v>
      </c>
      <c r="AE1033" s="32" t="str">
        <f t="shared" si="82"/>
        <v>✓ OK</v>
      </c>
      <c r="AF1033" s="33" t="s">
        <v>61</v>
      </c>
      <c r="AG1033" s="33" t="s">
        <v>55</v>
      </c>
      <c r="AH1033" s="33" t="s">
        <v>56</v>
      </c>
      <c r="AI1033" s="33" t="s">
        <v>57</v>
      </c>
      <c r="AJ1033" s="33" t="s">
        <v>58</v>
      </c>
      <c r="AK1033" s="33" t="s">
        <v>56</v>
      </c>
      <c r="AL1033" s="27"/>
      <c r="AM1033" s="34" t="s">
        <v>57</v>
      </c>
      <c r="AN1033" s="35" t="str">
        <f t="shared" si="83"/>
        <v>✓ OK</v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3390</v>
      </c>
      <c r="C1034" s="41" t="s">
        <v>3391</v>
      </c>
      <c r="D1034" s="39" t="s">
        <v>2301</v>
      </c>
      <c r="E1034" s="42">
        <v>46129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42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70">
        <v>46248</v>
      </c>
      <c r="X1034" s="30" t="s">
        <v>55</v>
      </c>
      <c r="Y1034" s="30" t="s">
        <v>56</v>
      </c>
      <c r="Z1034" s="30" t="s">
        <v>57</v>
      </c>
      <c r="AA1034" s="30" t="s">
        <v>58</v>
      </c>
      <c r="AB1034" s="30" t="s">
        <v>56</v>
      </c>
      <c r="AC1034" s="27"/>
      <c r="AD1034" s="31" t="s">
        <v>57</v>
      </c>
      <c r="AE1034" s="32" t="str">
        <f t="shared" si="82"/>
        <v>✓ OK</v>
      </c>
      <c r="AF1034" s="33" t="s">
        <v>61</v>
      </c>
      <c r="AG1034" s="33" t="s">
        <v>55</v>
      </c>
      <c r="AH1034" s="33" t="s">
        <v>56</v>
      </c>
      <c r="AI1034" s="33" t="s">
        <v>57</v>
      </c>
      <c r="AJ1034" s="33" t="s">
        <v>58</v>
      </c>
      <c r="AK1034" s="33" t="s">
        <v>56</v>
      </c>
      <c r="AL1034" s="27"/>
      <c r="AM1034" s="34" t="s">
        <v>57</v>
      </c>
      <c r="AN1034" s="35" t="str">
        <f t="shared" si="83"/>
        <v>✓ OK</v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3392</v>
      </c>
      <c r="C1035" s="25" t="s">
        <v>3393</v>
      </c>
      <c r="D1035" s="23" t="s">
        <v>2301</v>
      </c>
      <c r="E1035" s="42">
        <v>46129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42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70">
        <v>46248</v>
      </c>
      <c r="X1035" s="30" t="s">
        <v>55</v>
      </c>
      <c r="Y1035" s="30" t="s">
        <v>56</v>
      </c>
      <c r="Z1035" s="30" t="s">
        <v>57</v>
      </c>
      <c r="AA1035" s="30" t="s">
        <v>58</v>
      </c>
      <c r="AB1035" s="30" t="s">
        <v>56</v>
      </c>
      <c r="AC1035" s="27"/>
      <c r="AD1035" s="31" t="s">
        <v>57</v>
      </c>
      <c r="AE1035" s="32" t="str">
        <f t="shared" si="82"/>
        <v>✓ OK</v>
      </c>
      <c r="AF1035" s="33" t="s">
        <v>61</v>
      </c>
      <c r="AG1035" s="33" t="s">
        <v>55</v>
      </c>
      <c r="AH1035" s="33" t="s">
        <v>56</v>
      </c>
      <c r="AI1035" s="33" t="s">
        <v>57</v>
      </c>
      <c r="AJ1035" s="33" t="s">
        <v>58</v>
      </c>
      <c r="AK1035" s="33" t="s">
        <v>56</v>
      </c>
      <c r="AL1035" s="27"/>
      <c r="AM1035" s="34" t="s">
        <v>57</v>
      </c>
      <c r="AN1035" s="35" t="str">
        <f t="shared" si="83"/>
        <v>✓ OK</v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3394</v>
      </c>
      <c r="C1036" s="41" t="s">
        <v>3395</v>
      </c>
      <c r="D1036" s="39" t="s">
        <v>2301</v>
      </c>
      <c r="E1036" s="42">
        <v>46129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42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70">
        <v>46248</v>
      </c>
      <c r="X1036" s="30" t="s">
        <v>55</v>
      </c>
      <c r="Y1036" s="30" t="s">
        <v>56</v>
      </c>
      <c r="Z1036" s="30" t="s">
        <v>57</v>
      </c>
      <c r="AA1036" s="30" t="s">
        <v>58</v>
      </c>
      <c r="AB1036" s="30" t="s">
        <v>56</v>
      </c>
      <c r="AC1036" s="27"/>
      <c r="AD1036" s="31" t="s">
        <v>57</v>
      </c>
      <c r="AE1036" s="32" t="str">
        <f t="shared" si="82"/>
        <v>✓ OK</v>
      </c>
      <c r="AF1036" s="33" t="s">
        <v>61</v>
      </c>
      <c r="AG1036" s="33" t="s">
        <v>55</v>
      </c>
      <c r="AH1036" s="33" t="s">
        <v>56</v>
      </c>
      <c r="AI1036" s="33" t="s">
        <v>57</v>
      </c>
      <c r="AJ1036" s="33" t="s">
        <v>58</v>
      </c>
      <c r="AK1036" s="33" t="s">
        <v>56</v>
      </c>
      <c r="AL1036" s="27"/>
      <c r="AM1036" s="34" t="s">
        <v>57</v>
      </c>
      <c r="AN1036" s="35" t="str">
        <f t="shared" si="83"/>
        <v>✓ OK</v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3396</v>
      </c>
      <c r="C1037" s="25" t="s">
        <v>3397</v>
      </c>
      <c r="D1037" s="23" t="s">
        <v>2301</v>
      </c>
      <c r="E1037" s="42">
        <v>46129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42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70">
        <v>46248</v>
      </c>
      <c r="X1037" s="30" t="s">
        <v>55</v>
      </c>
      <c r="Y1037" s="30" t="s">
        <v>56</v>
      </c>
      <c r="Z1037" s="30" t="s">
        <v>57</v>
      </c>
      <c r="AA1037" s="30" t="s">
        <v>58</v>
      </c>
      <c r="AB1037" s="30" t="s">
        <v>56</v>
      </c>
      <c r="AC1037" s="27"/>
      <c r="AD1037" s="31" t="s">
        <v>57</v>
      </c>
      <c r="AE1037" s="32" t="str">
        <f t="shared" si="82"/>
        <v>✓ OK</v>
      </c>
      <c r="AF1037" s="33" t="s">
        <v>61</v>
      </c>
      <c r="AG1037" s="33" t="s">
        <v>55</v>
      </c>
      <c r="AH1037" s="33" t="s">
        <v>56</v>
      </c>
      <c r="AI1037" s="33" t="s">
        <v>57</v>
      </c>
      <c r="AJ1037" s="33" t="s">
        <v>58</v>
      </c>
      <c r="AK1037" s="33" t="s">
        <v>56</v>
      </c>
      <c r="AL1037" s="27"/>
      <c r="AM1037" s="34" t="s">
        <v>57</v>
      </c>
      <c r="AN1037" s="35" t="str">
        <f t="shared" si="83"/>
        <v>✓ OK</v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3398</v>
      </c>
      <c r="C1038" s="41" t="s">
        <v>3399</v>
      </c>
      <c r="D1038" s="39" t="s">
        <v>2301</v>
      </c>
      <c r="E1038" s="42">
        <v>46129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42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70">
        <v>46248</v>
      </c>
      <c r="X1038" s="30" t="s">
        <v>55</v>
      </c>
      <c r="Y1038" s="30" t="s">
        <v>56</v>
      </c>
      <c r="Z1038" s="30" t="s">
        <v>57</v>
      </c>
      <c r="AA1038" s="30" t="s">
        <v>58</v>
      </c>
      <c r="AB1038" s="30" t="s">
        <v>56</v>
      </c>
      <c r="AC1038" s="27"/>
      <c r="AD1038" s="31" t="s">
        <v>57</v>
      </c>
      <c r="AE1038" s="32" t="str">
        <f t="shared" si="82"/>
        <v>✓ OK</v>
      </c>
      <c r="AF1038" s="33" t="s">
        <v>61</v>
      </c>
      <c r="AG1038" s="33" t="s">
        <v>55</v>
      </c>
      <c r="AH1038" s="33" t="s">
        <v>56</v>
      </c>
      <c r="AI1038" s="33" t="s">
        <v>57</v>
      </c>
      <c r="AJ1038" s="33" t="s">
        <v>58</v>
      </c>
      <c r="AK1038" s="33" t="s">
        <v>56</v>
      </c>
      <c r="AL1038" s="27"/>
      <c r="AM1038" s="34" t="s">
        <v>57</v>
      </c>
      <c r="AN1038" s="35" t="str">
        <f t="shared" si="83"/>
        <v>✓ OK</v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3400</v>
      </c>
      <c r="C1039" s="25" t="s">
        <v>3401</v>
      </c>
      <c r="D1039" s="23" t="s">
        <v>2301</v>
      </c>
      <c r="E1039" s="42">
        <v>46129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42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70">
        <v>46248</v>
      </c>
      <c r="X1039" s="30" t="s">
        <v>55</v>
      </c>
      <c r="Y1039" s="30" t="s">
        <v>56</v>
      </c>
      <c r="Z1039" s="30" t="s">
        <v>57</v>
      </c>
      <c r="AA1039" s="30" t="s">
        <v>58</v>
      </c>
      <c r="AB1039" s="30" t="s">
        <v>56</v>
      </c>
      <c r="AC1039" s="27"/>
      <c r="AD1039" s="31" t="s">
        <v>57</v>
      </c>
      <c r="AE1039" s="32" t="str">
        <f t="shared" si="82"/>
        <v>✓ OK</v>
      </c>
      <c r="AF1039" s="33" t="s">
        <v>61</v>
      </c>
      <c r="AG1039" s="33" t="s">
        <v>55</v>
      </c>
      <c r="AH1039" s="33" t="s">
        <v>56</v>
      </c>
      <c r="AI1039" s="33" t="s">
        <v>57</v>
      </c>
      <c r="AJ1039" s="33" t="s">
        <v>58</v>
      </c>
      <c r="AK1039" s="33" t="s">
        <v>56</v>
      </c>
      <c r="AL1039" s="27"/>
      <c r="AM1039" s="34" t="s">
        <v>57</v>
      </c>
      <c r="AN1039" s="35" t="str">
        <f t="shared" si="83"/>
        <v>✓ OK</v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3402</v>
      </c>
      <c r="C1040" s="41" t="s">
        <v>3403</v>
      </c>
      <c r="D1040" s="39" t="s">
        <v>2301</v>
      </c>
      <c r="E1040" s="42">
        <v>46129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42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70">
        <v>46248</v>
      </c>
      <c r="X1040" s="30" t="s">
        <v>55</v>
      </c>
      <c r="Y1040" s="30" t="s">
        <v>56</v>
      </c>
      <c r="Z1040" s="30" t="s">
        <v>57</v>
      </c>
      <c r="AA1040" s="30" t="s">
        <v>58</v>
      </c>
      <c r="AB1040" s="30" t="s">
        <v>56</v>
      </c>
      <c r="AC1040" s="27"/>
      <c r="AD1040" s="31" t="s">
        <v>57</v>
      </c>
      <c r="AE1040" s="32" t="str">
        <f t="shared" si="82"/>
        <v>✓ OK</v>
      </c>
      <c r="AF1040" s="33" t="s">
        <v>61</v>
      </c>
      <c r="AG1040" s="33" t="s">
        <v>55</v>
      </c>
      <c r="AH1040" s="33" t="s">
        <v>56</v>
      </c>
      <c r="AI1040" s="33" t="s">
        <v>57</v>
      </c>
      <c r="AJ1040" s="33" t="s">
        <v>58</v>
      </c>
      <c r="AK1040" s="33" t="s">
        <v>56</v>
      </c>
      <c r="AL1040" s="27"/>
      <c r="AM1040" s="34" t="s">
        <v>57</v>
      </c>
      <c r="AN1040" s="35" t="str">
        <f t="shared" si="83"/>
        <v>✓ OK</v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3404</v>
      </c>
      <c r="C1041" s="25" t="s">
        <v>3405</v>
      </c>
      <c r="D1041" s="23" t="s">
        <v>2301</v>
      </c>
      <c r="E1041" s="42">
        <v>46129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42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70">
        <v>46248</v>
      </c>
      <c r="X1041" s="30" t="s">
        <v>55</v>
      </c>
      <c r="Y1041" s="30" t="s">
        <v>56</v>
      </c>
      <c r="Z1041" s="30" t="s">
        <v>57</v>
      </c>
      <c r="AA1041" s="30" t="s">
        <v>58</v>
      </c>
      <c r="AB1041" s="30" t="s">
        <v>56</v>
      </c>
      <c r="AC1041" s="27"/>
      <c r="AD1041" s="31" t="s">
        <v>57</v>
      </c>
      <c r="AE1041" s="32" t="str">
        <f t="shared" si="82"/>
        <v>✓ OK</v>
      </c>
      <c r="AF1041" s="33" t="s">
        <v>61</v>
      </c>
      <c r="AG1041" s="33" t="s">
        <v>55</v>
      </c>
      <c r="AH1041" s="33" t="s">
        <v>56</v>
      </c>
      <c r="AI1041" s="33" t="s">
        <v>57</v>
      </c>
      <c r="AJ1041" s="33" t="s">
        <v>58</v>
      </c>
      <c r="AK1041" s="33" t="s">
        <v>56</v>
      </c>
      <c r="AL1041" s="27"/>
      <c r="AM1041" s="34" t="s">
        <v>57</v>
      </c>
      <c r="AN1041" s="35" t="str">
        <f t="shared" si="83"/>
        <v>✓ OK</v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3406</v>
      </c>
      <c r="C1042" s="41" t="s">
        <v>3407</v>
      </c>
      <c r="D1042" s="39" t="s">
        <v>2301</v>
      </c>
      <c r="E1042" s="42">
        <v>46129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42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70">
        <v>46248</v>
      </c>
      <c r="X1042" s="30" t="s">
        <v>55</v>
      </c>
      <c r="Y1042" s="30" t="s">
        <v>56</v>
      </c>
      <c r="Z1042" s="30" t="s">
        <v>57</v>
      </c>
      <c r="AA1042" s="30" t="s">
        <v>58</v>
      </c>
      <c r="AB1042" s="30" t="s">
        <v>56</v>
      </c>
      <c r="AC1042" s="27"/>
      <c r="AD1042" s="31" t="s">
        <v>57</v>
      </c>
      <c r="AE1042" s="32" t="str">
        <f t="shared" si="82"/>
        <v>✓ OK</v>
      </c>
      <c r="AF1042" s="33" t="s">
        <v>61</v>
      </c>
      <c r="AG1042" s="33" t="s">
        <v>55</v>
      </c>
      <c r="AH1042" s="33" t="s">
        <v>56</v>
      </c>
      <c r="AI1042" s="33" t="s">
        <v>57</v>
      </c>
      <c r="AJ1042" s="33" t="s">
        <v>58</v>
      </c>
      <c r="AK1042" s="33" t="s">
        <v>56</v>
      </c>
      <c r="AL1042" s="27"/>
      <c r="AM1042" s="34" t="s">
        <v>57</v>
      </c>
      <c r="AN1042" s="35" t="str">
        <f t="shared" si="83"/>
        <v>✓ OK</v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3408</v>
      </c>
      <c r="C1043" s="25" t="s">
        <v>3409</v>
      </c>
      <c r="D1043" s="23" t="s">
        <v>2301</v>
      </c>
      <c r="E1043" s="42">
        <v>46129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42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70">
        <v>46248</v>
      </c>
      <c r="X1043" s="30" t="s">
        <v>55</v>
      </c>
      <c r="Y1043" s="30" t="s">
        <v>56</v>
      </c>
      <c r="Z1043" s="30" t="s">
        <v>57</v>
      </c>
      <c r="AA1043" s="30" t="s">
        <v>58</v>
      </c>
      <c r="AB1043" s="30" t="s">
        <v>56</v>
      </c>
      <c r="AC1043" s="27"/>
      <c r="AD1043" s="31" t="s">
        <v>57</v>
      </c>
      <c r="AE1043" s="32" t="str">
        <f t="shared" si="82"/>
        <v>✓ OK</v>
      </c>
      <c r="AF1043" s="33" t="s">
        <v>61</v>
      </c>
      <c r="AG1043" s="33" t="s">
        <v>55</v>
      </c>
      <c r="AH1043" s="33" t="s">
        <v>56</v>
      </c>
      <c r="AI1043" s="33" t="s">
        <v>57</v>
      </c>
      <c r="AJ1043" s="33" t="s">
        <v>58</v>
      </c>
      <c r="AK1043" s="33" t="s">
        <v>56</v>
      </c>
      <c r="AL1043" s="27"/>
      <c r="AM1043" s="34" t="s">
        <v>57</v>
      </c>
      <c r="AN1043" s="35" t="str">
        <f t="shared" si="83"/>
        <v>✓ OK</v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3410</v>
      </c>
      <c r="C1044" s="41" t="s">
        <v>3411</v>
      </c>
      <c r="D1044" s="39" t="s">
        <v>2301</v>
      </c>
      <c r="E1044" s="42">
        <v>46129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42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70">
        <v>46248</v>
      </c>
      <c r="X1044" s="30" t="s">
        <v>55</v>
      </c>
      <c r="Y1044" s="30" t="s">
        <v>56</v>
      </c>
      <c r="Z1044" s="30" t="s">
        <v>57</v>
      </c>
      <c r="AA1044" s="30" t="s">
        <v>58</v>
      </c>
      <c r="AB1044" s="30" t="s">
        <v>56</v>
      </c>
      <c r="AC1044" s="27"/>
      <c r="AD1044" s="31" t="s">
        <v>57</v>
      </c>
      <c r="AE1044" s="32" t="str">
        <f t="shared" si="82"/>
        <v>✓ OK</v>
      </c>
      <c r="AF1044" s="33" t="s">
        <v>61</v>
      </c>
      <c r="AG1044" s="33" t="s">
        <v>55</v>
      </c>
      <c r="AH1044" s="33" t="s">
        <v>56</v>
      </c>
      <c r="AI1044" s="33" t="s">
        <v>57</v>
      </c>
      <c r="AJ1044" s="33" t="s">
        <v>58</v>
      </c>
      <c r="AK1044" s="33" t="s">
        <v>56</v>
      </c>
      <c r="AL1044" s="27"/>
      <c r="AM1044" s="34" t="s">
        <v>57</v>
      </c>
      <c r="AN1044" s="35" t="str">
        <f t="shared" si="83"/>
        <v>✓ OK</v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3412</v>
      </c>
      <c r="C1045" s="25" t="s">
        <v>3413</v>
      </c>
      <c r="D1045" s="23" t="s">
        <v>2301</v>
      </c>
      <c r="E1045" s="42">
        <v>46129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42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70">
        <v>46248</v>
      </c>
      <c r="X1045" s="30" t="s">
        <v>55</v>
      </c>
      <c r="Y1045" s="30" t="s">
        <v>56</v>
      </c>
      <c r="Z1045" s="30" t="s">
        <v>57</v>
      </c>
      <c r="AA1045" s="30" t="s">
        <v>58</v>
      </c>
      <c r="AB1045" s="30" t="s">
        <v>56</v>
      </c>
      <c r="AC1045" s="27"/>
      <c r="AD1045" s="31" t="s">
        <v>57</v>
      </c>
      <c r="AE1045" s="32" t="str">
        <f t="shared" si="82"/>
        <v>✓ OK</v>
      </c>
      <c r="AF1045" s="33" t="s">
        <v>61</v>
      </c>
      <c r="AG1045" s="33" t="s">
        <v>55</v>
      </c>
      <c r="AH1045" s="33" t="s">
        <v>56</v>
      </c>
      <c r="AI1045" s="33" t="s">
        <v>57</v>
      </c>
      <c r="AJ1045" s="33" t="s">
        <v>58</v>
      </c>
      <c r="AK1045" s="33" t="s">
        <v>56</v>
      </c>
      <c r="AL1045" s="27"/>
      <c r="AM1045" s="34" t="s">
        <v>57</v>
      </c>
      <c r="AN1045" s="35" t="str">
        <f t="shared" si="83"/>
        <v>✓ OK</v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3414</v>
      </c>
      <c r="C1046" s="41" t="s">
        <v>3415</v>
      </c>
      <c r="D1046" s="39" t="s">
        <v>2301</v>
      </c>
      <c r="E1046" s="42">
        <v>46129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42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70">
        <v>46248</v>
      </c>
      <c r="X1046" s="30" t="s">
        <v>55</v>
      </c>
      <c r="Y1046" s="30" t="s">
        <v>56</v>
      </c>
      <c r="Z1046" s="30" t="s">
        <v>57</v>
      </c>
      <c r="AA1046" s="30" t="s">
        <v>58</v>
      </c>
      <c r="AB1046" s="30" t="s">
        <v>56</v>
      </c>
      <c r="AC1046" s="27"/>
      <c r="AD1046" s="31" t="s">
        <v>57</v>
      </c>
      <c r="AE1046" s="32" t="str">
        <f t="shared" si="82"/>
        <v>✓ OK</v>
      </c>
      <c r="AF1046" s="33" t="s">
        <v>61</v>
      </c>
      <c r="AG1046" s="33" t="s">
        <v>55</v>
      </c>
      <c r="AH1046" s="33" t="s">
        <v>56</v>
      </c>
      <c r="AI1046" s="33" t="s">
        <v>57</v>
      </c>
      <c r="AJ1046" s="33" t="s">
        <v>58</v>
      </c>
      <c r="AK1046" s="33" t="s">
        <v>56</v>
      </c>
      <c r="AL1046" s="27"/>
      <c r="AM1046" s="34" t="s">
        <v>57</v>
      </c>
      <c r="AN1046" s="35" t="str">
        <f t="shared" si="83"/>
        <v>✓ OK</v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3416</v>
      </c>
      <c r="C1047" s="25" t="s">
        <v>3417</v>
      </c>
      <c r="D1047" s="23" t="s">
        <v>2301</v>
      </c>
      <c r="E1047" s="42">
        <v>46129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42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70">
        <v>46248</v>
      </c>
      <c r="X1047" s="30" t="s">
        <v>55</v>
      </c>
      <c r="Y1047" s="30" t="s">
        <v>56</v>
      </c>
      <c r="Z1047" s="30" t="s">
        <v>57</v>
      </c>
      <c r="AA1047" s="30" t="s">
        <v>58</v>
      </c>
      <c r="AB1047" s="30" t="s">
        <v>56</v>
      </c>
      <c r="AC1047" s="27"/>
      <c r="AD1047" s="31" t="s">
        <v>57</v>
      </c>
      <c r="AE1047" s="32" t="str">
        <f t="shared" si="82"/>
        <v>✓ OK</v>
      </c>
      <c r="AF1047" s="33" t="s">
        <v>61</v>
      </c>
      <c r="AG1047" s="33" t="s">
        <v>55</v>
      </c>
      <c r="AH1047" s="33" t="s">
        <v>56</v>
      </c>
      <c r="AI1047" s="33" t="s">
        <v>57</v>
      </c>
      <c r="AJ1047" s="33" t="s">
        <v>58</v>
      </c>
      <c r="AK1047" s="33" t="s">
        <v>56</v>
      </c>
      <c r="AL1047" s="27"/>
      <c r="AM1047" s="34" t="s">
        <v>57</v>
      </c>
      <c r="AN1047" s="35" t="str">
        <f t="shared" si="83"/>
        <v>✓ OK</v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3418</v>
      </c>
      <c r="C1048" s="41" t="s">
        <v>3419</v>
      </c>
      <c r="D1048" s="39" t="s">
        <v>2301</v>
      </c>
      <c r="E1048" s="42">
        <v>46129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42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70">
        <v>46248</v>
      </c>
      <c r="X1048" s="30" t="s">
        <v>55</v>
      </c>
      <c r="Y1048" s="30" t="s">
        <v>56</v>
      </c>
      <c r="Z1048" s="30" t="s">
        <v>57</v>
      </c>
      <c r="AA1048" s="30" t="s">
        <v>58</v>
      </c>
      <c r="AB1048" s="30" t="s">
        <v>56</v>
      </c>
      <c r="AC1048" s="27"/>
      <c r="AD1048" s="31" t="s">
        <v>57</v>
      </c>
      <c r="AE1048" s="32" t="str">
        <f t="shared" si="82"/>
        <v>✓ OK</v>
      </c>
      <c r="AF1048" s="33" t="s">
        <v>61</v>
      </c>
      <c r="AG1048" s="33" t="s">
        <v>55</v>
      </c>
      <c r="AH1048" s="33" t="s">
        <v>56</v>
      </c>
      <c r="AI1048" s="33" t="s">
        <v>57</v>
      </c>
      <c r="AJ1048" s="33" t="s">
        <v>58</v>
      </c>
      <c r="AK1048" s="33" t="s">
        <v>56</v>
      </c>
      <c r="AL1048" s="27"/>
      <c r="AM1048" s="34" t="s">
        <v>57</v>
      </c>
      <c r="AN1048" s="35" t="str">
        <f t="shared" si="83"/>
        <v>✓ OK</v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3420</v>
      </c>
      <c r="C1049" s="25" t="s">
        <v>3421</v>
      </c>
      <c r="D1049" s="23" t="s">
        <v>2301</v>
      </c>
      <c r="E1049" s="42">
        <v>46129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42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70">
        <v>46248</v>
      </c>
      <c r="X1049" s="30" t="s">
        <v>55</v>
      </c>
      <c r="Y1049" s="30" t="s">
        <v>56</v>
      </c>
      <c r="Z1049" s="30" t="s">
        <v>57</v>
      </c>
      <c r="AA1049" s="30" t="s">
        <v>58</v>
      </c>
      <c r="AB1049" s="30" t="s">
        <v>56</v>
      </c>
      <c r="AC1049" s="27"/>
      <c r="AD1049" s="31" t="s">
        <v>57</v>
      </c>
      <c r="AE1049" s="32" t="str">
        <f t="shared" si="82"/>
        <v>✓ OK</v>
      </c>
      <c r="AF1049" s="33" t="s">
        <v>61</v>
      </c>
      <c r="AG1049" s="33" t="s">
        <v>55</v>
      </c>
      <c r="AH1049" s="33" t="s">
        <v>56</v>
      </c>
      <c r="AI1049" s="33" t="s">
        <v>57</v>
      </c>
      <c r="AJ1049" s="33" t="s">
        <v>58</v>
      </c>
      <c r="AK1049" s="33" t="s">
        <v>56</v>
      </c>
      <c r="AL1049" s="27"/>
      <c r="AM1049" s="34" t="s">
        <v>57</v>
      </c>
      <c r="AN1049" s="35" t="str">
        <f t="shared" si="83"/>
        <v>✓ OK</v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3422</v>
      </c>
      <c r="C1050" s="41" t="s">
        <v>3423</v>
      </c>
      <c r="D1050" s="39" t="s">
        <v>2301</v>
      </c>
      <c r="E1050" s="42">
        <v>46129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42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70">
        <v>46248</v>
      </c>
      <c r="X1050" s="30" t="s">
        <v>55</v>
      </c>
      <c r="Y1050" s="30" t="s">
        <v>56</v>
      </c>
      <c r="Z1050" s="30" t="s">
        <v>57</v>
      </c>
      <c r="AA1050" s="30" t="s">
        <v>58</v>
      </c>
      <c r="AB1050" s="30" t="s">
        <v>56</v>
      </c>
      <c r="AC1050" s="27"/>
      <c r="AD1050" s="31" t="s">
        <v>57</v>
      </c>
      <c r="AE1050" s="32" t="str">
        <f t="shared" si="82"/>
        <v>✓ OK</v>
      </c>
      <c r="AF1050" s="33" t="s">
        <v>61</v>
      </c>
      <c r="AG1050" s="33" t="s">
        <v>55</v>
      </c>
      <c r="AH1050" s="33" t="s">
        <v>56</v>
      </c>
      <c r="AI1050" s="33" t="s">
        <v>57</v>
      </c>
      <c r="AJ1050" s="33" t="s">
        <v>58</v>
      </c>
      <c r="AK1050" s="33" t="s">
        <v>56</v>
      </c>
      <c r="AL1050" s="27"/>
      <c r="AM1050" s="34" t="s">
        <v>57</v>
      </c>
      <c r="AN1050" s="35" t="str">
        <f t="shared" si="83"/>
        <v>✓ OK</v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3424</v>
      </c>
      <c r="C1051" s="25" t="s">
        <v>3425</v>
      </c>
      <c r="D1051" s="23" t="s">
        <v>2301</v>
      </c>
      <c r="E1051" s="42">
        <v>46129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42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70">
        <v>46248</v>
      </c>
      <c r="X1051" s="30" t="s">
        <v>55</v>
      </c>
      <c r="Y1051" s="30" t="s">
        <v>56</v>
      </c>
      <c r="Z1051" s="30" t="s">
        <v>57</v>
      </c>
      <c r="AA1051" s="30" t="s">
        <v>58</v>
      </c>
      <c r="AB1051" s="30" t="s">
        <v>56</v>
      </c>
      <c r="AC1051" s="27"/>
      <c r="AD1051" s="31" t="s">
        <v>57</v>
      </c>
      <c r="AE1051" s="32" t="str">
        <f t="shared" si="82"/>
        <v>✓ OK</v>
      </c>
      <c r="AF1051" s="33" t="s">
        <v>61</v>
      </c>
      <c r="AG1051" s="33" t="s">
        <v>55</v>
      </c>
      <c r="AH1051" s="33" t="s">
        <v>56</v>
      </c>
      <c r="AI1051" s="33" t="s">
        <v>57</v>
      </c>
      <c r="AJ1051" s="33" t="s">
        <v>58</v>
      </c>
      <c r="AK1051" s="33" t="s">
        <v>56</v>
      </c>
      <c r="AL1051" s="27"/>
      <c r="AM1051" s="34" t="s">
        <v>57</v>
      </c>
      <c r="AN1051" s="35" t="str">
        <f t="shared" si="83"/>
        <v>✓ OK</v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3426</v>
      </c>
      <c r="C1052" s="41" t="s">
        <v>3427</v>
      </c>
      <c r="D1052" s="39" t="s">
        <v>2301</v>
      </c>
      <c r="E1052" s="42">
        <v>46129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42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70">
        <v>46248</v>
      </c>
      <c r="X1052" s="30" t="s">
        <v>55</v>
      </c>
      <c r="Y1052" s="30" t="s">
        <v>56</v>
      </c>
      <c r="Z1052" s="30" t="s">
        <v>57</v>
      </c>
      <c r="AA1052" s="30" t="s">
        <v>58</v>
      </c>
      <c r="AB1052" s="30" t="s">
        <v>56</v>
      </c>
      <c r="AC1052" s="27"/>
      <c r="AD1052" s="31" t="s">
        <v>57</v>
      </c>
      <c r="AE1052" s="32" t="str">
        <f t="shared" si="82"/>
        <v>✓ OK</v>
      </c>
      <c r="AF1052" s="33" t="s">
        <v>61</v>
      </c>
      <c r="AG1052" s="33" t="s">
        <v>55</v>
      </c>
      <c r="AH1052" s="33" t="s">
        <v>56</v>
      </c>
      <c r="AI1052" s="33" t="s">
        <v>57</v>
      </c>
      <c r="AJ1052" s="33" t="s">
        <v>58</v>
      </c>
      <c r="AK1052" s="33" t="s">
        <v>56</v>
      </c>
      <c r="AL1052" s="27"/>
      <c r="AM1052" s="34" t="s">
        <v>57</v>
      </c>
      <c r="AN1052" s="35" t="str">
        <f t="shared" si="83"/>
        <v>✓ OK</v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3428</v>
      </c>
      <c r="C1053" s="25" t="s">
        <v>3429</v>
      </c>
      <c r="D1053" s="23" t="s">
        <v>2301</v>
      </c>
      <c r="E1053" s="42">
        <v>46129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42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70">
        <v>46248</v>
      </c>
      <c r="X1053" s="30" t="s">
        <v>55</v>
      </c>
      <c r="Y1053" s="30" t="s">
        <v>56</v>
      </c>
      <c r="Z1053" s="30" t="s">
        <v>57</v>
      </c>
      <c r="AA1053" s="30" t="s">
        <v>58</v>
      </c>
      <c r="AB1053" s="30" t="s">
        <v>56</v>
      </c>
      <c r="AC1053" s="27"/>
      <c r="AD1053" s="31" t="s">
        <v>57</v>
      </c>
      <c r="AE1053" s="32" t="str">
        <f t="shared" si="82"/>
        <v>✓ OK</v>
      </c>
      <c r="AF1053" s="33" t="s">
        <v>61</v>
      </c>
      <c r="AG1053" s="33" t="s">
        <v>55</v>
      </c>
      <c r="AH1053" s="33" t="s">
        <v>56</v>
      </c>
      <c r="AI1053" s="33" t="s">
        <v>57</v>
      </c>
      <c r="AJ1053" s="33" t="s">
        <v>58</v>
      </c>
      <c r="AK1053" s="33" t="s">
        <v>56</v>
      </c>
      <c r="AL1053" s="27"/>
      <c r="AM1053" s="34" t="s">
        <v>57</v>
      </c>
      <c r="AN1053" s="35" t="str">
        <f t="shared" si="83"/>
        <v>✓ OK</v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3430</v>
      </c>
      <c r="C1054" s="41" t="s">
        <v>3431</v>
      </c>
      <c r="D1054" s="39" t="s">
        <v>2301</v>
      </c>
      <c r="E1054" s="42">
        <v>46129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42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70">
        <v>46248</v>
      </c>
      <c r="X1054" s="30" t="s">
        <v>55</v>
      </c>
      <c r="Y1054" s="30" t="s">
        <v>56</v>
      </c>
      <c r="Z1054" s="30" t="s">
        <v>57</v>
      </c>
      <c r="AA1054" s="30" t="s">
        <v>58</v>
      </c>
      <c r="AB1054" s="30" t="s">
        <v>56</v>
      </c>
      <c r="AC1054" s="27"/>
      <c r="AD1054" s="31" t="s">
        <v>57</v>
      </c>
      <c r="AE1054" s="32" t="str">
        <f t="shared" si="82"/>
        <v>✓ OK</v>
      </c>
      <c r="AF1054" s="33" t="s">
        <v>61</v>
      </c>
      <c r="AG1054" s="33" t="s">
        <v>55</v>
      </c>
      <c r="AH1054" s="33" t="s">
        <v>56</v>
      </c>
      <c r="AI1054" s="33" t="s">
        <v>57</v>
      </c>
      <c r="AJ1054" s="33" t="s">
        <v>58</v>
      </c>
      <c r="AK1054" s="33" t="s">
        <v>56</v>
      </c>
      <c r="AL1054" s="27"/>
      <c r="AM1054" s="34" t="s">
        <v>57</v>
      </c>
      <c r="AN1054" s="35" t="str">
        <f t="shared" si="83"/>
        <v>✓ OK</v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3432</v>
      </c>
      <c r="C1055" s="25" t="s">
        <v>3433</v>
      </c>
      <c r="D1055" s="23" t="s">
        <v>2301</v>
      </c>
      <c r="E1055" s="42">
        <v>46129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42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70">
        <v>46248</v>
      </c>
      <c r="X1055" s="30" t="s">
        <v>55</v>
      </c>
      <c r="Y1055" s="30" t="s">
        <v>56</v>
      </c>
      <c r="Z1055" s="30" t="s">
        <v>57</v>
      </c>
      <c r="AA1055" s="30" t="s">
        <v>58</v>
      </c>
      <c r="AB1055" s="30" t="s">
        <v>56</v>
      </c>
      <c r="AC1055" s="27"/>
      <c r="AD1055" s="31" t="s">
        <v>57</v>
      </c>
      <c r="AE1055" s="32" t="str">
        <f t="shared" si="82"/>
        <v>✓ OK</v>
      </c>
      <c r="AF1055" s="33" t="s">
        <v>61</v>
      </c>
      <c r="AG1055" s="33" t="s">
        <v>55</v>
      </c>
      <c r="AH1055" s="33" t="s">
        <v>56</v>
      </c>
      <c r="AI1055" s="33" t="s">
        <v>57</v>
      </c>
      <c r="AJ1055" s="33" t="s">
        <v>58</v>
      </c>
      <c r="AK1055" s="33" t="s">
        <v>56</v>
      </c>
      <c r="AL1055" s="27"/>
      <c r="AM1055" s="34" t="s">
        <v>57</v>
      </c>
      <c r="AN1055" s="35" t="str">
        <f t="shared" si="83"/>
        <v>✓ OK</v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3434</v>
      </c>
      <c r="C1056" s="41" t="s">
        <v>3435</v>
      </c>
      <c r="D1056" s="39" t="s">
        <v>2301</v>
      </c>
      <c r="E1056" s="42">
        <v>46129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42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70">
        <v>46248</v>
      </c>
      <c r="X1056" s="30" t="s">
        <v>55</v>
      </c>
      <c r="Y1056" s="30" t="s">
        <v>56</v>
      </c>
      <c r="Z1056" s="30" t="s">
        <v>57</v>
      </c>
      <c r="AA1056" s="30" t="s">
        <v>58</v>
      </c>
      <c r="AB1056" s="30" t="s">
        <v>56</v>
      </c>
      <c r="AC1056" s="27"/>
      <c r="AD1056" s="31" t="s">
        <v>57</v>
      </c>
      <c r="AE1056" s="32" t="str">
        <f t="shared" si="82"/>
        <v>✓ OK</v>
      </c>
      <c r="AF1056" s="33" t="s">
        <v>61</v>
      </c>
      <c r="AG1056" s="33" t="s">
        <v>55</v>
      </c>
      <c r="AH1056" s="33" t="s">
        <v>56</v>
      </c>
      <c r="AI1056" s="33" t="s">
        <v>57</v>
      </c>
      <c r="AJ1056" s="33" t="s">
        <v>58</v>
      </c>
      <c r="AK1056" s="33" t="s">
        <v>56</v>
      </c>
      <c r="AL1056" s="27"/>
      <c r="AM1056" s="34" t="s">
        <v>57</v>
      </c>
      <c r="AN1056" s="35" t="str">
        <f t="shared" si="83"/>
        <v>✓ OK</v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3436</v>
      </c>
      <c r="C1057" s="25" t="s">
        <v>3437</v>
      </c>
      <c r="D1057" s="23" t="s">
        <v>2301</v>
      </c>
      <c r="E1057" s="42">
        <v>46129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42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70">
        <v>46248</v>
      </c>
      <c r="X1057" s="30" t="s">
        <v>55</v>
      </c>
      <c r="Y1057" s="30" t="s">
        <v>56</v>
      </c>
      <c r="Z1057" s="30" t="s">
        <v>57</v>
      </c>
      <c r="AA1057" s="30" t="s">
        <v>58</v>
      </c>
      <c r="AB1057" s="30" t="s">
        <v>56</v>
      </c>
      <c r="AC1057" s="27"/>
      <c r="AD1057" s="31" t="s">
        <v>57</v>
      </c>
      <c r="AE1057" s="32" t="str">
        <f t="shared" si="82"/>
        <v>✓ OK</v>
      </c>
      <c r="AF1057" s="33" t="s">
        <v>61</v>
      </c>
      <c r="AG1057" s="33" t="s">
        <v>55</v>
      </c>
      <c r="AH1057" s="33" t="s">
        <v>56</v>
      </c>
      <c r="AI1057" s="33" t="s">
        <v>57</v>
      </c>
      <c r="AJ1057" s="33" t="s">
        <v>58</v>
      </c>
      <c r="AK1057" s="33" t="s">
        <v>56</v>
      </c>
      <c r="AL1057" s="27"/>
      <c r="AM1057" s="34" t="s">
        <v>57</v>
      </c>
      <c r="AN1057" s="35" t="str">
        <f t="shared" si="83"/>
        <v>✓ OK</v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3438</v>
      </c>
      <c r="C1058" s="41" t="s">
        <v>3439</v>
      </c>
      <c r="D1058" s="39" t="s">
        <v>2301</v>
      </c>
      <c r="E1058" s="42">
        <v>46129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42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70">
        <v>46248</v>
      </c>
      <c r="X1058" s="30" t="s">
        <v>55</v>
      </c>
      <c r="Y1058" s="30" t="s">
        <v>56</v>
      </c>
      <c r="Z1058" s="30" t="s">
        <v>57</v>
      </c>
      <c r="AA1058" s="30" t="s">
        <v>58</v>
      </c>
      <c r="AB1058" s="30" t="s">
        <v>56</v>
      </c>
      <c r="AC1058" s="27"/>
      <c r="AD1058" s="31" t="s">
        <v>57</v>
      </c>
      <c r="AE1058" s="32" t="str">
        <f t="shared" si="82"/>
        <v>✓ OK</v>
      </c>
      <c r="AF1058" s="33" t="s">
        <v>61</v>
      </c>
      <c r="AG1058" s="33" t="s">
        <v>55</v>
      </c>
      <c r="AH1058" s="33" t="s">
        <v>56</v>
      </c>
      <c r="AI1058" s="33" t="s">
        <v>57</v>
      </c>
      <c r="AJ1058" s="33" t="s">
        <v>58</v>
      </c>
      <c r="AK1058" s="33" t="s">
        <v>56</v>
      </c>
      <c r="AL1058" s="27"/>
      <c r="AM1058" s="34" t="s">
        <v>57</v>
      </c>
      <c r="AN1058" s="35" t="str">
        <f t="shared" si="83"/>
        <v>✓ OK</v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3440</v>
      </c>
      <c r="C1059" s="25" t="s">
        <v>3441</v>
      </c>
      <c r="D1059" s="23" t="s">
        <v>2301</v>
      </c>
      <c r="E1059" s="42">
        <v>46129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42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70">
        <v>46248</v>
      </c>
      <c r="X1059" s="30" t="s">
        <v>55</v>
      </c>
      <c r="Y1059" s="30" t="s">
        <v>56</v>
      </c>
      <c r="Z1059" s="30" t="s">
        <v>57</v>
      </c>
      <c r="AA1059" s="30" t="s">
        <v>58</v>
      </c>
      <c r="AB1059" s="30" t="s">
        <v>56</v>
      </c>
      <c r="AC1059" s="27"/>
      <c r="AD1059" s="31" t="s">
        <v>57</v>
      </c>
      <c r="AE1059" s="32" t="str">
        <f t="shared" si="82"/>
        <v>✓ OK</v>
      </c>
      <c r="AF1059" s="33" t="s">
        <v>61</v>
      </c>
      <c r="AG1059" s="33" t="s">
        <v>55</v>
      </c>
      <c r="AH1059" s="33" t="s">
        <v>56</v>
      </c>
      <c r="AI1059" s="33" t="s">
        <v>57</v>
      </c>
      <c r="AJ1059" s="33" t="s">
        <v>58</v>
      </c>
      <c r="AK1059" s="33" t="s">
        <v>56</v>
      </c>
      <c r="AL1059" s="27"/>
      <c r="AM1059" s="34" t="s">
        <v>57</v>
      </c>
      <c r="AN1059" s="35" t="str">
        <f t="shared" si="83"/>
        <v>✓ OK</v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3442</v>
      </c>
      <c r="C1060" s="41" t="s">
        <v>3443</v>
      </c>
      <c r="D1060" s="39" t="s">
        <v>2301</v>
      </c>
      <c r="E1060" s="42">
        <v>46129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42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70">
        <v>46248</v>
      </c>
      <c r="X1060" s="30" t="s">
        <v>55</v>
      </c>
      <c r="Y1060" s="30" t="s">
        <v>56</v>
      </c>
      <c r="Z1060" s="30" t="s">
        <v>57</v>
      </c>
      <c r="AA1060" s="30" t="s">
        <v>58</v>
      </c>
      <c r="AB1060" s="30" t="s">
        <v>56</v>
      </c>
      <c r="AC1060" s="27"/>
      <c r="AD1060" s="31" t="s">
        <v>57</v>
      </c>
      <c r="AE1060" s="32" t="str">
        <f t="shared" si="82"/>
        <v>✓ OK</v>
      </c>
      <c r="AF1060" s="33" t="s">
        <v>61</v>
      </c>
      <c r="AG1060" s="33" t="s">
        <v>55</v>
      </c>
      <c r="AH1060" s="33" t="s">
        <v>56</v>
      </c>
      <c r="AI1060" s="33" t="s">
        <v>57</v>
      </c>
      <c r="AJ1060" s="33" t="s">
        <v>58</v>
      </c>
      <c r="AK1060" s="33" t="s">
        <v>56</v>
      </c>
      <c r="AL1060" s="27"/>
      <c r="AM1060" s="34" t="s">
        <v>57</v>
      </c>
      <c r="AN1060" s="35" t="str">
        <f t="shared" si="83"/>
        <v>✓ OK</v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3444</v>
      </c>
      <c r="C1061" s="25" t="s">
        <v>3445</v>
      </c>
      <c r="D1061" s="23" t="s">
        <v>2301</v>
      </c>
      <c r="E1061" s="42">
        <v>46129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42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70">
        <v>46248</v>
      </c>
      <c r="X1061" s="30" t="s">
        <v>55</v>
      </c>
      <c r="Y1061" s="30" t="s">
        <v>56</v>
      </c>
      <c r="Z1061" s="30" t="s">
        <v>57</v>
      </c>
      <c r="AA1061" s="30" t="s">
        <v>58</v>
      </c>
      <c r="AB1061" s="30" t="s">
        <v>56</v>
      </c>
      <c r="AC1061" s="27"/>
      <c r="AD1061" s="31" t="s">
        <v>57</v>
      </c>
      <c r="AE1061" s="32" t="str">
        <f t="shared" si="82"/>
        <v>✓ OK</v>
      </c>
      <c r="AF1061" s="33" t="s">
        <v>61</v>
      </c>
      <c r="AG1061" s="33" t="s">
        <v>55</v>
      </c>
      <c r="AH1061" s="33" t="s">
        <v>56</v>
      </c>
      <c r="AI1061" s="33" t="s">
        <v>57</v>
      </c>
      <c r="AJ1061" s="33" t="s">
        <v>58</v>
      </c>
      <c r="AK1061" s="33" t="s">
        <v>56</v>
      </c>
      <c r="AL1061" s="27"/>
      <c r="AM1061" s="34" t="s">
        <v>57</v>
      </c>
      <c r="AN1061" s="35" t="str">
        <f t="shared" si="83"/>
        <v>✓ OK</v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3446</v>
      </c>
      <c r="C1062" s="41" t="s">
        <v>3447</v>
      </c>
      <c r="D1062" s="39" t="s">
        <v>2301</v>
      </c>
      <c r="E1062" s="42">
        <v>46129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42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70">
        <v>46248</v>
      </c>
      <c r="X1062" s="30" t="s">
        <v>55</v>
      </c>
      <c r="Y1062" s="30" t="s">
        <v>56</v>
      </c>
      <c r="Z1062" s="30" t="s">
        <v>57</v>
      </c>
      <c r="AA1062" s="30" t="s">
        <v>58</v>
      </c>
      <c r="AB1062" s="30" t="s">
        <v>56</v>
      </c>
      <c r="AC1062" s="27"/>
      <c r="AD1062" s="31" t="s">
        <v>57</v>
      </c>
      <c r="AE1062" s="32" t="str">
        <f t="shared" si="82"/>
        <v>✓ OK</v>
      </c>
      <c r="AF1062" s="33" t="s">
        <v>61</v>
      </c>
      <c r="AG1062" s="33" t="s">
        <v>55</v>
      </c>
      <c r="AH1062" s="33" t="s">
        <v>56</v>
      </c>
      <c r="AI1062" s="33" t="s">
        <v>57</v>
      </c>
      <c r="AJ1062" s="33" t="s">
        <v>58</v>
      </c>
      <c r="AK1062" s="33" t="s">
        <v>56</v>
      </c>
      <c r="AL1062" s="27"/>
      <c r="AM1062" s="34" t="s">
        <v>57</v>
      </c>
      <c r="AN1062" s="35" t="str">
        <f t="shared" si="83"/>
        <v>✓ OK</v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3448</v>
      </c>
      <c r="C1063" s="25" t="s">
        <v>3449</v>
      </c>
      <c r="D1063" s="23" t="s">
        <v>2301</v>
      </c>
      <c r="E1063" s="42">
        <v>46129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42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70">
        <v>46248</v>
      </c>
      <c r="X1063" s="30" t="s">
        <v>55</v>
      </c>
      <c r="Y1063" s="30" t="s">
        <v>56</v>
      </c>
      <c r="Z1063" s="30" t="s">
        <v>57</v>
      </c>
      <c r="AA1063" s="30" t="s">
        <v>58</v>
      </c>
      <c r="AB1063" s="30" t="s">
        <v>56</v>
      </c>
      <c r="AC1063" s="27"/>
      <c r="AD1063" s="31" t="s">
        <v>57</v>
      </c>
      <c r="AE1063" s="32" t="str">
        <f t="shared" si="82"/>
        <v>✓ OK</v>
      </c>
      <c r="AF1063" s="33" t="s">
        <v>61</v>
      </c>
      <c r="AG1063" s="33" t="s">
        <v>55</v>
      </c>
      <c r="AH1063" s="33" t="s">
        <v>56</v>
      </c>
      <c r="AI1063" s="33" t="s">
        <v>57</v>
      </c>
      <c r="AJ1063" s="33" t="s">
        <v>58</v>
      </c>
      <c r="AK1063" s="33" t="s">
        <v>56</v>
      </c>
      <c r="AL1063" s="27"/>
      <c r="AM1063" s="34" t="s">
        <v>57</v>
      </c>
      <c r="AN1063" s="35" t="str">
        <f t="shared" si="83"/>
        <v>✓ OK</v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3450</v>
      </c>
      <c r="C1064" s="41" t="s">
        <v>3451</v>
      </c>
      <c r="D1064" s="39" t="s">
        <v>2301</v>
      </c>
      <c r="E1064" s="42">
        <v>46129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42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70">
        <v>46248</v>
      </c>
      <c r="X1064" s="30" t="s">
        <v>55</v>
      </c>
      <c r="Y1064" s="30" t="s">
        <v>56</v>
      </c>
      <c r="Z1064" s="30" t="s">
        <v>57</v>
      </c>
      <c r="AA1064" s="30" t="s">
        <v>58</v>
      </c>
      <c r="AB1064" s="30" t="s">
        <v>56</v>
      </c>
      <c r="AC1064" s="27"/>
      <c r="AD1064" s="31" t="s">
        <v>57</v>
      </c>
      <c r="AE1064" s="32" t="str">
        <f t="shared" si="82"/>
        <v>✓ OK</v>
      </c>
      <c r="AF1064" s="33" t="s">
        <v>61</v>
      </c>
      <c r="AG1064" s="33" t="s">
        <v>55</v>
      </c>
      <c r="AH1064" s="33" t="s">
        <v>56</v>
      </c>
      <c r="AI1064" s="33" t="s">
        <v>57</v>
      </c>
      <c r="AJ1064" s="33" t="s">
        <v>58</v>
      </c>
      <c r="AK1064" s="33" t="s">
        <v>56</v>
      </c>
      <c r="AL1064" s="27"/>
      <c r="AM1064" s="34" t="s">
        <v>57</v>
      </c>
      <c r="AN1064" s="35" t="str">
        <f t="shared" si="83"/>
        <v>✓ OK</v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3452</v>
      </c>
      <c r="C1065" s="25" t="s">
        <v>3453</v>
      </c>
      <c r="D1065" s="23" t="s">
        <v>2301</v>
      </c>
      <c r="E1065" s="42">
        <v>46129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42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70">
        <v>46248</v>
      </c>
      <c r="X1065" s="30" t="s">
        <v>55</v>
      </c>
      <c r="Y1065" s="30" t="s">
        <v>56</v>
      </c>
      <c r="Z1065" s="30" t="s">
        <v>57</v>
      </c>
      <c r="AA1065" s="30" t="s">
        <v>58</v>
      </c>
      <c r="AB1065" s="30" t="s">
        <v>56</v>
      </c>
      <c r="AC1065" s="27"/>
      <c r="AD1065" s="31" t="s">
        <v>57</v>
      </c>
      <c r="AE1065" s="32" t="str">
        <f t="shared" si="82"/>
        <v>✓ OK</v>
      </c>
      <c r="AF1065" s="33" t="s">
        <v>61</v>
      </c>
      <c r="AG1065" s="33" t="s">
        <v>55</v>
      </c>
      <c r="AH1065" s="33" t="s">
        <v>56</v>
      </c>
      <c r="AI1065" s="33" t="s">
        <v>57</v>
      </c>
      <c r="AJ1065" s="33" t="s">
        <v>58</v>
      </c>
      <c r="AK1065" s="33" t="s">
        <v>56</v>
      </c>
      <c r="AL1065" s="27"/>
      <c r="AM1065" s="34" t="s">
        <v>57</v>
      </c>
      <c r="AN1065" s="35" t="str">
        <f t="shared" si="83"/>
        <v>✓ OK</v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3454</v>
      </c>
      <c r="C1066" s="41" t="s">
        <v>3455</v>
      </c>
      <c r="D1066" s="39" t="s">
        <v>2301</v>
      </c>
      <c r="E1066" s="42">
        <v>46129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42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70">
        <v>46248</v>
      </c>
      <c r="X1066" s="30" t="s">
        <v>55</v>
      </c>
      <c r="Y1066" s="30" t="s">
        <v>56</v>
      </c>
      <c r="Z1066" s="30" t="s">
        <v>57</v>
      </c>
      <c r="AA1066" s="30" t="s">
        <v>58</v>
      </c>
      <c r="AB1066" s="30" t="s">
        <v>56</v>
      </c>
      <c r="AC1066" s="27"/>
      <c r="AD1066" s="31" t="s">
        <v>57</v>
      </c>
      <c r="AE1066" s="32" t="str">
        <f t="shared" si="82"/>
        <v>✓ OK</v>
      </c>
      <c r="AF1066" s="33" t="s">
        <v>61</v>
      </c>
      <c r="AG1066" s="33" t="s">
        <v>55</v>
      </c>
      <c r="AH1066" s="33" t="s">
        <v>56</v>
      </c>
      <c r="AI1066" s="33" t="s">
        <v>57</v>
      </c>
      <c r="AJ1066" s="33" t="s">
        <v>58</v>
      </c>
      <c r="AK1066" s="33" t="s">
        <v>56</v>
      </c>
      <c r="AL1066" s="27"/>
      <c r="AM1066" s="34" t="s">
        <v>57</v>
      </c>
      <c r="AN1066" s="35" t="str">
        <f t="shared" si="83"/>
        <v>✓ OK</v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3456</v>
      </c>
      <c r="C1067" s="25" t="s">
        <v>3457</v>
      </c>
      <c r="D1067" s="23" t="s">
        <v>2301</v>
      </c>
      <c r="E1067" s="42">
        <v>46129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42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70">
        <v>46248</v>
      </c>
      <c r="X1067" s="30" t="s">
        <v>55</v>
      </c>
      <c r="Y1067" s="30" t="s">
        <v>56</v>
      </c>
      <c r="Z1067" s="30" t="s">
        <v>57</v>
      </c>
      <c r="AA1067" s="30" t="s">
        <v>58</v>
      </c>
      <c r="AB1067" s="30" t="s">
        <v>56</v>
      </c>
      <c r="AC1067" s="27"/>
      <c r="AD1067" s="31" t="s">
        <v>57</v>
      </c>
      <c r="AE1067" s="32" t="str">
        <f t="shared" si="82"/>
        <v>✓ OK</v>
      </c>
      <c r="AF1067" s="33" t="s">
        <v>61</v>
      </c>
      <c r="AG1067" s="33" t="s">
        <v>55</v>
      </c>
      <c r="AH1067" s="33" t="s">
        <v>56</v>
      </c>
      <c r="AI1067" s="33" t="s">
        <v>57</v>
      </c>
      <c r="AJ1067" s="33" t="s">
        <v>58</v>
      </c>
      <c r="AK1067" s="33" t="s">
        <v>56</v>
      </c>
      <c r="AL1067" s="27"/>
      <c r="AM1067" s="34" t="s">
        <v>57</v>
      </c>
      <c r="AN1067" s="35" t="str">
        <f t="shared" si="83"/>
        <v>✓ OK</v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3458</v>
      </c>
      <c r="C1068" s="41" t="s">
        <v>3459</v>
      </c>
      <c r="D1068" s="39" t="s">
        <v>2301</v>
      </c>
      <c r="E1068" s="42">
        <v>46129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42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70">
        <v>46248</v>
      </c>
      <c r="X1068" s="30" t="s">
        <v>55</v>
      </c>
      <c r="Y1068" s="30" t="s">
        <v>56</v>
      </c>
      <c r="Z1068" s="30" t="s">
        <v>57</v>
      </c>
      <c r="AA1068" s="30" t="s">
        <v>58</v>
      </c>
      <c r="AB1068" s="30" t="s">
        <v>56</v>
      </c>
      <c r="AC1068" s="27"/>
      <c r="AD1068" s="31" t="s">
        <v>57</v>
      </c>
      <c r="AE1068" s="32" t="str">
        <f t="shared" si="82"/>
        <v>✓ OK</v>
      </c>
      <c r="AF1068" s="33" t="s">
        <v>61</v>
      </c>
      <c r="AG1068" s="33" t="s">
        <v>55</v>
      </c>
      <c r="AH1068" s="33" t="s">
        <v>56</v>
      </c>
      <c r="AI1068" s="33" t="s">
        <v>57</v>
      </c>
      <c r="AJ1068" s="33" t="s">
        <v>58</v>
      </c>
      <c r="AK1068" s="33" t="s">
        <v>56</v>
      </c>
      <c r="AL1068" s="27"/>
      <c r="AM1068" s="34" t="s">
        <v>57</v>
      </c>
      <c r="AN1068" s="35" t="str">
        <f t="shared" si="83"/>
        <v>✓ OK</v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3460</v>
      </c>
      <c r="C1069" s="25" t="s">
        <v>3461</v>
      </c>
      <c r="D1069" s="23" t="s">
        <v>2301</v>
      </c>
      <c r="E1069" s="42">
        <v>46129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42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70">
        <v>46248</v>
      </c>
      <c r="X1069" s="30" t="s">
        <v>55</v>
      </c>
      <c r="Y1069" s="30" t="s">
        <v>56</v>
      </c>
      <c r="Z1069" s="30" t="s">
        <v>57</v>
      </c>
      <c r="AA1069" s="30" t="s">
        <v>58</v>
      </c>
      <c r="AB1069" s="30" t="s">
        <v>56</v>
      </c>
      <c r="AC1069" s="27"/>
      <c r="AD1069" s="31" t="s">
        <v>57</v>
      </c>
      <c r="AE1069" s="32" t="str">
        <f t="shared" si="82"/>
        <v>✓ OK</v>
      </c>
      <c r="AF1069" s="33" t="s">
        <v>61</v>
      </c>
      <c r="AG1069" s="33" t="s">
        <v>55</v>
      </c>
      <c r="AH1069" s="33" t="s">
        <v>56</v>
      </c>
      <c r="AI1069" s="33" t="s">
        <v>57</v>
      </c>
      <c r="AJ1069" s="33" t="s">
        <v>58</v>
      </c>
      <c r="AK1069" s="33" t="s">
        <v>56</v>
      </c>
      <c r="AL1069" s="27"/>
      <c r="AM1069" s="34" t="s">
        <v>57</v>
      </c>
      <c r="AN1069" s="35" t="str">
        <f t="shared" si="83"/>
        <v>✓ OK</v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3462</v>
      </c>
      <c r="C1070" s="41" t="s">
        <v>3463</v>
      </c>
      <c r="D1070" s="39" t="s">
        <v>2301</v>
      </c>
      <c r="E1070" s="42">
        <v>46129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42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70">
        <v>46248</v>
      </c>
      <c r="X1070" s="30" t="s">
        <v>55</v>
      </c>
      <c r="Y1070" s="30" t="s">
        <v>56</v>
      </c>
      <c r="Z1070" s="30" t="s">
        <v>57</v>
      </c>
      <c r="AA1070" s="30" t="s">
        <v>58</v>
      </c>
      <c r="AB1070" s="30" t="s">
        <v>56</v>
      </c>
      <c r="AC1070" s="27"/>
      <c r="AD1070" s="31" t="s">
        <v>57</v>
      </c>
      <c r="AE1070" s="32" t="str">
        <f t="shared" si="82"/>
        <v>✓ OK</v>
      </c>
      <c r="AF1070" s="33" t="s">
        <v>61</v>
      </c>
      <c r="AG1070" s="33" t="s">
        <v>55</v>
      </c>
      <c r="AH1070" s="33" t="s">
        <v>56</v>
      </c>
      <c r="AI1070" s="33" t="s">
        <v>57</v>
      </c>
      <c r="AJ1070" s="33" t="s">
        <v>58</v>
      </c>
      <c r="AK1070" s="33" t="s">
        <v>56</v>
      </c>
      <c r="AL1070" s="27"/>
      <c r="AM1070" s="34" t="s">
        <v>57</v>
      </c>
      <c r="AN1070" s="35" t="str">
        <f t="shared" si="83"/>
        <v>✓ OK</v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3464</v>
      </c>
      <c r="C1071" s="25" t="s">
        <v>3465</v>
      </c>
      <c r="D1071" s="23" t="s">
        <v>2301</v>
      </c>
      <c r="E1071" s="42">
        <v>46129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42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70">
        <v>46248</v>
      </c>
      <c r="X1071" s="30" t="s">
        <v>55</v>
      </c>
      <c r="Y1071" s="30" t="s">
        <v>56</v>
      </c>
      <c r="Z1071" s="30" t="s">
        <v>57</v>
      </c>
      <c r="AA1071" s="30" t="s">
        <v>58</v>
      </c>
      <c r="AB1071" s="30" t="s">
        <v>56</v>
      </c>
      <c r="AC1071" s="27"/>
      <c r="AD1071" s="31" t="s">
        <v>57</v>
      </c>
      <c r="AE1071" s="32" t="str">
        <f t="shared" si="82"/>
        <v>✓ OK</v>
      </c>
      <c r="AF1071" s="33" t="s">
        <v>61</v>
      </c>
      <c r="AG1071" s="33" t="s">
        <v>55</v>
      </c>
      <c r="AH1071" s="33" t="s">
        <v>56</v>
      </c>
      <c r="AI1071" s="33" t="s">
        <v>57</v>
      </c>
      <c r="AJ1071" s="33" t="s">
        <v>58</v>
      </c>
      <c r="AK1071" s="33" t="s">
        <v>56</v>
      </c>
      <c r="AL1071" s="27"/>
      <c r="AM1071" s="34" t="s">
        <v>57</v>
      </c>
      <c r="AN1071" s="35" t="str">
        <f t="shared" si="83"/>
        <v>✓ OK</v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3466</v>
      </c>
      <c r="C1072" s="41" t="s">
        <v>3467</v>
      </c>
      <c r="D1072" s="39" t="s">
        <v>2301</v>
      </c>
      <c r="E1072" s="42">
        <v>46129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42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70">
        <v>46248</v>
      </c>
      <c r="X1072" s="30" t="s">
        <v>55</v>
      </c>
      <c r="Y1072" s="30" t="s">
        <v>56</v>
      </c>
      <c r="Z1072" s="30" t="s">
        <v>57</v>
      </c>
      <c r="AA1072" s="30" t="s">
        <v>58</v>
      </c>
      <c r="AB1072" s="30" t="s">
        <v>56</v>
      </c>
      <c r="AC1072" s="27"/>
      <c r="AD1072" s="31" t="s">
        <v>57</v>
      </c>
      <c r="AE1072" s="32" t="str">
        <f t="shared" si="82"/>
        <v>✓ OK</v>
      </c>
      <c r="AF1072" s="33" t="s">
        <v>61</v>
      </c>
      <c r="AG1072" s="33" t="s">
        <v>55</v>
      </c>
      <c r="AH1072" s="33" t="s">
        <v>56</v>
      </c>
      <c r="AI1072" s="33" t="s">
        <v>57</v>
      </c>
      <c r="AJ1072" s="33" t="s">
        <v>58</v>
      </c>
      <c r="AK1072" s="33" t="s">
        <v>56</v>
      </c>
      <c r="AL1072" s="27"/>
      <c r="AM1072" s="34" t="s">
        <v>57</v>
      </c>
      <c r="AN1072" s="35" t="str">
        <f t="shared" si="83"/>
        <v>✓ OK</v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3468</v>
      </c>
      <c r="C1073" s="25" t="s">
        <v>3469</v>
      </c>
      <c r="D1073" s="23" t="s">
        <v>2301</v>
      </c>
      <c r="E1073" s="42">
        <v>46129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42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70">
        <v>46248</v>
      </c>
      <c r="X1073" s="30" t="s">
        <v>55</v>
      </c>
      <c r="Y1073" s="30" t="s">
        <v>56</v>
      </c>
      <c r="Z1073" s="30" t="s">
        <v>57</v>
      </c>
      <c r="AA1073" s="30" t="s">
        <v>58</v>
      </c>
      <c r="AB1073" s="30" t="s">
        <v>56</v>
      </c>
      <c r="AC1073" s="27"/>
      <c r="AD1073" s="31" t="s">
        <v>57</v>
      </c>
      <c r="AE1073" s="32" t="str">
        <f t="shared" si="82"/>
        <v>✓ OK</v>
      </c>
      <c r="AF1073" s="33" t="s">
        <v>61</v>
      </c>
      <c r="AG1073" s="33" t="s">
        <v>55</v>
      </c>
      <c r="AH1073" s="33" t="s">
        <v>56</v>
      </c>
      <c r="AI1073" s="33" t="s">
        <v>57</v>
      </c>
      <c r="AJ1073" s="33" t="s">
        <v>58</v>
      </c>
      <c r="AK1073" s="33" t="s">
        <v>56</v>
      </c>
      <c r="AL1073" s="27"/>
      <c r="AM1073" s="34" t="s">
        <v>57</v>
      </c>
      <c r="AN1073" s="35" t="str">
        <f t="shared" si="83"/>
        <v>✓ OK</v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3470</v>
      </c>
      <c r="C1074" s="41" t="s">
        <v>3471</v>
      </c>
      <c r="D1074" s="39" t="s">
        <v>2301</v>
      </c>
      <c r="E1074" s="42">
        <v>46129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42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70">
        <v>46248</v>
      </c>
      <c r="X1074" s="30" t="s">
        <v>55</v>
      </c>
      <c r="Y1074" s="30" t="s">
        <v>56</v>
      </c>
      <c r="Z1074" s="30" t="s">
        <v>57</v>
      </c>
      <c r="AA1074" s="30" t="s">
        <v>58</v>
      </c>
      <c r="AB1074" s="30" t="s">
        <v>56</v>
      </c>
      <c r="AC1074" s="27"/>
      <c r="AD1074" s="31" t="s">
        <v>57</v>
      </c>
      <c r="AE1074" s="32" t="str">
        <f t="shared" si="82"/>
        <v>✓ OK</v>
      </c>
      <c r="AF1074" s="33" t="s">
        <v>61</v>
      </c>
      <c r="AG1074" s="33" t="s">
        <v>55</v>
      </c>
      <c r="AH1074" s="33" t="s">
        <v>56</v>
      </c>
      <c r="AI1074" s="33" t="s">
        <v>57</v>
      </c>
      <c r="AJ1074" s="33" t="s">
        <v>58</v>
      </c>
      <c r="AK1074" s="33" t="s">
        <v>56</v>
      </c>
      <c r="AL1074" s="27"/>
      <c r="AM1074" s="34" t="s">
        <v>57</v>
      </c>
      <c r="AN1074" s="35" t="str">
        <f t="shared" si="83"/>
        <v>✓ OK</v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3472</v>
      </c>
      <c r="C1075" s="25" t="s">
        <v>3473</v>
      </c>
      <c r="D1075" s="23" t="s">
        <v>2301</v>
      </c>
      <c r="E1075" s="42">
        <v>46129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42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70">
        <v>46248</v>
      </c>
      <c r="X1075" s="30" t="s">
        <v>55</v>
      </c>
      <c r="Y1075" s="30" t="s">
        <v>56</v>
      </c>
      <c r="Z1075" s="30" t="s">
        <v>57</v>
      </c>
      <c r="AA1075" s="30" t="s">
        <v>58</v>
      </c>
      <c r="AB1075" s="30" t="s">
        <v>56</v>
      </c>
      <c r="AC1075" s="27"/>
      <c r="AD1075" s="31" t="s">
        <v>57</v>
      </c>
      <c r="AE1075" s="32" t="str">
        <f t="shared" si="82"/>
        <v>✓ OK</v>
      </c>
      <c r="AF1075" s="33" t="s">
        <v>61</v>
      </c>
      <c r="AG1075" s="33" t="s">
        <v>55</v>
      </c>
      <c r="AH1075" s="33" t="s">
        <v>56</v>
      </c>
      <c r="AI1075" s="33" t="s">
        <v>57</v>
      </c>
      <c r="AJ1075" s="33" t="s">
        <v>58</v>
      </c>
      <c r="AK1075" s="33" t="s">
        <v>56</v>
      </c>
      <c r="AL1075" s="27"/>
      <c r="AM1075" s="34" t="s">
        <v>57</v>
      </c>
      <c r="AN1075" s="35" t="str">
        <f t="shared" si="83"/>
        <v>✓ OK</v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3474</v>
      </c>
      <c r="C1076" s="41" t="s">
        <v>3475</v>
      </c>
      <c r="D1076" s="39" t="s">
        <v>2301</v>
      </c>
      <c r="E1076" s="42">
        <v>46129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42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70">
        <v>46248</v>
      </c>
      <c r="X1076" s="30" t="s">
        <v>55</v>
      </c>
      <c r="Y1076" s="30" t="s">
        <v>56</v>
      </c>
      <c r="Z1076" s="30" t="s">
        <v>57</v>
      </c>
      <c r="AA1076" s="30" t="s">
        <v>58</v>
      </c>
      <c r="AB1076" s="30" t="s">
        <v>56</v>
      </c>
      <c r="AC1076" s="27"/>
      <c r="AD1076" s="31" t="s">
        <v>57</v>
      </c>
      <c r="AE1076" s="32" t="str">
        <f t="shared" si="82"/>
        <v>✓ OK</v>
      </c>
      <c r="AF1076" s="33" t="s">
        <v>61</v>
      </c>
      <c r="AG1076" s="33" t="s">
        <v>55</v>
      </c>
      <c r="AH1076" s="33" t="s">
        <v>56</v>
      </c>
      <c r="AI1076" s="33" t="s">
        <v>57</v>
      </c>
      <c r="AJ1076" s="33" t="s">
        <v>58</v>
      </c>
      <c r="AK1076" s="33" t="s">
        <v>56</v>
      </c>
      <c r="AL1076" s="27"/>
      <c r="AM1076" s="34" t="s">
        <v>57</v>
      </c>
      <c r="AN1076" s="35" t="str">
        <f t="shared" si="83"/>
        <v>✓ OK</v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3476</v>
      </c>
      <c r="C1077" s="25" t="s">
        <v>3477</v>
      </c>
      <c r="D1077" s="23" t="s">
        <v>2301</v>
      </c>
      <c r="E1077" s="42">
        <v>46129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42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70">
        <v>46248</v>
      </c>
      <c r="X1077" s="30" t="s">
        <v>55</v>
      </c>
      <c r="Y1077" s="30" t="s">
        <v>56</v>
      </c>
      <c r="Z1077" s="30" t="s">
        <v>57</v>
      </c>
      <c r="AA1077" s="30" t="s">
        <v>58</v>
      </c>
      <c r="AB1077" s="30" t="s">
        <v>56</v>
      </c>
      <c r="AC1077" s="27"/>
      <c r="AD1077" s="31" t="s">
        <v>57</v>
      </c>
      <c r="AE1077" s="32" t="str">
        <f t="shared" si="82"/>
        <v>✓ OK</v>
      </c>
      <c r="AF1077" s="33" t="s">
        <v>61</v>
      </c>
      <c r="AG1077" s="33" t="s">
        <v>55</v>
      </c>
      <c r="AH1077" s="33" t="s">
        <v>56</v>
      </c>
      <c r="AI1077" s="33" t="s">
        <v>57</v>
      </c>
      <c r="AJ1077" s="33" t="s">
        <v>58</v>
      </c>
      <c r="AK1077" s="33" t="s">
        <v>56</v>
      </c>
      <c r="AL1077" s="27"/>
      <c r="AM1077" s="34" t="s">
        <v>57</v>
      </c>
      <c r="AN1077" s="35" t="str">
        <f t="shared" si="83"/>
        <v>✓ OK</v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3478</v>
      </c>
      <c r="C1078" s="41" t="s">
        <v>3479</v>
      </c>
      <c r="D1078" s="39" t="s">
        <v>2301</v>
      </c>
      <c r="E1078" s="42">
        <v>46129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42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70">
        <v>46248</v>
      </c>
      <c r="X1078" s="30" t="s">
        <v>55</v>
      </c>
      <c r="Y1078" s="30" t="s">
        <v>56</v>
      </c>
      <c r="Z1078" s="30" t="s">
        <v>57</v>
      </c>
      <c r="AA1078" s="30" t="s">
        <v>58</v>
      </c>
      <c r="AB1078" s="30" t="s">
        <v>56</v>
      </c>
      <c r="AC1078" s="27"/>
      <c r="AD1078" s="31" t="s">
        <v>57</v>
      </c>
      <c r="AE1078" s="32" t="str">
        <f t="shared" si="82"/>
        <v>✓ OK</v>
      </c>
      <c r="AF1078" s="33" t="s">
        <v>61</v>
      </c>
      <c r="AG1078" s="33" t="s">
        <v>55</v>
      </c>
      <c r="AH1078" s="33" t="s">
        <v>56</v>
      </c>
      <c r="AI1078" s="33" t="s">
        <v>57</v>
      </c>
      <c r="AJ1078" s="33" t="s">
        <v>58</v>
      </c>
      <c r="AK1078" s="33" t="s">
        <v>56</v>
      </c>
      <c r="AL1078" s="27"/>
      <c r="AM1078" s="34" t="s">
        <v>57</v>
      </c>
      <c r="AN1078" s="35" t="str">
        <f t="shared" si="83"/>
        <v>✓ OK</v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3480</v>
      </c>
      <c r="C1079" s="25" t="s">
        <v>3481</v>
      </c>
      <c r="D1079" s="23" t="s">
        <v>3482</v>
      </c>
      <c r="E1079" s="42">
        <v>46129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42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70">
        <v>46248</v>
      </c>
      <c r="X1079" s="30" t="s">
        <v>55</v>
      </c>
      <c r="Y1079" s="30" t="s">
        <v>56</v>
      </c>
      <c r="Z1079" s="30" t="s">
        <v>57</v>
      </c>
      <c r="AA1079" s="30" t="s">
        <v>58</v>
      </c>
      <c r="AB1079" s="30" t="s">
        <v>56</v>
      </c>
      <c r="AC1079" s="27"/>
      <c r="AD1079" s="31" t="s">
        <v>57</v>
      </c>
      <c r="AE1079" s="32" t="str">
        <f t="shared" si="82"/>
        <v>✓ OK</v>
      </c>
      <c r="AF1079" s="33" t="s">
        <v>61</v>
      </c>
      <c r="AG1079" s="33" t="s">
        <v>55</v>
      </c>
      <c r="AH1079" s="33" t="s">
        <v>56</v>
      </c>
      <c r="AI1079" s="33" t="s">
        <v>57</v>
      </c>
      <c r="AJ1079" s="33" t="s">
        <v>58</v>
      </c>
      <c r="AK1079" s="33" t="s">
        <v>56</v>
      </c>
      <c r="AL1079" s="27"/>
      <c r="AM1079" s="34" t="s">
        <v>57</v>
      </c>
      <c r="AN1079" s="35" t="str">
        <f t="shared" si="83"/>
        <v>✓ OK</v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3483</v>
      </c>
      <c r="C1080" s="41" t="s">
        <v>3484</v>
      </c>
      <c r="D1080" s="39" t="s">
        <v>3482</v>
      </c>
      <c r="E1080" s="42">
        <v>46129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42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70">
        <v>46248</v>
      </c>
      <c r="X1080" s="30" t="s">
        <v>55</v>
      </c>
      <c r="Y1080" s="30" t="s">
        <v>56</v>
      </c>
      <c r="Z1080" s="30" t="s">
        <v>57</v>
      </c>
      <c r="AA1080" s="30" t="s">
        <v>58</v>
      </c>
      <c r="AB1080" s="30" t="s">
        <v>56</v>
      </c>
      <c r="AC1080" s="27"/>
      <c r="AD1080" s="31" t="s">
        <v>57</v>
      </c>
      <c r="AE1080" s="32" t="str">
        <f t="shared" si="82"/>
        <v>✓ OK</v>
      </c>
      <c r="AF1080" s="33" t="s">
        <v>61</v>
      </c>
      <c r="AG1080" s="33" t="s">
        <v>55</v>
      </c>
      <c r="AH1080" s="33" t="s">
        <v>56</v>
      </c>
      <c r="AI1080" s="33" t="s">
        <v>57</v>
      </c>
      <c r="AJ1080" s="33" t="s">
        <v>58</v>
      </c>
      <c r="AK1080" s="33" t="s">
        <v>56</v>
      </c>
      <c r="AL1080" s="27"/>
      <c r="AM1080" s="34" t="s">
        <v>57</v>
      </c>
      <c r="AN1080" s="35" t="str">
        <f t="shared" si="83"/>
        <v>✓ OK</v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3485</v>
      </c>
      <c r="C1081" s="25" t="s">
        <v>3486</v>
      </c>
      <c r="D1081" s="23" t="s">
        <v>3482</v>
      </c>
      <c r="E1081" s="42">
        <v>46129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42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70">
        <v>46248</v>
      </c>
      <c r="X1081" s="30" t="s">
        <v>55</v>
      </c>
      <c r="Y1081" s="30" t="s">
        <v>56</v>
      </c>
      <c r="Z1081" s="30" t="s">
        <v>57</v>
      </c>
      <c r="AA1081" s="30" t="s">
        <v>58</v>
      </c>
      <c r="AB1081" s="30" t="s">
        <v>56</v>
      </c>
      <c r="AC1081" s="27"/>
      <c r="AD1081" s="31" t="s">
        <v>57</v>
      </c>
      <c r="AE1081" s="32" t="str">
        <f t="shared" si="82"/>
        <v>✓ OK</v>
      </c>
      <c r="AF1081" s="33" t="s">
        <v>61</v>
      </c>
      <c r="AG1081" s="33" t="s">
        <v>55</v>
      </c>
      <c r="AH1081" s="33" t="s">
        <v>56</v>
      </c>
      <c r="AI1081" s="33" t="s">
        <v>57</v>
      </c>
      <c r="AJ1081" s="33" t="s">
        <v>58</v>
      </c>
      <c r="AK1081" s="33" t="s">
        <v>56</v>
      </c>
      <c r="AL1081" s="27"/>
      <c r="AM1081" s="34" t="s">
        <v>57</v>
      </c>
      <c r="AN1081" s="35" t="str">
        <f t="shared" si="83"/>
        <v>✓ OK</v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3487</v>
      </c>
      <c r="C1082" s="41" t="s">
        <v>3488</v>
      </c>
      <c r="D1082" s="39" t="s">
        <v>3482</v>
      </c>
      <c r="E1082" s="42">
        <v>46129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42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70">
        <v>46248</v>
      </c>
      <c r="X1082" s="30" t="s">
        <v>55</v>
      </c>
      <c r="Y1082" s="30" t="s">
        <v>56</v>
      </c>
      <c r="Z1082" s="30" t="s">
        <v>57</v>
      </c>
      <c r="AA1082" s="30" t="s">
        <v>58</v>
      </c>
      <c r="AB1082" s="30" t="s">
        <v>56</v>
      </c>
      <c r="AC1082" s="27"/>
      <c r="AD1082" s="31" t="s">
        <v>57</v>
      </c>
      <c r="AE1082" s="32" t="str">
        <f t="shared" si="82"/>
        <v>✓ OK</v>
      </c>
      <c r="AF1082" s="33" t="s">
        <v>61</v>
      </c>
      <c r="AG1082" s="33" t="s">
        <v>55</v>
      </c>
      <c r="AH1082" s="33" t="s">
        <v>56</v>
      </c>
      <c r="AI1082" s="33" t="s">
        <v>57</v>
      </c>
      <c r="AJ1082" s="33" t="s">
        <v>58</v>
      </c>
      <c r="AK1082" s="33" t="s">
        <v>56</v>
      </c>
      <c r="AL1082" s="27"/>
      <c r="AM1082" s="34" t="s">
        <v>57</v>
      </c>
      <c r="AN1082" s="35" t="str">
        <f t="shared" si="83"/>
        <v>✓ OK</v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3489</v>
      </c>
      <c r="C1083" s="25" t="s">
        <v>3490</v>
      </c>
      <c r="D1083" s="23" t="s">
        <v>3482</v>
      </c>
      <c r="E1083" s="42">
        <v>46129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42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70">
        <v>46248</v>
      </c>
      <c r="X1083" s="30" t="s">
        <v>55</v>
      </c>
      <c r="Y1083" s="30" t="s">
        <v>56</v>
      </c>
      <c r="Z1083" s="30" t="s">
        <v>57</v>
      </c>
      <c r="AA1083" s="30" t="s">
        <v>58</v>
      </c>
      <c r="AB1083" s="30" t="s">
        <v>56</v>
      </c>
      <c r="AC1083" s="27"/>
      <c r="AD1083" s="31" t="s">
        <v>57</v>
      </c>
      <c r="AE1083" s="32" t="str">
        <f t="shared" si="82"/>
        <v>✓ OK</v>
      </c>
      <c r="AF1083" s="33" t="s">
        <v>61</v>
      </c>
      <c r="AG1083" s="33" t="s">
        <v>55</v>
      </c>
      <c r="AH1083" s="33" t="s">
        <v>56</v>
      </c>
      <c r="AI1083" s="33" t="s">
        <v>57</v>
      </c>
      <c r="AJ1083" s="33" t="s">
        <v>58</v>
      </c>
      <c r="AK1083" s="33" t="s">
        <v>56</v>
      </c>
      <c r="AL1083" s="27"/>
      <c r="AM1083" s="34" t="s">
        <v>57</v>
      </c>
      <c r="AN1083" s="35" t="str">
        <f t="shared" si="83"/>
        <v>✓ OK</v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3491</v>
      </c>
      <c r="C1084" s="41" t="s">
        <v>3492</v>
      </c>
      <c r="D1084" s="39" t="s">
        <v>3482</v>
      </c>
      <c r="E1084" s="42">
        <v>46129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42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70">
        <v>46248</v>
      </c>
      <c r="X1084" s="30" t="s">
        <v>55</v>
      </c>
      <c r="Y1084" s="30" t="s">
        <v>56</v>
      </c>
      <c r="Z1084" s="30" t="s">
        <v>57</v>
      </c>
      <c r="AA1084" s="30" t="s">
        <v>58</v>
      </c>
      <c r="AB1084" s="30" t="s">
        <v>56</v>
      </c>
      <c r="AC1084" s="27"/>
      <c r="AD1084" s="31" t="s">
        <v>57</v>
      </c>
      <c r="AE1084" s="32" t="str">
        <f t="shared" si="82"/>
        <v>✓ OK</v>
      </c>
      <c r="AF1084" s="33" t="s">
        <v>61</v>
      </c>
      <c r="AG1084" s="33" t="s">
        <v>55</v>
      </c>
      <c r="AH1084" s="33" t="s">
        <v>56</v>
      </c>
      <c r="AI1084" s="33" t="s">
        <v>57</v>
      </c>
      <c r="AJ1084" s="33" t="s">
        <v>58</v>
      </c>
      <c r="AK1084" s="33" t="s">
        <v>56</v>
      </c>
      <c r="AL1084" s="27"/>
      <c r="AM1084" s="34" t="s">
        <v>57</v>
      </c>
      <c r="AN1084" s="35" t="str">
        <f t="shared" si="83"/>
        <v>✓ OK</v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3493</v>
      </c>
      <c r="C1085" s="25" t="s">
        <v>3494</v>
      </c>
      <c r="D1085" s="23" t="s">
        <v>3482</v>
      </c>
      <c r="E1085" s="42">
        <v>46129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42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70">
        <v>46248</v>
      </c>
      <c r="X1085" s="30" t="s">
        <v>55</v>
      </c>
      <c r="Y1085" s="30" t="s">
        <v>56</v>
      </c>
      <c r="Z1085" s="30" t="s">
        <v>57</v>
      </c>
      <c r="AA1085" s="30" t="s">
        <v>58</v>
      </c>
      <c r="AB1085" s="30" t="s">
        <v>56</v>
      </c>
      <c r="AC1085" s="27"/>
      <c r="AD1085" s="31" t="s">
        <v>57</v>
      </c>
      <c r="AE1085" s="32" t="str">
        <f t="shared" si="82"/>
        <v>✓ OK</v>
      </c>
      <c r="AF1085" s="33" t="s">
        <v>61</v>
      </c>
      <c r="AG1085" s="33" t="s">
        <v>55</v>
      </c>
      <c r="AH1085" s="33" t="s">
        <v>56</v>
      </c>
      <c r="AI1085" s="33" t="s">
        <v>57</v>
      </c>
      <c r="AJ1085" s="33" t="s">
        <v>58</v>
      </c>
      <c r="AK1085" s="33" t="s">
        <v>56</v>
      </c>
      <c r="AL1085" s="27"/>
      <c r="AM1085" s="34" t="s">
        <v>57</v>
      </c>
      <c r="AN1085" s="35" t="str">
        <f t="shared" si="83"/>
        <v>✓ OK</v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3495</v>
      </c>
      <c r="C1086" s="41" t="s">
        <v>3496</v>
      </c>
      <c r="D1086" s="39" t="s">
        <v>3482</v>
      </c>
      <c r="E1086" s="42">
        <v>46129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42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70">
        <v>46248</v>
      </c>
      <c r="X1086" s="30" t="s">
        <v>55</v>
      </c>
      <c r="Y1086" s="30" t="s">
        <v>56</v>
      </c>
      <c r="Z1086" s="30" t="s">
        <v>57</v>
      </c>
      <c r="AA1086" s="30" t="s">
        <v>58</v>
      </c>
      <c r="AB1086" s="30" t="s">
        <v>56</v>
      </c>
      <c r="AC1086" s="27"/>
      <c r="AD1086" s="31" t="s">
        <v>57</v>
      </c>
      <c r="AE1086" s="32" t="str">
        <f t="shared" si="82"/>
        <v>✓ OK</v>
      </c>
      <c r="AF1086" s="33" t="s">
        <v>61</v>
      </c>
      <c r="AG1086" s="33" t="s">
        <v>55</v>
      </c>
      <c r="AH1086" s="33" t="s">
        <v>56</v>
      </c>
      <c r="AI1086" s="33" t="s">
        <v>57</v>
      </c>
      <c r="AJ1086" s="33" t="s">
        <v>58</v>
      </c>
      <c r="AK1086" s="33" t="s">
        <v>56</v>
      </c>
      <c r="AL1086" s="27"/>
      <c r="AM1086" s="34" t="s">
        <v>57</v>
      </c>
      <c r="AN1086" s="35" t="str">
        <f t="shared" si="83"/>
        <v>✓ OK</v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3497</v>
      </c>
      <c r="C1087" s="25" t="s">
        <v>3498</v>
      </c>
      <c r="D1087" s="23" t="s">
        <v>3482</v>
      </c>
      <c r="E1087" s="42">
        <v>46129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42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70">
        <v>46248</v>
      </c>
      <c r="X1087" s="30" t="s">
        <v>55</v>
      </c>
      <c r="Y1087" s="30" t="s">
        <v>56</v>
      </c>
      <c r="Z1087" s="30" t="s">
        <v>57</v>
      </c>
      <c r="AA1087" s="30" t="s">
        <v>58</v>
      </c>
      <c r="AB1087" s="30" t="s">
        <v>56</v>
      </c>
      <c r="AC1087" s="27"/>
      <c r="AD1087" s="31" t="s">
        <v>57</v>
      </c>
      <c r="AE1087" s="32" t="str">
        <f t="shared" si="82"/>
        <v>✓ OK</v>
      </c>
      <c r="AF1087" s="33" t="s">
        <v>61</v>
      </c>
      <c r="AG1087" s="33" t="s">
        <v>55</v>
      </c>
      <c r="AH1087" s="33" t="s">
        <v>56</v>
      </c>
      <c r="AI1087" s="33" t="s">
        <v>57</v>
      </c>
      <c r="AJ1087" s="33" t="s">
        <v>58</v>
      </c>
      <c r="AK1087" s="33" t="s">
        <v>56</v>
      </c>
      <c r="AL1087" s="27"/>
      <c r="AM1087" s="34" t="s">
        <v>57</v>
      </c>
      <c r="AN1087" s="35" t="str">
        <f t="shared" si="83"/>
        <v>✓ OK</v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3499</v>
      </c>
      <c r="C1088" s="41" t="s">
        <v>3500</v>
      </c>
      <c r="D1088" s="39" t="s">
        <v>3482</v>
      </c>
      <c r="E1088" s="42">
        <v>46129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42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70">
        <v>46248</v>
      </c>
      <c r="X1088" s="30" t="s">
        <v>55</v>
      </c>
      <c r="Y1088" s="30" t="s">
        <v>56</v>
      </c>
      <c r="Z1088" s="30" t="s">
        <v>57</v>
      </c>
      <c r="AA1088" s="30" t="s">
        <v>58</v>
      </c>
      <c r="AB1088" s="30" t="s">
        <v>56</v>
      </c>
      <c r="AC1088" s="27"/>
      <c r="AD1088" s="31" t="s">
        <v>57</v>
      </c>
      <c r="AE1088" s="32" t="str">
        <f t="shared" si="82"/>
        <v>✓ OK</v>
      </c>
      <c r="AF1088" s="33" t="s">
        <v>61</v>
      </c>
      <c r="AG1088" s="33" t="s">
        <v>55</v>
      </c>
      <c r="AH1088" s="33" t="s">
        <v>56</v>
      </c>
      <c r="AI1088" s="33" t="s">
        <v>57</v>
      </c>
      <c r="AJ1088" s="33" t="s">
        <v>58</v>
      </c>
      <c r="AK1088" s="33" t="s">
        <v>56</v>
      </c>
      <c r="AL1088" s="27"/>
      <c r="AM1088" s="34" t="s">
        <v>57</v>
      </c>
      <c r="AN1088" s="35" t="str">
        <f t="shared" si="83"/>
        <v>✓ OK</v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3501</v>
      </c>
      <c r="C1089" s="25" t="s">
        <v>3502</v>
      </c>
      <c r="D1089" s="23" t="s">
        <v>3482</v>
      </c>
      <c r="E1089" s="42">
        <v>46129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42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70">
        <v>46248</v>
      </c>
      <c r="X1089" s="30" t="s">
        <v>55</v>
      </c>
      <c r="Y1089" s="30" t="s">
        <v>56</v>
      </c>
      <c r="Z1089" s="30" t="s">
        <v>57</v>
      </c>
      <c r="AA1089" s="30" t="s">
        <v>58</v>
      </c>
      <c r="AB1089" s="30" t="s">
        <v>56</v>
      </c>
      <c r="AC1089" s="27"/>
      <c r="AD1089" s="31" t="s">
        <v>57</v>
      </c>
      <c r="AE1089" s="32" t="str">
        <f t="shared" si="82"/>
        <v>✓ OK</v>
      </c>
      <c r="AF1089" s="33" t="s">
        <v>61</v>
      </c>
      <c r="AG1089" s="33" t="s">
        <v>55</v>
      </c>
      <c r="AH1089" s="33" t="s">
        <v>56</v>
      </c>
      <c r="AI1089" s="33" t="s">
        <v>57</v>
      </c>
      <c r="AJ1089" s="33" t="s">
        <v>58</v>
      </c>
      <c r="AK1089" s="33" t="s">
        <v>56</v>
      </c>
      <c r="AL1089" s="27"/>
      <c r="AM1089" s="34" t="s">
        <v>57</v>
      </c>
      <c r="AN1089" s="35" t="str">
        <f t="shared" si="83"/>
        <v>✓ OK</v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3503</v>
      </c>
      <c r="C1090" s="41" t="s">
        <v>3504</v>
      </c>
      <c r="D1090" s="39" t="s">
        <v>3482</v>
      </c>
      <c r="E1090" s="42">
        <v>46129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42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70">
        <v>46248</v>
      </c>
      <c r="X1090" s="30" t="s">
        <v>55</v>
      </c>
      <c r="Y1090" s="30" t="s">
        <v>56</v>
      </c>
      <c r="Z1090" s="30" t="s">
        <v>57</v>
      </c>
      <c r="AA1090" s="30" t="s">
        <v>58</v>
      </c>
      <c r="AB1090" s="30" t="s">
        <v>56</v>
      </c>
      <c r="AC1090" s="27"/>
      <c r="AD1090" s="31" t="s">
        <v>57</v>
      </c>
      <c r="AE1090" s="32" t="str">
        <f t="shared" si="82"/>
        <v>✓ OK</v>
      </c>
      <c r="AF1090" s="33" t="s">
        <v>61</v>
      </c>
      <c r="AG1090" s="33" t="s">
        <v>55</v>
      </c>
      <c r="AH1090" s="33" t="s">
        <v>56</v>
      </c>
      <c r="AI1090" s="33" t="s">
        <v>57</v>
      </c>
      <c r="AJ1090" s="33" t="s">
        <v>58</v>
      </c>
      <c r="AK1090" s="33" t="s">
        <v>56</v>
      </c>
      <c r="AL1090" s="27"/>
      <c r="AM1090" s="34" t="s">
        <v>57</v>
      </c>
      <c r="AN1090" s="35" t="str">
        <f t="shared" si="83"/>
        <v>✓ OK</v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3505</v>
      </c>
      <c r="C1091" s="25" t="s">
        <v>3506</v>
      </c>
      <c r="D1091" s="23" t="s">
        <v>3482</v>
      </c>
      <c r="E1091" s="42">
        <v>46129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42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70">
        <v>46248</v>
      </c>
      <c r="X1091" s="30" t="s">
        <v>55</v>
      </c>
      <c r="Y1091" s="30" t="s">
        <v>56</v>
      </c>
      <c r="Z1091" s="30" t="s">
        <v>57</v>
      </c>
      <c r="AA1091" s="30" t="s">
        <v>58</v>
      </c>
      <c r="AB1091" s="30" t="s">
        <v>56</v>
      </c>
      <c r="AC1091" s="27"/>
      <c r="AD1091" s="31" t="s">
        <v>57</v>
      </c>
      <c r="AE1091" s="32" t="str">
        <f t="shared" si="82"/>
        <v>✓ OK</v>
      </c>
      <c r="AF1091" s="33" t="s">
        <v>61</v>
      </c>
      <c r="AG1091" s="33" t="s">
        <v>55</v>
      </c>
      <c r="AH1091" s="33" t="s">
        <v>56</v>
      </c>
      <c r="AI1091" s="33" t="s">
        <v>57</v>
      </c>
      <c r="AJ1091" s="33" t="s">
        <v>58</v>
      </c>
      <c r="AK1091" s="33" t="s">
        <v>56</v>
      </c>
      <c r="AL1091" s="27"/>
      <c r="AM1091" s="34" t="s">
        <v>57</v>
      </c>
      <c r="AN1091" s="35" t="str">
        <f t="shared" si="83"/>
        <v>✓ OK</v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3507</v>
      </c>
      <c r="C1092" s="41" t="s">
        <v>3508</v>
      </c>
      <c r="D1092" s="39" t="s">
        <v>3482</v>
      </c>
      <c r="E1092" s="42">
        <v>46129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42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70">
        <v>46248</v>
      </c>
      <c r="X1092" s="30" t="s">
        <v>55</v>
      </c>
      <c r="Y1092" s="30" t="s">
        <v>56</v>
      </c>
      <c r="Z1092" s="30" t="s">
        <v>57</v>
      </c>
      <c r="AA1092" s="30" t="s">
        <v>58</v>
      </c>
      <c r="AB1092" s="30" t="s">
        <v>56</v>
      </c>
      <c r="AC1092" s="27"/>
      <c r="AD1092" s="31" t="s">
        <v>57</v>
      </c>
      <c r="AE1092" s="32" t="str">
        <f t="shared" si="82"/>
        <v>✓ OK</v>
      </c>
      <c r="AF1092" s="33" t="s">
        <v>61</v>
      </c>
      <c r="AG1092" s="33" t="s">
        <v>55</v>
      </c>
      <c r="AH1092" s="33" t="s">
        <v>56</v>
      </c>
      <c r="AI1092" s="33" t="s">
        <v>57</v>
      </c>
      <c r="AJ1092" s="33" t="s">
        <v>58</v>
      </c>
      <c r="AK1092" s="33" t="s">
        <v>56</v>
      </c>
      <c r="AL1092" s="27"/>
      <c r="AM1092" s="34" t="s">
        <v>57</v>
      </c>
      <c r="AN1092" s="35" t="str">
        <f t="shared" si="83"/>
        <v>✓ OK</v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3509</v>
      </c>
      <c r="C1093" s="25" t="s">
        <v>3510</v>
      </c>
      <c r="D1093" s="23" t="s">
        <v>3482</v>
      </c>
      <c r="E1093" s="42">
        <v>46129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42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70">
        <v>46248</v>
      </c>
      <c r="X1093" s="30" t="s">
        <v>55</v>
      </c>
      <c r="Y1093" s="30" t="s">
        <v>56</v>
      </c>
      <c r="Z1093" s="30" t="s">
        <v>57</v>
      </c>
      <c r="AA1093" s="30" t="s">
        <v>58</v>
      </c>
      <c r="AB1093" s="30" t="s">
        <v>56</v>
      </c>
      <c r="AC1093" s="27"/>
      <c r="AD1093" s="31" t="s">
        <v>57</v>
      </c>
      <c r="AE1093" s="32" t="str">
        <f t="shared" ref="AE1093:AE1156" si="87">IF(W1093="","",IF(Z1093="Yes","❌ Disc",IF(Y1093="No","⚠ Missing",IF(AB1093="Yes","✓ OK","⚠ Check"))))</f>
        <v>✓ OK</v>
      </c>
      <c r="AF1093" s="33" t="s">
        <v>61</v>
      </c>
      <c r="AG1093" s="33" t="s">
        <v>55</v>
      </c>
      <c r="AH1093" s="33" t="s">
        <v>56</v>
      </c>
      <c r="AI1093" s="33" t="s">
        <v>57</v>
      </c>
      <c r="AJ1093" s="33" t="s">
        <v>58</v>
      </c>
      <c r="AK1093" s="33" t="s">
        <v>56</v>
      </c>
      <c r="AL1093" s="27"/>
      <c r="AM1093" s="34" t="s">
        <v>57</v>
      </c>
      <c r="AN1093" s="35" t="str">
        <f t="shared" ref="AN1093:AN1156" si="88">IF(AF1093="","",IF(AI1093="Yes","❌ Disc",IF(AH1093="No","⚠ Missing",IF(AK1093="Yes","✓ OK","⚠ Check"))))</f>
        <v>✓ OK</v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3511</v>
      </c>
      <c r="C1094" s="41" t="s">
        <v>3512</v>
      </c>
      <c r="D1094" s="39" t="s">
        <v>3482</v>
      </c>
      <c r="E1094" s="42">
        <v>46129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42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70">
        <v>46248</v>
      </c>
      <c r="X1094" s="30" t="s">
        <v>55</v>
      </c>
      <c r="Y1094" s="30" t="s">
        <v>56</v>
      </c>
      <c r="Z1094" s="30" t="s">
        <v>57</v>
      </c>
      <c r="AA1094" s="30" t="s">
        <v>58</v>
      </c>
      <c r="AB1094" s="30" t="s">
        <v>56</v>
      </c>
      <c r="AC1094" s="27"/>
      <c r="AD1094" s="31" t="s">
        <v>57</v>
      </c>
      <c r="AE1094" s="32" t="str">
        <f t="shared" si="87"/>
        <v>✓ OK</v>
      </c>
      <c r="AF1094" s="33" t="s">
        <v>61</v>
      </c>
      <c r="AG1094" s="33" t="s">
        <v>55</v>
      </c>
      <c r="AH1094" s="33" t="s">
        <v>56</v>
      </c>
      <c r="AI1094" s="33" t="s">
        <v>57</v>
      </c>
      <c r="AJ1094" s="33" t="s">
        <v>58</v>
      </c>
      <c r="AK1094" s="33" t="s">
        <v>56</v>
      </c>
      <c r="AL1094" s="27"/>
      <c r="AM1094" s="34" t="s">
        <v>57</v>
      </c>
      <c r="AN1094" s="35" t="str">
        <f t="shared" si="88"/>
        <v>✓ OK</v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3513</v>
      </c>
      <c r="C1095" s="25" t="s">
        <v>3514</v>
      </c>
      <c r="D1095" s="23" t="s">
        <v>3482</v>
      </c>
      <c r="E1095" s="42">
        <v>46129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42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70">
        <v>46248</v>
      </c>
      <c r="X1095" s="30" t="s">
        <v>55</v>
      </c>
      <c r="Y1095" s="30" t="s">
        <v>56</v>
      </c>
      <c r="Z1095" s="30" t="s">
        <v>57</v>
      </c>
      <c r="AA1095" s="30" t="s">
        <v>58</v>
      </c>
      <c r="AB1095" s="30" t="s">
        <v>56</v>
      </c>
      <c r="AC1095" s="27"/>
      <c r="AD1095" s="31" t="s">
        <v>57</v>
      </c>
      <c r="AE1095" s="32" t="str">
        <f t="shared" si="87"/>
        <v>✓ OK</v>
      </c>
      <c r="AF1095" s="33" t="s">
        <v>61</v>
      </c>
      <c r="AG1095" s="33" t="s">
        <v>55</v>
      </c>
      <c r="AH1095" s="33" t="s">
        <v>56</v>
      </c>
      <c r="AI1095" s="33" t="s">
        <v>57</v>
      </c>
      <c r="AJ1095" s="33" t="s">
        <v>58</v>
      </c>
      <c r="AK1095" s="33" t="s">
        <v>56</v>
      </c>
      <c r="AL1095" s="27"/>
      <c r="AM1095" s="34" t="s">
        <v>57</v>
      </c>
      <c r="AN1095" s="35" t="str">
        <f t="shared" si="88"/>
        <v>✓ OK</v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3515</v>
      </c>
      <c r="C1096" s="41" t="s">
        <v>3516</v>
      </c>
      <c r="D1096" s="39" t="s">
        <v>3482</v>
      </c>
      <c r="E1096" s="42">
        <v>46129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42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70">
        <v>46248</v>
      </c>
      <c r="X1096" s="30" t="s">
        <v>55</v>
      </c>
      <c r="Y1096" s="30" t="s">
        <v>56</v>
      </c>
      <c r="Z1096" s="30" t="s">
        <v>57</v>
      </c>
      <c r="AA1096" s="30" t="s">
        <v>58</v>
      </c>
      <c r="AB1096" s="30" t="s">
        <v>56</v>
      </c>
      <c r="AC1096" s="27"/>
      <c r="AD1096" s="31" t="s">
        <v>57</v>
      </c>
      <c r="AE1096" s="32" t="str">
        <f t="shared" si="87"/>
        <v>✓ OK</v>
      </c>
      <c r="AF1096" s="33" t="s">
        <v>61</v>
      </c>
      <c r="AG1096" s="33" t="s">
        <v>55</v>
      </c>
      <c r="AH1096" s="33" t="s">
        <v>56</v>
      </c>
      <c r="AI1096" s="33" t="s">
        <v>57</v>
      </c>
      <c r="AJ1096" s="33" t="s">
        <v>58</v>
      </c>
      <c r="AK1096" s="33" t="s">
        <v>56</v>
      </c>
      <c r="AL1096" s="27"/>
      <c r="AM1096" s="34" t="s">
        <v>57</v>
      </c>
      <c r="AN1096" s="35" t="str">
        <f t="shared" si="88"/>
        <v>✓ OK</v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3517</v>
      </c>
      <c r="C1097" s="25" t="s">
        <v>3518</v>
      </c>
      <c r="D1097" s="23" t="s">
        <v>3482</v>
      </c>
      <c r="E1097" s="42">
        <v>46129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42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70">
        <v>46248</v>
      </c>
      <c r="X1097" s="30" t="s">
        <v>55</v>
      </c>
      <c r="Y1097" s="30" t="s">
        <v>56</v>
      </c>
      <c r="Z1097" s="30" t="s">
        <v>57</v>
      </c>
      <c r="AA1097" s="30" t="s">
        <v>58</v>
      </c>
      <c r="AB1097" s="30" t="s">
        <v>56</v>
      </c>
      <c r="AC1097" s="27"/>
      <c r="AD1097" s="31" t="s">
        <v>57</v>
      </c>
      <c r="AE1097" s="32" t="str">
        <f t="shared" si="87"/>
        <v>✓ OK</v>
      </c>
      <c r="AF1097" s="33" t="s">
        <v>61</v>
      </c>
      <c r="AG1097" s="33" t="s">
        <v>55</v>
      </c>
      <c r="AH1097" s="33" t="s">
        <v>56</v>
      </c>
      <c r="AI1097" s="33" t="s">
        <v>57</v>
      </c>
      <c r="AJ1097" s="33" t="s">
        <v>58</v>
      </c>
      <c r="AK1097" s="33" t="s">
        <v>56</v>
      </c>
      <c r="AL1097" s="27"/>
      <c r="AM1097" s="34" t="s">
        <v>57</v>
      </c>
      <c r="AN1097" s="35" t="str">
        <f t="shared" si="88"/>
        <v>✓ OK</v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3519</v>
      </c>
      <c r="C1098" s="41" t="s">
        <v>3520</v>
      </c>
      <c r="D1098" s="39" t="s">
        <v>3482</v>
      </c>
      <c r="E1098" s="42">
        <v>46129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42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70">
        <v>46248</v>
      </c>
      <c r="X1098" s="30" t="s">
        <v>55</v>
      </c>
      <c r="Y1098" s="30" t="s">
        <v>56</v>
      </c>
      <c r="Z1098" s="30" t="s">
        <v>57</v>
      </c>
      <c r="AA1098" s="30" t="s">
        <v>58</v>
      </c>
      <c r="AB1098" s="30" t="s">
        <v>56</v>
      </c>
      <c r="AC1098" s="27"/>
      <c r="AD1098" s="31" t="s">
        <v>57</v>
      </c>
      <c r="AE1098" s="32" t="str">
        <f t="shared" si="87"/>
        <v>✓ OK</v>
      </c>
      <c r="AF1098" s="33" t="s">
        <v>61</v>
      </c>
      <c r="AG1098" s="33" t="s">
        <v>55</v>
      </c>
      <c r="AH1098" s="33" t="s">
        <v>56</v>
      </c>
      <c r="AI1098" s="33" t="s">
        <v>57</v>
      </c>
      <c r="AJ1098" s="33" t="s">
        <v>58</v>
      </c>
      <c r="AK1098" s="33" t="s">
        <v>56</v>
      </c>
      <c r="AL1098" s="27"/>
      <c r="AM1098" s="34" t="s">
        <v>57</v>
      </c>
      <c r="AN1098" s="35" t="str">
        <f t="shared" si="88"/>
        <v>✓ OK</v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3521</v>
      </c>
      <c r="C1099" s="25" t="s">
        <v>3522</v>
      </c>
      <c r="D1099" s="23" t="s">
        <v>3482</v>
      </c>
      <c r="E1099" s="42">
        <v>46129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42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70">
        <v>46248</v>
      </c>
      <c r="X1099" s="30" t="s">
        <v>55</v>
      </c>
      <c r="Y1099" s="30" t="s">
        <v>56</v>
      </c>
      <c r="Z1099" s="30" t="s">
        <v>57</v>
      </c>
      <c r="AA1099" s="30" t="s">
        <v>58</v>
      </c>
      <c r="AB1099" s="30" t="s">
        <v>56</v>
      </c>
      <c r="AC1099" s="27"/>
      <c r="AD1099" s="31" t="s">
        <v>57</v>
      </c>
      <c r="AE1099" s="32" t="str">
        <f t="shared" si="87"/>
        <v>✓ OK</v>
      </c>
      <c r="AF1099" s="33" t="s">
        <v>61</v>
      </c>
      <c r="AG1099" s="33" t="s">
        <v>55</v>
      </c>
      <c r="AH1099" s="33" t="s">
        <v>56</v>
      </c>
      <c r="AI1099" s="33" t="s">
        <v>57</v>
      </c>
      <c r="AJ1099" s="33" t="s">
        <v>58</v>
      </c>
      <c r="AK1099" s="33" t="s">
        <v>56</v>
      </c>
      <c r="AL1099" s="27"/>
      <c r="AM1099" s="34" t="s">
        <v>57</v>
      </c>
      <c r="AN1099" s="35" t="str">
        <f t="shared" si="88"/>
        <v>✓ OK</v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3523</v>
      </c>
      <c r="C1100" s="41" t="s">
        <v>3524</v>
      </c>
      <c r="D1100" s="39" t="s">
        <v>3482</v>
      </c>
      <c r="E1100" s="42">
        <v>46129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42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70">
        <v>46248</v>
      </c>
      <c r="X1100" s="30" t="s">
        <v>55</v>
      </c>
      <c r="Y1100" s="30" t="s">
        <v>56</v>
      </c>
      <c r="Z1100" s="30" t="s">
        <v>57</v>
      </c>
      <c r="AA1100" s="30" t="s">
        <v>58</v>
      </c>
      <c r="AB1100" s="30" t="s">
        <v>56</v>
      </c>
      <c r="AC1100" s="27"/>
      <c r="AD1100" s="31" t="s">
        <v>57</v>
      </c>
      <c r="AE1100" s="32" t="str">
        <f t="shared" si="87"/>
        <v>✓ OK</v>
      </c>
      <c r="AF1100" s="33" t="s">
        <v>61</v>
      </c>
      <c r="AG1100" s="33" t="s">
        <v>55</v>
      </c>
      <c r="AH1100" s="33" t="s">
        <v>56</v>
      </c>
      <c r="AI1100" s="33" t="s">
        <v>57</v>
      </c>
      <c r="AJ1100" s="33" t="s">
        <v>58</v>
      </c>
      <c r="AK1100" s="33" t="s">
        <v>56</v>
      </c>
      <c r="AL1100" s="27"/>
      <c r="AM1100" s="34" t="s">
        <v>57</v>
      </c>
      <c r="AN1100" s="35" t="str">
        <f t="shared" si="88"/>
        <v>✓ OK</v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3525</v>
      </c>
      <c r="C1101" s="25" t="s">
        <v>3526</v>
      </c>
      <c r="D1101" s="23" t="s">
        <v>3482</v>
      </c>
      <c r="E1101" s="42">
        <v>46129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42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70">
        <v>46248</v>
      </c>
      <c r="X1101" s="30" t="s">
        <v>55</v>
      </c>
      <c r="Y1101" s="30" t="s">
        <v>56</v>
      </c>
      <c r="Z1101" s="30" t="s">
        <v>57</v>
      </c>
      <c r="AA1101" s="30" t="s">
        <v>58</v>
      </c>
      <c r="AB1101" s="30" t="s">
        <v>56</v>
      </c>
      <c r="AC1101" s="27"/>
      <c r="AD1101" s="31" t="s">
        <v>57</v>
      </c>
      <c r="AE1101" s="32" t="str">
        <f t="shared" si="87"/>
        <v>✓ OK</v>
      </c>
      <c r="AF1101" s="33" t="s">
        <v>61</v>
      </c>
      <c r="AG1101" s="33" t="s">
        <v>55</v>
      </c>
      <c r="AH1101" s="33" t="s">
        <v>56</v>
      </c>
      <c r="AI1101" s="33" t="s">
        <v>57</v>
      </c>
      <c r="AJ1101" s="33" t="s">
        <v>58</v>
      </c>
      <c r="AK1101" s="33" t="s">
        <v>56</v>
      </c>
      <c r="AL1101" s="27"/>
      <c r="AM1101" s="34" t="s">
        <v>57</v>
      </c>
      <c r="AN1101" s="35" t="str">
        <f t="shared" si="88"/>
        <v>✓ OK</v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3527</v>
      </c>
      <c r="C1102" s="41" t="s">
        <v>3528</v>
      </c>
      <c r="D1102" s="39" t="s">
        <v>3482</v>
      </c>
      <c r="E1102" s="42">
        <v>46129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42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70">
        <v>46248</v>
      </c>
      <c r="X1102" s="30" t="s">
        <v>55</v>
      </c>
      <c r="Y1102" s="30" t="s">
        <v>56</v>
      </c>
      <c r="Z1102" s="30" t="s">
        <v>57</v>
      </c>
      <c r="AA1102" s="30" t="s">
        <v>58</v>
      </c>
      <c r="AB1102" s="30" t="s">
        <v>56</v>
      </c>
      <c r="AC1102" s="27"/>
      <c r="AD1102" s="31" t="s">
        <v>57</v>
      </c>
      <c r="AE1102" s="32" t="str">
        <f t="shared" si="87"/>
        <v>✓ OK</v>
      </c>
      <c r="AF1102" s="33" t="s">
        <v>61</v>
      </c>
      <c r="AG1102" s="33" t="s">
        <v>55</v>
      </c>
      <c r="AH1102" s="33" t="s">
        <v>56</v>
      </c>
      <c r="AI1102" s="33" t="s">
        <v>57</v>
      </c>
      <c r="AJ1102" s="33" t="s">
        <v>58</v>
      </c>
      <c r="AK1102" s="33" t="s">
        <v>56</v>
      </c>
      <c r="AL1102" s="27"/>
      <c r="AM1102" s="34" t="s">
        <v>57</v>
      </c>
      <c r="AN1102" s="35" t="str">
        <f t="shared" si="88"/>
        <v>✓ OK</v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3529</v>
      </c>
      <c r="C1103" s="25" t="s">
        <v>3530</v>
      </c>
      <c r="D1103" s="23" t="s">
        <v>3482</v>
      </c>
      <c r="E1103" s="42">
        <v>46129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42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70">
        <v>46248</v>
      </c>
      <c r="X1103" s="30" t="s">
        <v>55</v>
      </c>
      <c r="Y1103" s="30" t="s">
        <v>56</v>
      </c>
      <c r="Z1103" s="30" t="s">
        <v>57</v>
      </c>
      <c r="AA1103" s="30" t="s">
        <v>58</v>
      </c>
      <c r="AB1103" s="30" t="s">
        <v>56</v>
      </c>
      <c r="AC1103" s="27"/>
      <c r="AD1103" s="31" t="s">
        <v>57</v>
      </c>
      <c r="AE1103" s="32" t="str">
        <f t="shared" si="87"/>
        <v>✓ OK</v>
      </c>
      <c r="AF1103" s="33" t="s">
        <v>61</v>
      </c>
      <c r="AG1103" s="33" t="s">
        <v>55</v>
      </c>
      <c r="AH1103" s="33" t="s">
        <v>56</v>
      </c>
      <c r="AI1103" s="33" t="s">
        <v>57</v>
      </c>
      <c r="AJ1103" s="33" t="s">
        <v>58</v>
      </c>
      <c r="AK1103" s="33" t="s">
        <v>56</v>
      </c>
      <c r="AL1103" s="27"/>
      <c r="AM1103" s="34" t="s">
        <v>57</v>
      </c>
      <c r="AN1103" s="35" t="str">
        <f t="shared" si="88"/>
        <v>✓ OK</v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3531</v>
      </c>
      <c r="C1104" s="41" t="s">
        <v>3532</v>
      </c>
      <c r="D1104" s="39" t="s">
        <v>3482</v>
      </c>
      <c r="E1104" s="42">
        <v>46129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42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70">
        <v>46248</v>
      </c>
      <c r="X1104" s="30" t="s">
        <v>55</v>
      </c>
      <c r="Y1104" s="30" t="s">
        <v>56</v>
      </c>
      <c r="Z1104" s="30" t="s">
        <v>57</v>
      </c>
      <c r="AA1104" s="30" t="s">
        <v>58</v>
      </c>
      <c r="AB1104" s="30" t="s">
        <v>56</v>
      </c>
      <c r="AC1104" s="27"/>
      <c r="AD1104" s="31" t="s">
        <v>57</v>
      </c>
      <c r="AE1104" s="32" t="str">
        <f t="shared" si="87"/>
        <v>✓ OK</v>
      </c>
      <c r="AF1104" s="33" t="s">
        <v>61</v>
      </c>
      <c r="AG1104" s="33" t="s">
        <v>55</v>
      </c>
      <c r="AH1104" s="33" t="s">
        <v>56</v>
      </c>
      <c r="AI1104" s="33" t="s">
        <v>57</v>
      </c>
      <c r="AJ1104" s="33" t="s">
        <v>58</v>
      </c>
      <c r="AK1104" s="33" t="s">
        <v>56</v>
      </c>
      <c r="AL1104" s="27"/>
      <c r="AM1104" s="34" t="s">
        <v>57</v>
      </c>
      <c r="AN1104" s="35" t="str">
        <f t="shared" si="88"/>
        <v>✓ OK</v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3533</v>
      </c>
      <c r="C1105" s="25" t="s">
        <v>3534</v>
      </c>
      <c r="D1105" s="23" t="s">
        <v>3482</v>
      </c>
      <c r="E1105" s="42">
        <v>46129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42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70">
        <v>46248</v>
      </c>
      <c r="X1105" s="30" t="s">
        <v>55</v>
      </c>
      <c r="Y1105" s="30" t="s">
        <v>56</v>
      </c>
      <c r="Z1105" s="30" t="s">
        <v>57</v>
      </c>
      <c r="AA1105" s="30" t="s">
        <v>58</v>
      </c>
      <c r="AB1105" s="30" t="s">
        <v>56</v>
      </c>
      <c r="AC1105" s="27"/>
      <c r="AD1105" s="31" t="s">
        <v>57</v>
      </c>
      <c r="AE1105" s="32" t="str">
        <f t="shared" si="87"/>
        <v>✓ OK</v>
      </c>
      <c r="AF1105" s="33" t="s">
        <v>61</v>
      </c>
      <c r="AG1105" s="33" t="s">
        <v>55</v>
      </c>
      <c r="AH1105" s="33" t="s">
        <v>56</v>
      </c>
      <c r="AI1105" s="33" t="s">
        <v>57</v>
      </c>
      <c r="AJ1105" s="33" t="s">
        <v>58</v>
      </c>
      <c r="AK1105" s="33" t="s">
        <v>56</v>
      </c>
      <c r="AL1105" s="27"/>
      <c r="AM1105" s="34" t="s">
        <v>57</v>
      </c>
      <c r="AN1105" s="35" t="str">
        <f t="shared" si="88"/>
        <v>✓ OK</v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3535</v>
      </c>
      <c r="C1106" s="41" t="s">
        <v>3536</v>
      </c>
      <c r="D1106" s="39" t="s">
        <v>3482</v>
      </c>
      <c r="E1106" s="42">
        <v>46129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42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70">
        <v>46248</v>
      </c>
      <c r="X1106" s="30" t="s">
        <v>55</v>
      </c>
      <c r="Y1106" s="30" t="s">
        <v>56</v>
      </c>
      <c r="Z1106" s="30" t="s">
        <v>57</v>
      </c>
      <c r="AA1106" s="30" t="s">
        <v>58</v>
      </c>
      <c r="AB1106" s="30" t="s">
        <v>56</v>
      </c>
      <c r="AC1106" s="27"/>
      <c r="AD1106" s="31" t="s">
        <v>57</v>
      </c>
      <c r="AE1106" s="32" t="str">
        <f t="shared" si="87"/>
        <v>✓ OK</v>
      </c>
      <c r="AF1106" s="33" t="s">
        <v>61</v>
      </c>
      <c r="AG1106" s="33" t="s">
        <v>55</v>
      </c>
      <c r="AH1106" s="33" t="s">
        <v>56</v>
      </c>
      <c r="AI1106" s="33" t="s">
        <v>57</v>
      </c>
      <c r="AJ1106" s="33" t="s">
        <v>58</v>
      </c>
      <c r="AK1106" s="33" t="s">
        <v>56</v>
      </c>
      <c r="AL1106" s="27"/>
      <c r="AM1106" s="34" t="s">
        <v>57</v>
      </c>
      <c r="AN1106" s="35" t="str">
        <f t="shared" si="88"/>
        <v>✓ OK</v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3537</v>
      </c>
      <c r="C1107" s="25" t="s">
        <v>3538</v>
      </c>
      <c r="D1107" s="23" t="s">
        <v>3482</v>
      </c>
      <c r="E1107" s="42">
        <v>46129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42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70">
        <v>46248</v>
      </c>
      <c r="X1107" s="30" t="s">
        <v>55</v>
      </c>
      <c r="Y1107" s="30" t="s">
        <v>56</v>
      </c>
      <c r="Z1107" s="30" t="s">
        <v>57</v>
      </c>
      <c r="AA1107" s="30" t="s">
        <v>58</v>
      </c>
      <c r="AB1107" s="30" t="s">
        <v>56</v>
      </c>
      <c r="AC1107" s="27"/>
      <c r="AD1107" s="31" t="s">
        <v>57</v>
      </c>
      <c r="AE1107" s="32" t="str">
        <f t="shared" si="87"/>
        <v>✓ OK</v>
      </c>
      <c r="AF1107" s="33" t="s">
        <v>61</v>
      </c>
      <c r="AG1107" s="33" t="s">
        <v>55</v>
      </c>
      <c r="AH1107" s="33" t="s">
        <v>56</v>
      </c>
      <c r="AI1107" s="33" t="s">
        <v>57</v>
      </c>
      <c r="AJ1107" s="33" t="s">
        <v>58</v>
      </c>
      <c r="AK1107" s="33" t="s">
        <v>56</v>
      </c>
      <c r="AL1107" s="27"/>
      <c r="AM1107" s="34" t="s">
        <v>57</v>
      </c>
      <c r="AN1107" s="35" t="str">
        <f t="shared" si="88"/>
        <v>✓ OK</v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3539</v>
      </c>
      <c r="C1108" s="41" t="s">
        <v>3540</v>
      </c>
      <c r="D1108" s="39" t="s">
        <v>3482</v>
      </c>
      <c r="E1108" s="42">
        <v>46129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42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70">
        <v>46248</v>
      </c>
      <c r="X1108" s="30" t="s">
        <v>55</v>
      </c>
      <c r="Y1108" s="30" t="s">
        <v>56</v>
      </c>
      <c r="Z1108" s="30" t="s">
        <v>57</v>
      </c>
      <c r="AA1108" s="30" t="s">
        <v>58</v>
      </c>
      <c r="AB1108" s="30" t="s">
        <v>56</v>
      </c>
      <c r="AC1108" s="27"/>
      <c r="AD1108" s="31" t="s">
        <v>57</v>
      </c>
      <c r="AE1108" s="32" t="str">
        <f t="shared" si="87"/>
        <v>✓ OK</v>
      </c>
      <c r="AF1108" s="33" t="s">
        <v>61</v>
      </c>
      <c r="AG1108" s="33" t="s">
        <v>55</v>
      </c>
      <c r="AH1108" s="33" t="s">
        <v>56</v>
      </c>
      <c r="AI1108" s="33" t="s">
        <v>57</v>
      </c>
      <c r="AJ1108" s="33" t="s">
        <v>58</v>
      </c>
      <c r="AK1108" s="33" t="s">
        <v>56</v>
      </c>
      <c r="AL1108" s="27"/>
      <c r="AM1108" s="34" t="s">
        <v>57</v>
      </c>
      <c r="AN1108" s="35" t="str">
        <f t="shared" si="88"/>
        <v>✓ OK</v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3541</v>
      </c>
      <c r="C1109" s="25" t="s">
        <v>3542</v>
      </c>
      <c r="D1109" s="23" t="s">
        <v>3482</v>
      </c>
      <c r="E1109" s="42">
        <v>46129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42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70">
        <v>46248</v>
      </c>
      <c r="X1109" s="30" t="s">
        <v>55</v>
      </c>
      <c r="Y1109" s="30" t="s">
        <v>56</v>
      </c>
      <c r="Z1109" s="30" t="s">
        <v>57</v>
      </c>
      <c r="AA1109" s="30" t="s">
        <v>58</v>
      </c>
      <c r="AB1109" s="30" t="s">
        <v>56</v>
      </c>
      <c r="AC1109" s="27"/>
      <c r="AD1109" s="31" t="s">
        <v>57</v>
      </c>
      <c r="AE1109" s="32" t="str">
        <f t="shared" si="87"/>
        <v>✓ OK</v>
      </c>
      <c r="AF1109" s="33" t="s">
        <v>61</v>
      </c>
      <c r="AG1109" s="33" t="s">
        <v>55</v>
      </c>
      <c r="AH1109" s="33" t="s">
        <v>56</v>
      </c>
      <c r="AI1109" s="33" t="s">
        <v>57</v>
      </c>
      <c r="AJ1109" s="33" t="s">
        <v>58</v>
      </c>
      <c r="AK1109" s="33" t="s">
        <v>56</v>
      </c>
      <c r="AL1109" s="27"/>
      <c r="AM1109" s="34" t="s">
        <v>57</v>
      </c>
      <c r="AN1109" s="35" t="str">
        <f t="shared" si="88"/>
        <v>✓ OK</v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3543</v>
      </c>
      <c r="C1110" s="41" t="s">
        <v>3544</v>
      </c>
      <c r="D1110" s="39" t="s">
        <v>3482</v>
      </c>
      <c r="E1110" s="42">
        <v>46129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42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70">
        <v>46248</v>
      </c>
      <c r="X1110" s="30" t="s">
        <v>55</v>
      </c>
      <c r="Y1110" s="30" t="s">
        <v>56</v>
      </c>
      <c r="Z1110" s="30" t="s">
        <v>57</v>
      </c>
      <c r="AA1110" s="30" t="s">
        <v>58</v>
      </c>
      <c r="AB1110" s="30" t="s">
        <v>56</v>
      </c>
      <c r="AC1110" s="27"/>
      <c r="AD1110" s="31" t="s">
        <v>57</v>
      </c>
      <c r="AE1110" s="32" t="str">
        <f t="shared" si="87"/>
        <v>✓ OK</v>
      </c>
      <c r="AF1110" s="33" t="s">
        <v>61</v>
      </c>
      <c r="AG1110" s="33" t="s">
        <v>55</v>
      </c>
      <c r="AH1110" s="33" t="s">
        <v>56</v>
      </c>
      <c r="AI1110" s="33" t="s">
        <v>57</v>
      </c>
      <c r="AJ1110" s="33" t="s">
        <v>58</v>
      </c>
      <c r="AK1110" s="33" t="s">
        <v>56</v>
      </c>
      <c r="AL1110" s="27"/>
      <c r="AM1110" s="34" t="s">
        <v>57</v>
      </c>
      <c r="AN1110" s="35" t="str">
        <f t="shared" si="88"/>
        <v>✓ OK</v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3545</v>
      </c>
      <c r="C1111" s="25" t="s">
        <v>3546</v>
      </c>
      <c r="D1111" s="23" t="s">
        <v>3482</v>
      </c>
      <c r="E1111" s="42">
        <v>46129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42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70">
        <v>46248</v>
      </c>
      <c r="X1111" s="30" t="s">
        <v>55</v>
      </c>
      <c r="Y1111" s="30" t="s">
        <v>56</v>
      </c>
      <c r="Z1111" s="30" t="s">
        <v>57</v>
      </c>
      <c r="AA1111" s="30" t="s">
        <v>58</v>
      </c>
      <c r="AB1111" s="30" t="s">
        <v>56</v>
      </c>
      <c r="AC1111" s="27"/>
      <c r="AD1111" s="31" t="s">
        <v>57</v>
      </c>
      <c r="AE1111" s="32" t="str">
        <f t="shared" si="87"/>
        <v>✓ OK</v>
      </c>
      <c r="AF1111" s="33" t="s">
        <v>61</v>
      </c>
      <c r="AG1111" s="33" t="s">
        <v>55</v>
      </c>
      <c r="AH1111" s="33" t="s">
        <v>56</v>
      </c>
      <c r="AI1111" s="33" t="s">
        <v>57</v>
      </c>
      <c r="AJ1111" s="33" t="s">
        <v>58</v>
      </c>
      <c r="AK1111" s="33" t="s">
        <v>56</v>
      </c>
      <c r="AL1111" s="27"/>
      <c r="AM1111" s="34" t="s">
        <v>57</v>
      </c>
      <c r="AN1111" s="35" t="str">
        <f t="shared" si="88"/>
        <v>✓ OK</v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3547</v>
      </c>
      <c r="C1112" s="41" t="s">
        <v>3548</v>
      </c>
      <c r="D1112" s="39" t="s">
        <v>3482</v>
      </c>
      <c r="E1112" s="42">
        <v>46129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42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70">
        <v>46248</v>
      </c>
      <c r="X1112" s="30" t="s">
        <v>55</v>
      </c>
      <c r="Y1112" s="30" t="s">
        <v>56</v>
      </c>
      <c r="Z1112" s="30" t="s">
        <v>57</v>
      </c>
      <c r="AA1112" s="30" t="s">
        <v>58</v>
      </c>
      <c r="AB1112" s="30" t="s">
        <v>56</v>
      </c>
      <c r="AC1112" s="27"/>
      <c r="AD1112" s="31" t="s">
        <v>57</v>
      </c>
      <c r="AE1112" s="32" t="str">
        <f t="shared" si="87"/>
        <v>✓ OK</v>
      </c>
      <c r="AF1112" s="33" t="s">
        <v>61</v>
      </c>
      <c r="AG1112" s="33" t="s">
        <v>55</v>
      </c>
      <c r="AH1112" s="33" t="s">
        <v>56</v>
      </c>
      <c r="AI1112" s="33" t="s">
        <v>57</v>
      </c>
      <c r="AJ1112" s="33" t="s">
        <v>58</v>
      </c>
      <c r="AK1112" s="33" t="s">
        <v>56</v>
      </c>
      <c r="AL1112" s="27"/>
      <c r="AM1112" s="34" t="s">
        <v>57</v>
      </c>
      <c r="AN1112" s="35" t="str">
        <f t="shared" si="88"/>
        <v>✓ OK</v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3549</v>
      </c>
      <c r="C1113" s="25" t="s">
        <v>3550</v>
      </c>
      <c r="D1113" s="23" t="s">
        <v>3482</v>
      </c>
      <c r="E1113" s="42">
        <v>46129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42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70">
        <v>46248</v>
      </c>
      <c r="X1113" s="30" t="s">
        <v>55</v>
      </c>
      <c r="Y1113" s="30" t="s">
        <v>56</v>
      </c>
      <c r="Z1113" s="30" t="s">
        <v>57</v>
      </c>
      <c r="AA1113" s="30" t="s">
        <v>58</v>
      </c>
      <c r="AB1113" s="30" t="s">
        <v>56</v>
      </c>
      <c r="AC1113" s="27"/>
      <c r="AD1113" s="31" t="s">
        <v>57</v>
      </c>
      <c r="AE1113" s="32" t="str">
        <f t="shared" si="87"/>
        <v>✓ OK</v>
      </c>
      <c r="AF1113" s="33" t="s">
        <v>61</v>
      </c>
      <c r="AG1113" s="33" t="s">
        <v>55</v>
      </c>
      <c r="AH1113" s="33" t="s">
        <v>56</v>
      </c>
      <c r="AI1113" s="33" t="s">
        <v>57</v>
      </c>
      <c r="AJ1113" s="33" t="s">
        <v>58</v>
      </c>
      <c r="AK1113" s="33" t="s">
        <v>56</v>
      </c>
      <c r="AL1113" s="27"/>
      <c r="AM1113" s="34" t="s">
        <v>57</v>
      </c>
      <c r="AN1113" s="35" t="str">
        <f t="shared" si="88"/>
        <v>✓ OK</v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3551</v>
      </c>
      <c r="C1114" s="41" t="s">
        <v>3552</v>
      </c>
      <c r="D1114" s="39" t="s">
        <v>3482</v>
      </c>
      <c r="E1114" s="42">
        <v>46129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42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70">
        <v>46248</v>
      </c>
      <c r="X1114" s="30" t="s">
        <v>55</v>
      </c>
      <c r="Y1114" s="30" t="s">
        <v>56</v>
      </c>
      <c r="Z1114" s="30" t="s">
        <v>57</v>
      </c>
      <c r="AA1114" s="30" t="s">
        <v>58</v>
      </c>
      <c r="AB1114" s="30" t="s">
        <v>56</v>
      </c>
      <c r="AC1114" s="27"/>
      <c r="AD1114" s="31" t="s">
        <v>57</v>
      </c>
      <c r="AE1114" s="32" t="str">
        <f t="shared" si="87"/>
        <v>✓ OK</v>
      </c>
      <c r="AF1114" s="33" t="s">
        <v>61</v>
      </c>
      <c r="AG1114" s="33" t="s">
        <v>55</v>
      </c>
      <c r="AH1114" s="33" t="s">
        <v>56</v>
      </c>
      <c r="AI1114" s="33" t="s">
        <v>57</v>
      </c>
      <c r="AJ1114" s="33" t="s">
        <v>58</v>
      </c>
      <c r="AK1114" s="33" t="s">
        <v>56</v>
      </c>
      <c r="AL1114" s="27"/>
      <c r="AM1114" s="34" t="s">
        <v>57</v>
      </c>
      <c r="AN1114" s="35" t="str">
        <f t="shared" si="88"/>
        <v>✓ OK</v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3553</v>
      </c>
      <c r="C1115" s="25" t="s">
        <v>3554</v>
      </c>
      <c r="D1115" s="23" t="s">
        <v>3482</v>
      </c>
      <c r="E1115" s="42">
        <v>46129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42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70">
        <v>46248</v>
      </c>
      <c r="X1115" s="30" t="s">
        <v>55</v>
      </c>
      <c r="Y1115" s="30" t="s">
        <v>56</v>
      </c>
      <c r="Z1115" s="30" t="s">
        <v>57</v>
      </c>
      <c r="AA1115" s="30" t="s">
        <v>58</v>
      </c>
      <c r="AB1115" s="30" t="s">
        <v>56</v>
      </c>
      <c r="AC1115" s="27"/>
      <c r="AD1115" s="31" t="s">
        <v>57</v>
      </c>
      <c r="AE1115" s="32" t="str">
        <f t="shared" si="87"/>
        <v>✓ OK</v>
      </c>
      <c r="AF1115" s="33" t="s">
        <v>61</v>
      </c>
      <c r="AG1115" s="33" t="s">
        <v>55</v>
      </c>
      <c r="AH1115" s="33" t="s">
        <v>56</v>
      </c>
      <c r="AI1115" s="33" t="s">
        <v>57</v>
      </c>
      <c r="AJ1115" s="33" t="s">
        <v>58</v>
      </c>
      <c r="AK1115" s="33" t="s">
        <v>56</v>
      </c>
      <c r="AL1115" s="27"/>
      <c r="AM1115" s="34" t="s">
        <v>57</v>
      </c>
      <c r="AN1115" s="35" t="str">
        <f t="shared" si="88"/>
        <v>✓ OK</v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3555</v>
      </c>
      <c r="C1116" s="41" t="s">
        <v>3556</v>
      </c>
      <c r="D1116" s="39" t="s">
        <v>3482</v>
      </c>
      <c r="E1116" s="42">
        <v>46129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42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70">
        <v>46248</v>
      </c>
      <c r="X1116" s="30" t="s">
        <v>55</v>
      </c>
      <c r="Y1116" s="30" t="s">
        <v>56</v>
      </c>
      <c r="Z1116" s="30" t="s">
        <v>57</v>
      </c>
      <c r="AA1116" s="30" t="s">
        <v>58</v>
      </c>
      <c r="AB1116" s="30" t="s">
        <v>56</v>
      </c>
      <c r="AC1116" s="27"/>
      <c r="AD1116" s="31" t="s">
        <v>57</v>
      </c>
      <c r="AE1116" s="32" t="str">
        <f t="shared" si="87"/>
        <v>✓ OK</v>
      </c>
      <c r="AF1116" s="33" t="s">
        <v>61</v>
      </c>
      <c r="AG1116" s="33" t="s">
        <v>55</v>
      </c>
      <c r="AH1116" s="33" t="s">
        <v>56</v>
      </c>
      <c r="AI1116" s="33" t="s">
        <v>57</v>
      </c>
      <c r="AJ1116" s="33" t="s">
        <v>58</v>
      </c>
      <c r="AK1116" s="33" t="s">
        <v>56</v>
      </c>
      <c r="AL1116" s="27"/>
      <c r="AM1116" s="34" t="s">
        <v>57</v>
      </c>
      <c r="AN1116" s="35" t="str">
        <f t="shared" si="88"/>
        <v>✓ OK</v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3557</v>
      </c>
      <c r="C1117" s="25" t="s">
        <v>3558</v>
      </c>
      <c r="D1117" s="23" t="s">
        <v>3482</v>
      </c>
      <c r="E1117" s="42">
        <v>46129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42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70">
        <v>46248</v>
      </c>
      <c r="X1117" s="30" t="s">
        <v>55</v>
      </c>
      <c r="Y1117" s="30" t="s">
        <v>56</v>
      </c>
      <c r="Z1117" s="30" t="s">
        <v>57</v>
      </c>
      <c r="AA1117" s="30" t="s">
        <v>58</v>
      </c>
      <c r="AB1117" s="30" t="s">
        <v>56</v>
      </c>
      <c r="AC1117" s="27"/>
      <c r="AD1117" s="31" t="s">
        <v>57</v>
      </c>
      <c r="AE1117" s="32" t="str">
        <f t="shared" si="87"/>
        <v>✓ OK</v>
      </c>
      <c r="AF1117" s="33" t="s">
        <v>61</v>
      </c>
      <c r="AG1117" s="33" t="s">
        <v>55</v>
      </c>
      <c r="AH1117" s="33" t="s">
        <v>56</v>
      </c>
      <c r="AI1117" s="33" t="s">
        <v>57</v>
      </c>
      <c r="AJ1117" s="33" t="s">
        <v>58</v>
      </c>
      <c r="AK1117" s="33" t="s">
        <v>56</v>
      </c>
      <c r="AL1117" s="27"/>
      <c r="AM1117" s="34" t="s">
        <v>57</v>
      </c>
      <c r="AN1117" s="35" t="str">
        <f t="shared" si="88"/>
        <v>✓ OK</v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3559</v>
      </c>
      <c r="C1118" s="41" t="s">
        <v>3560</v>
      </c>
      <c r="D1118" s="39" t="s">
        <v>3482</v>
      </c>
      <c r="E1118" s="42">
        <v>46129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42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70">
        <v>46248</v>
      </c>
      <c r="X1118" s="30" t="s">
        <v>55</v>
      </c>
      <c r="Y1118" s="30" t="s">
        <v>56</v>
      </c>
      <c r="Z1118" s="30" t="s">
        <v>57</v>
      </c>
      <c r="AA1118" s="30" t="s">
        <v>58</v>
      </c>
      <c r="AB1118" s="30" t="s">
        <v>56</v>
      </c>
      <c r="AC1118" s="27"/>
      <c r="AD1118" s="31" t="s">
        <v>57</v>
      </c>
      <c r="AE1118" s="32" t="str">
        <f t="shared" si="87"/>
        <v>✓ OK</v>
      </c>
      <c r="AF1118" s="33" t="s">
        <v>61</v>
      </c>
      <c r="AG1118" s="33" t="s">
        <v>55</v>
      </c>
      <c r="AH1118" s="33" t="s">
        <v>56</v>
      </c>
      <c r="AI1118" s="33" t="s">
        <v>57</v>
      </c>
      <c r="AJ1118" s="33" t="s">
        <v>58</v>
      </c>
      <c r="AK1118" s="33" t="s">
        <v>56</v>
      </c>
      <c r="AL1118" s="27"/>
      <c r="AM1118" s="34" t="s">
        <v>57</v>
      </c>
      <c r="AN1118" s="35" t="str">
        <f t="shared" si="88"/>
        <v>✓ OK</v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3561</v>
      </c>
      <c r="C1119" s="25" t="s">
        <v>3562</v>
      </c>
      <c r="D1119" s="23" t="s">
        <v>3482</v>
      </c>
      <c r="E1119" s="42">
        <v>46129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42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70">
        <v>46248</v>
      </c>
      <c r="X1119" s="30" t="s">
        <v>55</v>
      </c>
      <c r="Y1119" s="30" t="s">
        <v>56</v>
      </c>
      <c r="Z1119" s="30" t="s">
        <v>57</v>
      </c>
      <c r="AA1119" s="30" t="s">
        <v>58</v>
      </c>
      <c r="AB1119" s="30" t="s">
        <v>56</v>
      </c>
      <c r="AC1119" s="27"/>
      <c r="AD1119" s="31" t="s">
        <v>57</v>
      </c>
      <c r="AE1119" s="32" t="str">
        <f t="shared" si="87"/>
        <v>✓ OK</v>
      </c>
      <c r="AF1119" s="33" t="s">
        <v>61</v>
      </c>
      <c r="AG1119" s="33" t="s">
        <v>55</v>
      </c>
      <c r="AH1119" s="33" t="s">
        <v>56</v>
      </c>
      <c r="AI1119" s="33" t="s">
        <v>57</v>
      </c>
      <c r="AJ1119" s="33" t="s">
        <v>58</v>
      </c>
      <c r="AK1119" s="33" t="s">
        <v>56</v>
      </c>
      <c r="AL1119" s="27"/>
      <c r="AM1119" s="34" t="s">
        <v>57</v>
      </c>
      <c r="AN1119" s="35" t="str">
        <f t="shared" si="88"/>
        <v>✓ OK</v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3563</v>
      </c>
      <c r="C1120" s="41" t="s">
        <v>3564</v>
      </c>
      <c r="D1120" s="39" t="s">
        <v>3482</v>
      </c>
      <c r="E1120" s="42">
        <v>46129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42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70">
        <v>46248</v>
      </c>
      <c r="X1120" s="30" t="s">
        <v>55</v>
      </c>
      <c r="Y1120" s="30" t="s">
        <v>56</v>
      </c>
      <c r="Z1120" s="30" t="s">
        <v>57</v>
      </c>
      <c r="AA1120" s="30" t="s">
        <v>58</v>
      </c>
      <c r="AB1120" s="30" t="s">
        <v>56</v>
      </c>
      <c r="AC1120" s="27"/>
      <c r="AD1120" s="31" t="s">
        <v>57</v>
      </c>
      <c r="AE1120" s="32" t="str">
        <f t="shared" si="87"/>
        <v>✓ OK</v>
      </c>
      <c r="AF1120" s="33" t="s">
        <v>61</v>
      </c>
      <c r="AG1120" s="33" t="s">
        <v>55</v>
      </c>
      <c r="AH1120" s="33" t="s">
        <v>56</v>
      </c>
      <c r="AI1120" s="33" t="s">
        <v>57</v>
      </c>
      <c r="AJ1120" s="33" t="s">
        <v>58</v>
      </c>
      <c r="AK1120" s="33" t="s">
        <v>56</v>
      </c>
      <c r="AL1120" s="27"/>
      <c r="AM1120" s="34" t="s">
        <v>57</v>
      </c>
      <c r="AN1120" s="35" t="str">
        <f t="shared" si="88"/>
        <v>✓ OK</v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3565</v>
      </c>
      <c r="C1121" s="25" t="s">
        <v>3566</v>
      </c>
      <c r="D1121" s="23" t="s">
        <v>3482</v>
      </c>
      <c r="E1121" s="42">
        <v>46129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42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70">
        <v>46248</v>
      </c>
      <c r="X1121" s="30" t="s">
        <v>55</v>
      </c>
      <c r="Y1121" s="30" t="s">
        <v>56</v>
      </c>
      <c r="Z1121" s="30" t="s">
        <v>57</v>
      </c>
      <c r="AA1121" s="30" t="s">
        <v>58</v>
      </c>
      <c r="AB1121" s="30" t="s">
        <v>56</v>
      </c>
      <c r="AC1121" s="27"/>
      <c r="AD1121" s="31" t="s">
        <v>57</v>
      </c>
      <c r="AE1121" s="32" t="str">
        <f t="shared" si="87"/>
        <v>✓ OK</v>
      </c>
      <c r="AF1121" s="33" t="s">
        <v>61</v>
      </c>
      <c r="AG1121" s="33" t="s">
        <v>55</v>
      </c>
      <c r="AH1121" s="33" t="s">
        <v>56</v>
      </c>
      <c r="AI1121" s="33" t="s">
        <v>57</v>
      </c>
      <c r="AJ1121" s="33" t="s">
        <v>58</v>
      </c>
      <c r="AK1121" s="33" t="s">
        <v>56</v>
      </c>
      <c r="AL1121" s="27"/>
      <c r="AM1121" s="34" t="s">
        <v>57</v>
      </c>
      <c r="AN1121" s="35" t="str">
        <f t="shared" si="88"/>
        <v>✓ OK</v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3567</v>
      </c>
      <c r="C1122" s="41" t="s">
        <v>3568</v>
      </c>
      <c r="D1122" s="39" t="s">
        <v>3482</v>
      </c>
      <c r="E1122" s="42">
        <v>46129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42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70">
        <v>46248</v>
      </c>
      <c r="X1122" s="30" t="s">
        <v>55</v>
      </c>
      <c r="Y1122" s="30" t="s">
        <v>56</v>
      </c>
      <c r="Z1122" s="30" t="s">
        <v>57</v>
      </c>
      <c r="AA1122" s="30" t="s">
        <v>58</v>
      </c>
      <c r="AB1122" s="30" t="s">
        <v>56</v>
      </c>
      <c r="AC1122" s="27"/>
      <c r="AD1122" s="31" t="s">
        <v>57</v>
      </c>
      <c r="AE1122" s="32" t="str">
        <f t="shared" si="87"/>
        <v>✓ OK</v>
      </c>
      <c r="AF1122" s="33" t="s">
        <v>61</v>
      </c>
      <c r="AG1122" s="33" t="s">
        <v>55</v>
      </c>
      <c r="AH1122" s="33" t="s">
        <v>56</v>
      </c>
      <c r="AI1122" s="33" t="s">
        <v>57</v>
      </c>
      <c r="AJ1122" s="33" t="s">
        <v>58</v>
      </c>
      <c r="AK1122" s="33" t="s">
        <v>56</v>
      </c>
      <c r="AL1122" s="27"/>
      <c r="AM1122" s="34" t="s">
        <v>57</v>
      </c>
      <c r="AN1122" s="35" t="str">
        <f t="shared" si="88"/>
        <v>✓ OK</v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3569</v>
      </c>
      <c r="C1123" s="25" t="s">
        <v>3570</v>
      </c>
      <c r="D1123" s="23" t="s">
        <v>3482</v>
      </c>
      <c r="E1123" s="42">
        <v>46129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42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70">
        <v>46248</v>
      </c>
      <c r="X1123" s="30" t="s">
        <v>55</v>
      </c>
      <c r="Y1123" s="30" t="s">
        <v>56</v>
      </c>
      <c r="Z1123" s="30" t="s">
        <v>57</v>
      </c>
      <c r="AA1123" s="30" t="s">
        <v>58</v>
      </c>
      <c r="AB1123" s="30" t="s">
        <v>56</v>
      </c>
      <c r="AC1123" s="27"/>
      <c r="AD1123" s="31" t="s">
        <v>57</v>
      </c>
      <c r="AE1123" s="32" t="str">
        <f t="shared" si="87"/>
        <v>✓ OK</v>
      </c>
      <c r="AF1123" s="33" t="s">
        <v>61</v>
      </c>
      <c r="AG1123" s="33" t="s">
        <v>55</v>
      </c>
      <c r="AH1123" s="33" t="s">
        <v>56</v>
      </c>
      <c r="AI1123" s="33" t="s">
        <v>57</v>
      </c>
      <c r="AJ1123" s="33" t="s">
        <v>58</v>
      </c>
      <c r="AK1123" s="33" t="s">
        <v>56</v>
      </c>
      <c r="AL1123" s="27"/>
      <c r="AM1123" s="34" t="s">
        <v>57</v>
      </c>
      <c r="AN1123" s="35" t="str">
        <f t="shared" si="88"/>
        <v>✓ OK</v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3571</v>
      </c>
      <c r="C1124" s="41" t="s">
        <v>3572</v>
      </c>
      <c r="D1124" s="39" t="s">
        <v>3482</v>
      </c>
      <c r="E1124" s="42">
        <v>46129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42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70">
        <v>46248</v>
      </c>
      <c r="X1124" s="30" t="s">
        <v>55</v>
      </c>
      <c r="Y1124" s="30" t="s">
        <v>56</v>
      </c>
      <c r="Z1124" s="30" t="s">
        <v>57</v>
      </c>
      <c r="AA1124" s="30" t="s">
        <v>58</v>
      </c>
      <c r="AB1124" s="30" t="s">
        <v>56</v>
      </c>
      <c r="AC1124" s="27"/>
      <c r="AD1124" s="31" t="s">
        <v>57</v>
      </c>
      <c r="AE1124" s="32" t="str">
        <f t="shared" si="87"/>
        <v>✓ OK</v>
      </c>
      <c r="AF1124" s="33" t="s">
        <v>61</v>
      </c>
      <c r="AG1124" s="33" t="s">
        <v>55</v>
      </c>
      <c r="AH1124" s="33" t="s">
        <v>56</v>
      </c>
      <c r="AI1124" s="33" t="s">
        <v>57</v>
      </c>
      <c r="AJ1124" s="33" t="s">
        <v>58</v>
      </c>
      <c r="AK1124" s="33" t="s">
        <v>56</v>
      </c>
      <c r="AL1124" s="27"/>
      <c r="AM1124" s="34" t="s">
        <v>57</v>
      </c>
      <c r="AN1124" s="35" t="str">
        <f t="shared" si="88"/>
        <v>✓ OK</v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3573</v>
      </c>
      <c r="C1125" s="25" t="s">
        <v>3574</v>
      </c>
      <c r="D1125" s="23" t="s">
        <v>3482</v>
      </c>
      <c r="E1125" s="42">
        <v>46129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42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70">
        <v>46248</v>
      </c>
      <c r="X1125" s="30" t="s">
        <v>55</v>
      </c>
      <c r="Y1125" s="30" t="s">
        <v>56</v>
      </c>
      <c r="Z1125" s="30" t="s">
        <v>57</v>
      </c>
      <c r="AA1125" s="30" t="s">
        <v>58</v>
      </c>
      <c r="AB1125" s="30" t="s">
        <v>56</v>
      </c>
      <c r="AC1125" s="27"/>
      <c r="AD1125" s="31" t="s">
        <v>57</v>
      </c>
      <c r="AE1125" s="32" t="str">
        <f t="shared" si="87"/>
        <v>✓ OK</v>
      </c>
      <c r="AF1125" s="33" t="s">
        <v>61</v>
      </c>
      <c r="AG1125" s="33" t="s">
        <v>55</v>
      </c>
      <c r="AH1125" s="33" t="s">
        <v>56</v>
      </c>
      <c r="AI1125" s="33" t="s">
        <v>57</v>
      </c>
      <c r="AJ1125" s="33" t="s">
        <v>58</v>
      </c>
      <c r="AK1125" s="33" t="s">
        <v>56</v>
      </c>
      <c r="AL1125" s="27"/>
      <c r="AM1125" s="34" t="s">
        <v>57</v>
      </c>
      <c r="AN1125" s="35" t="str">
        <f t="shared" si="88"/>
        <v>✓ OK</v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3575</v>
      </c>
      <c r="C1126" s="41" t="s">
        <v>3576</v>
      </c>
      <c r="D1126" s="39" t="s">
        <v>3482</v>
      </c>
      <c r="E1126" s="42">
        <v>46129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42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70">
        <v>46248</v>
      </c>
      <c r="X1126" s="30" t="s">
        <v>55</v>
      </c>
      <c r="Y1126" s="30" t="s">
        <v>56</v>
      </c>
      <c r="Z1126" s="30" t="s">
        <v>57</v>
      </c>
      <c r="AA1126" s="30" t="s">
        <v>58</v>
      </c>
      <c r="AB1126" s="30" t="s">
        <v>56</v>
      </c>
      <c r="AC1126" s="27"/>
      <c r="AD1126" s="31" t="s">
        <v>57</v>
      </c>
      <c r="AE1126" s="32" t="str">
        <f t="shared" si="87"/>
        <v>✓ OK</v>
      </c>
      <c r="AF1126" s="33" t="s">
        <v>61</v>
      </c>
      <c r="AG1126" s="33" t="s">
        <v>55</v>
      </c>
      <c r="AH1126" s="33" t="s">
        <v>56</v>
      </c>
      <c r="AI1126" s="33" t="s">
        <v>57</v>
      </c>
      <c r="AJ1126" s="33" t="s">
        <v>58</v>
      </c>
      <c r="AK1126" s="33" t="s">
        <v>56</v>
      </c>
      <c r="AL1126" s="27"/>
      <c r="AM1126" s="34" t="s">
        <v>57</v>
      </c>
      <c r="AN1126" s="35" t="str">
        <f t="shared" si="88"/>
        <v>✓ OK</v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3577</v>
      </c>
      <c r="C1127" s="25" t="s">
        <v>3578</v>
      </c>
      <c r="D1127" s="23" t="s">
        <v>3482</v>
      </c>
      <c r="E1127" s="42">
        <v>46129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42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70">
        <v>46248</v>
      </c>
      <c r="X1127" s="30" t="s">
        <v>55</v>
      </c>
      <c r="Y1127" s="30" t="s">
        <v>56</v>
      </c>
      <c r="Z1127" s="30" t="s">
        <v>57</v>
      </c>
      <c r="AA1127" s="30" t="s">
        <v>58</v>
      </c>
      <c r="AB1127" s="30" t="s">
        <v>56</v>
      </c>
      <c r="AC1127" s="27"/>
      <c r="AD1127" s="31" t="s">
        <v>57</v>
      </c>
      <c r="AE1127" s="32" t="str">
        <f t="shared" si="87"/>
        <v>✓ OK</v>
      </c>
      <c r="AF1127" s="33" t="s">
        <v>61</v>
      </c>
      <c r="AG1127" s="33" t="s">
        <v>55</v>
      </c>
      <c r="AH1127" s="33" t="s">
        <v>56</v>
      </c>
      <c r="AI1127" s="33" t="s">
        <v>57</v>
      </c>
      <c r="AJ1127" s="33" t="s">
        <v>58</v>
      </c>
      <c r="AK1127" s="33" t="s">
        <v>56</v>
      </c>
      <c r="AL1127" s="27"/>
      <c r="AM1127" s="34" t="s">
        <v>57</v>
      </c>
      <c r="AN1127" s="35" t="str">
        <f t="shared" si="88"/>
        <v>✓ OK</v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3579</v>
      </c>
      <c r="C1128" s="41" t="s">
        <v>3580</v>
      </c>
      <c r="D1128" s="39" t="s">
        <v>3482</v>
      </c>
      <c r="E1128" s="42">
        <v>46129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42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70">
        <v>46248</v>
      </c>
      <c r="X1128" s="30" t="s">
        <v>55</v>
      </c>
      <c r="Y1128" s="30" t="s">
        <v>56</v>
      </c>
      <c r="Z1128" s="30" t="s">
        <v>57</v>
      </c>
      <c r="AA1128" s="30" t="s">
        <v>58</v>
      </c>
      <c r="AB1128" s="30" t="s">
        <v>56</v>
      </c>
      <c r="AC1128" s="27"/>
      <c r="AD1128" s="31" t="s">
        <v>57</v>
      </c>
      <c r="AE1128" s="32" t="str">
        <f t="shared" si="87"/>
        <v>✓ OK</v>
      </c>
      <c r="AF1128" s="33" t="s">
        <v>61</v>
      </c>
      <c r="AG1128" s="33" t="s">
        <v>55</v>
      </c>
      <c r="AH1128" s="33" t="s">
        <v>56</v>
      </c>
      <c r="AI1128" s="33" t="s">
        <v>57</v>
      </c>
      <c r="AJ1128" s="33" t="s">
        <v>58</v>
      </c>
      <c r="AK1128" s="33" t="s">
        <v>56</v>
      </c>
      <c r="AL1128" s="27"/>
      <c r="AM1128" s="34" t="s">
        <v>57</v>
      </c>
      <c r="AN1128" s="35" t="str">
        <f t="shared" si="88"/>
        <v>✓ OK</v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3581</v>
      </c>
      <c r="C1129" s="25" t="s">
        <v>3582</v>
      </c>
      <c r="D1129" s="23" t="s">
        <v>3482</v>
      </c>
      <c r="E1129" s="42">
        <v>46129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42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70">
        <v>46248</v>
      </c>
      <c r="X1129" s="30" t="s">
        <v>55</v>
      </c>
      <c r="Y1129" s="30" t="s">
        <v>56</v>
      </c>
      <c r="Z1129" s="30" t="s">
        <v>57</v>
      </c>
      <c r="AA1129" s="30" t="s">
        <v>58</v>
      </c>
      <c r="AB1129" s="30" t="s">
        <v>56</v>
      </c>
      <c r="AC1129" s="27"/>
      <c r="AD1129" s="31" t="s">
        <v>57</v>
      </c>
      <c r="AE1129" s="32" t="str">
        <f t="shared" si="87"/>
        <v>✓ OK</v>
      </c>
      <c r="AF1129" s="33" t="s">
        <v>61</v>
      </c>
      <c r="AG1129" s="33" t="s">
        <v>55</v>
      </c>
      <c r="AH1129" s="33" t="s">
        <v>56</v>
      </c>
      <c r="AI1129" s="33" t="s">
        <v>57</v>
      </c>
      <c r="AJ1129" s="33" t="s">
        <v>58</v>
      </c>
      <c r="AK1129" s="33" t="s">
        <v>56</v>
      </c>
      <c r="AL1129" s="27"/>
      <c r="AM1129" s="34" t="s">
        <v>57</v>
      </c>
      <c r="AN1129" s="35" t="str">
        <f t="shared" si="88"/>
        <v>✓ OK</v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3583</v>
      </c>
      <c r="C1130" s="41" t="s">
        <v>3584</v>
      </c>
      <c r="D1130" s="39" t="s">
        <v>3482</v>
      </c>
      <c r="E1130" s="42">
        <v>46129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42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70">
        <v>46248</v>
      </c>
      <c r="X1130" s="30" t="s">
        <v>55</v>
      </c>
      <c r="Y1130" s="30" t="s">
        <v>56</v>
      </c>
      <c r="Z1130" s="30" t="s">
        <v>57</v>
      </c>
      <c r="AA1130" s="30" t="s">
        <v>58</v>
      </c>
      <c r="AB1130" s="30" t="s">
        <v>56</v>
      </c>
      <c r="AC1130" s="27"/>
      <c r="AD1130" s="31" t="s">
        <v>57</v>
      </c>
      <c r="AE1130" s="32" t="str">
        <f t="shared" si="87"/>
        <v>✓ OK</v>
      </c>
      <c r="AF1130" s="33" t="s">
        <v>61</v>
      </c>
      <c r="AG1130" s="33" t="s">
        <v>55</v>
      </c>
      <c r="AH1130" s="33" t="s">
        <v>56</v>
      </c>
      <c r="AI1130" s="33" t="s">
        <v>57</v>
      </c>
      <c r="AJ1130" s="33" t="s">
        <v>58</v>
      </c>
      <c r="AK1130" s="33" t="s">
        <v>56</v>
      </c>
      <c r="AL1130" s="27"/>
      <c r="AM1130" s="34" t="s">
        <v>57</v>
      </c>
      <c r="AN1130" s="35" t="str">
        <f t="shared" si="88"/>
        <v>✓ OK</v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3585</v>
      </c>
      <c r="C1131" s="25" t="s">
        <v>3586</v>
      </c>
      <c r="D1131" s="23" t="s">
        <v>3482</v>
      </c>
      <c r="E1131" s="42">
        <v>46129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42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70">
        <v>46248</v>
      </c>
      <c r="X1131" s="30" t="s">
        <v>55</v>
      </c>
      <c r="Y1131" s="30" t="s">
        <v>56</v>
      </c>
      <c r="Z1131" s="30" t="s">
        <v>57</v>
      </c>
      <c r="AA1131" s="30" t="s">
        <v>58</v>
      </c>
      <c r="AB1131" s="30" t="s">
        <v>56</v>
      </c>
      <c r="AC1131" s="27"/>
      <c r="AD1131" s="31" t="s">
        <v>57</v>
      </c>
      <c r="AE1131" s="32" t="str">
        <f t="shared" si="87"/>
        <v>✓ OK</v>
      </c>
      <c r="AF1131" s="33" t="s">
        <v>61</v>
      </c>
      <c r="AG1131" s="33" t="s">
        <v>55</v>
      </c>
      <c r="AH1131" s="33" t="s">
        <v>56</v>
      </c>
      <c r="AI1131" s="33" t="s">
        <v>57</v>
      </c>
      <c r="AJ1131" s="33" t="s">
        <v>58</v>
      </c>
      <c r="AK1131" s="33" t="s">
        <v>56</v>
      </c>
      <c r="AL1131" s="27"/>
      <c r="AM1131" s="34" t="s">
        <v>57</v>
      </c>
      <c r="AN1131" s="35" t="str">
        <f t="shared" si="88"/>
        <v>✓ OK</v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3587</v>
      </c>
      <c r="C1132" s="41" t="s">
        <v>3588</v>
      </c>
      <c r="D1132" s="39" t="s">
        <v>3482</v>
      </c>
      <c r="E1132" s="42">
        <v>46129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42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70">
        <v>46248</v>
      </c>
      <c r="X1132" s="30" t="s">
        <v>55</v>
      </c>
      <c r="Y1132" s="30" t="s">
        <v>56</v>
      </c>
      <c r="Z1132" s="30" t="s">
        <v>57</v>
      </c>
      <c r="AA1132" s="30" t="s">
        <v>58</v>
      </c>
      <c r="AB1132" s="30" t="s">
        <v>56</v>
      </c>
      <c r="AC1132" s="27"/>
      <c r="AD1132" s="31" t="s">
        <v>57</v>
      </c>
      <c r="AE1132" s="32" t="str">
        <f t="shared" si="87"/>
        <v>✓ OK</v>
      </c>
      <c r="AF1132" s="33" t="s">
        <v>61</v>
      </c>
      <c r="AG1132" s="33" t="s">
        <v>55</v>
      </c>
      <c r="AH1132" s="33" t="s">
        <v>56</v>
      </c>
      <c r="AI1132" s="33" t="s">
        <v>57</v>
      </c>
      <c r="AJ1132" s="33" t="s">
        <v>58</v>
      </c>
      <c r="AK1132" s="33" t="s">
        <v>56</v>
      </c>
      <c r="AL1132" s="27"/>
      <c r="AM1132" s="34" t="s">
        <v>57</v>
      </c>
      <c r="AN1132" s="35" t="str">
        <f t="shared" si="88"/>
        <v>✓ OK</v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3589</v>
      </c>
      <c r="C1133" s="25" t="s">
        <v>3590</v>
      </c>
      <c r="D1133" s="23" t="s">
        <v>3482</v>
      </c>
      <c r="E1133" s="42">
        <v>46129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42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70">
        <v>46248</v>
      </c>
      <c r="X1133" s="30" t="s">
        <v>55</v>
      </c>
      <c r="Y1133" s="30" t="s">
        <v>56</v>
      </c>
      <c r="Z1133" s="30" t="s">
        <v>57</v>
      </c>
      <c r="AA1133" s="30" t="s">
        <v>58</v>
      </c>
      <c r="AB1133" s="30" t="s">
        <v>56</v>
      </c>
      <c r="AC1133" s="27"/>
      <c r="AD1133" s="31" t="s">
        <v>57</v>
      </c>
      <c r="AE1133" s="32" t="str">
        <f t="shared" si="87"/>
        <v>✓ OK</v>
      </c>
      <c r="AF1133" s="33" t="s">
        <v>61</v>
      </c>
      <c r="AG1133" s="33" t="s">
        <v>55</v>
      </c>
      <c r="AH1133" s="33" t="s">
        <v>56</v>
      </c>
      <c r="AI1133" s="33" t="s">
        <v>57</v>
      </c>
      <c r="AJ1133" s="33" t="s">
        <v>58</v>
      </c>
      <c r="AK1133" s="33" t="s">
        <v>56</v>
      </c>
      <c r="AL1133" s="27"/>
      <c r="AM1133" s="34" t="s">
        <v>57</v>
      </c>
      <c r="AN1133" s="35" t="str">
        <f t="shared" si="88"/>
        <v>✓ OK</v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3591</v>
      </c>
      <c r="C1134" s="41" t="s">
        <v>3592</v>
      </c>
      <c r="D1134" s="39" t="s">
        <v>3482</v>
      </c>
      <c r="E1134" s="42">
        <v>46129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42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70">
        <v>46248</v>
      </c>
      <c r="X1134" s="30" t="s">
        <v>55</v>
      </c>
      <c r="Y1134" s="30" t="s">
        <v>56</v>
      </c>
      <c r="Z1134" s="30" t="s">
        <v>57</v>
      </c>
      <c r="AA1134" s="30" t="s">
        <v>58</v>
      </c>
      <c r="AB1134" s="30" t="s">
        <v>56</v>
      </c>
      <c r="AC1134" s="27"/>
      <c r="AD1134" s="31" t="s">
        <v>57</v>
      </c>
      <c r="AE1134" s="32" t="str">
        <f t="shared" si="87"/>
        <v>✓ OK</v>
      </c>
      <c r="AF1134" s="33" t="s">
        <v>61</v>
      </c>
      <c r="AG1134" s="33" t="s">
        <v>55</v>
      </c>
      <c r="AH1134" s="33" t="s">
        <v>56</v>
      </c>
      <c r="AI1134" s="33" t="s">
        <v>57</v>
      </c>
      <c r="AJ1134" s="33" t="s">
        <v>58</v>
      </c>
      <c r="AK1134" s="33" t="s">
        <v>56</v>
      </c>
      <c r="AL1134" s="27"/>
      <c r="AM1134" s="34" t="s">
        <v>57</v>
      </c>
      <c r="AN1134" s="35" t="str">
        <f t="shared" si="88"/>
        <v>✓ OK</v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3593</v>
      </c>
      <c r="C1135" s="25" t="s">
        <v>3594</v>
      </c>
      <c r="D1135" s="23" t="s">
        <v>3482</v>
      </c>
      <c r="E1135" s="42">
        <v>46129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42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70">
        <v>46248</v>
      </c>
      <c r="X1135" s="30" t="s">
        <v>55</v>
      </c>
      <c r="Y1135" s="30" t="s">
        <v>56</v>
      </c>
      <c r="Z1135" s="30" t="s">
        <v>57</v>
      </c>
      <c r="AA1135" s="30" t="s">
        <v>58</v>
      </c>
      <c r="AB1135" s="30" t="s">
        <v>56</v>
      </c>
      <c r="AC1135" s="27"/>
      <c r="AD1135" s="31" t="s">
        <v>57</v>
      </c>
      <c r="AE1135" s="32" t="str">
        <f t="shared" si="87"/>
        <v>✓ OK</v>
      </c>
      <c r="AF1135" s="33" t="s">
        <v>61</v>
      </c>
      <c r="AG1135" s="33" t="s">
        <v>55</v>
      </c>
      <c r="AH1135" s="33" t="s">
        <v>56</v>
      </c>
      <c r="AI1135" s="33" t="s">
        <v>57</v>
      </c>
      <c r="AJ1135" s="33" t="s">
        <v>58</v>
      </c>
      <c r="AK1135" s="33" t="s">
        <v>56</v>
      </c>
      <c r="AL1135" s="27"/>
      <c r="AM1135" s="34" t="s">
        <v>57</v>
      </c>
      <c r="AN1135" s="35" t="str">
        <f t="shared" si="88"/>
        <v>✓ OK</v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3595</v>
      </c>
      <c r="C1136" s="41" t="s">
        <v>3596</v>
      </c>
      <c r="D1136" s="39" t="s">
        <v>3482</v>
      </c>
      <c r="E1136" s="42">
        <v>46129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42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70">
        <v>46248</v>
      </c>
      <c r="X1136" s="30" t="s">
        <v>55</v>
      </c>
      <c r="Y1136" s="30" t="s">
        <v>56</v>
      </c>
      <c r="Z1136" s="30" t="s">
        <v>57</v>
      </c>
      <c r="AA1136" s="30" t="s">
        <v>58</v>
      </c>
      <c r="AB1136" s="30" t="s">
        <v>56</v>
      </c>
      <c r="AC1136" s="27"/>
      <c r="AD1136" s="31" t="s">
        <v>57</v>
      </c>
      <c r="AE1136" s="32" t="str">
        <f t="shared" si="87"/>
        <v>✓ OK</v>
      </c>
      <c r="AF1136" s="33" t="s">
        <v>61</v>
      </c>
      <c r="AG1136" s="33" t="s">
        <v>55</v>
      </c>
      <c r="AH1136" s="33" t="s">
        <v>56</v>
      </c>
      <c r="AI1136" s="33" t="s">
        <v>57</v>
      </c>
      <c r="AJ1136" s="33" t="s">
        <v>58</v>
      </c>
      <c r="AK1136" s="33" t="s">
        <v>56</v>
      </c>
      <c r="AL1136" s="27"/>
      <c r="AM1136" s="34" t="s">
        <v>57</v>
      </c>
      <c r="AN1136" s="35" t="str">
        <f t="shared" si="88"/>
        <v>✓ OK</v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3597</v>
      </c>
      <c r="C1137" s="25" t="s">
        <v>3598</v>
      </c>
      <c r="D1137" s="23" t="s">
        <v>3482</v>
      </c>
      <c r="E1137" s="42">
        <v>46129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42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70">
        <v>46248</v>
      </c>
      <c r="X1137" s="30" t="s">
        <v>55</v>
      </c>
      <c r="Y1137" s="30" t="s">
        <v>56</v>
      </c>
      <c r="Z1137" s="30" t="s">
        <v>57</v>
      </c>
      <c r="AA1137" s="30" t="s">
        <v>58</v>
      </c>
      <c r="AB1137" s="30" t="s">
        <v>56</v>
      </c>
      <c r="AC1137" s="27"/>
      <c r="AD1137" s="31" t="s">
        <v>57</v>
      </c>
      <c r="AE1137" s="32" t="str">
        <f t="shared" si="87"/>
        <v>✓ OK</v>
      </c>
      <c r="AF1137" s="33" t="s">
        <v>61</v>
      </c>
      <c r="AG1137" s="33" t="s">
        <v>55</v>
      </c>
      <c r="AH1137" s="33" t="s">
        <v>56</v>
      </c>
      <c r="AI1137" s="33" t="s">
        <v>57</v>
      </c>
      <c r="AJ1137" s="33" t="s">
        <v>58</v>
      </c>
      <c r="AK1137" s="33" t="s">
        <v>56</v>
      </c>
      <c r="AL1137" s="27"/>
      <c r="AM1137" s="34" t="s">
        <v>57</v>
      </c>
      <c r="AN1137" s="35" t="str">
        <f t="shared" si="88"/>
        <v>✓ OK</v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3599</v>
      </c>
      <c r="C1138" s="41" t="s">
        <v>3600</v>
      </c>
      <c r="D1138" s="39" t="s">
        <v>3482</v>
      </c>
      <c r="E1138" s="42">
        <v>46129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42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70">
        <v>46248</v>
      </c>
      <c r="X1138" s="30" t="s">
        <v>55</v>
      </c>
      <c r="Y1138" s="30" t="s">
        <v>56</v>
      </c>
      <c r="Z1138" s="30" t="s">
        <v>57</v>
      </c>
      <c r="AA1138" s="30" t="s">
        <v>58</v>
      </c>
      <c r="AB1138" s="30" t="s">
        <v>56</v>
      </c>
      <c r="AC1138" s="27"/>
      <c r="AD1138" s="31" t="s">
        <v>57</v>
      </c>
      <c r="AE1138" s="32" t="str">
        <f t="shared" si="87"/>
        <v>✓ OK</v>
      </c>
      <c r="AF1138" s="33" t="s">
        <v>61</v>
      </c>
      <c r="AG1138" s="33" t="s">
        <v>55</v>
      </c>
      <c r="AH1138" s="33" t="s">
        <v>56</v>
      </c>
      <c r="AI1138" s="33" t="s">
        <v>57</v>
      </c>
      <c r="AJ1138" s="33" t="s">
        <v>58</v>
      </c>
      <c r="AK1138" s="33" t="s">
        <v>56</v>
      </c>
      <c r="AL1138" s="27"/>
      <c r="AM1138" s="34" t="s">
        <v>57</v>
      </c>
      <c r="AN1138" s="35" t="str">
        <f t="shared" si="88"/>
        <v>✓ OK</v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3601</v>
      </c>
      <c r="C1139" s="25" t="s">
        <v>3602</v>
      </c>
      <c r="D1139" s="23" t="s">
        <v>3482</v>
      </c>
      <c r="E1139" s="42">
        <v>46129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42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70">
        <v>46248</v>
      </c>
      <c r="X1139" s="30" t="s">
        <v>55</v>
      </c>
      <c r="Y1139" s="30" t="s">
        <v>56</v>
      </c>
      <c r="Z1139" s="30" t="s">
        <v>57</v>
      </c>
      <c r="AA1139" s="30" t="s">
        <v>58</v>
      </c>
      <c r="AB1139" s="30" t="s">
        <v>56</v>
      </c>
      <c r="AC1139" s="27"/>
      <c r="AD1139" s="31" t="s">
        <v>57</v>
      </c>
      <c r="AE1139" s="32" t="str">
        <f t="shared" si="87"/>
        <v>✓ OK</v>
      </c>
      <c r="AF1139" s="33" t="s">
        <v>61</v>
      </c>
      <c r="AG1139" s="33" t="s">
        <v>55</v>
      </c>
      <c r="AH1139" s="33" t="s">
        <v>56</v>
      </c>
      <c r="AI1139" s="33" t="s">
        <v>57</v>
      </c>
      <c r="AJ1139" s="33" t="s">
        <v>58</v>
      </c>
      <c r="AK1139" s="33" t="s">
        <v>56</v>
      </c>
      <c r="AL1139" s="27"/>
      <c r="AM1139" s="34" t="s">
        <v>57</v>
      </c>
      <c r="AN1139" s="35" t="str">
        <f t="shared" si="88"/>
        <v>✓ OK</v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3603</v>
      </c>
      <c r="C1140" s="41" t="s">
        <v>3604</v>
      </c>
      <c r="D1140" s="39" t="s">
        <v>3482</v>
      </c>
      <c r="E1140" s="42">
        <v>46129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42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70">
        <v>46248</v>
      </c>
      <c r="X1140" s="30" t="s">
        <v>55</v>
      </c>
      <c r="Y1140" s="30" t="s">
        <v>56</v>
      </c>
      <c r="Z1140" s="30" t="s">
        <v>57</v>
      </c>
      <c r="AA1140" s="30" t="s">
        <v>58</v>
      </c>
      <c r="AB1140" s="30" t="s">
        <v>56</v>
      </c>
      <c r="AC1140" s="27"/>
      <c r="AD1140" s="31" t="s">
        <v>57</v>
      </c>
      <c r="AE1140" s="32" t="str">
        <f t="shared" si="87"/>
        <v>✓ OK</v>
      </c>
      <c r="AF1140" s="33" t="s">
        <v>61</v>
      </c>
      <c r="AG1140" s="33" t="s">
        <v>55</v>
      </c>
      <c r="AH1140" s="33" t="s">
        <v>56</v>
      </c>
      <c r="AI1140" s="33" t="s">
        <v>57</v>
      </c>
      <c r="AJ1140" s="33" t="s">
        <v>58</v>
      </c>
      <c r="AK1140" s="33" t="s">
        <v>56</v>
      </c>
      <c r="AL1140" s="27"/>
      <c r="AM1140" s="34" t="s">
        <v>57</v>
      </c>
      <c r="AN1140" s="35" t="str">
        <f t="shared" si="88"/>
        <v>✓ OK</v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3605</v>
      </c>
      <c r="C1141" s="25" t="s">
        <v>3606</v>
      </c>
      <c r="D1141" s="23" t="s">
        <v>3482</v>
      </c>
      <c r="E1141" s="42">
        <v>46129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42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70">
        <v>46248</v>
      </c>
      <c r="X1141" s="30" t="s">
        <v>55</v>
      </c>
      <c r="Y1141" s="30" t="s">
        <v>56</v>
      </c>
      <c r="Z1141" s="30" t="s">
        <v>57</v>
      </c>
      <c r="AA1141" s="30" t="s">
        <v>58</v>
      </c>
      <c r="AB1141" s="30" t="s">
        <v>56</v>
      </c>
      <c r="AC1141" s="27"/>
      <c r="AD1141" s="31" t="s">
        <v>57</v>
      </c>
      <c r="AE1141" s="32" t="str">
        <f t="shared" si="87"/>
        <v>✓ OK</v>
      </c>
      <c r="AF1141" s="33" t="s">
        <v>61</v>
      </c>
      <c r="AG1141" s="33" t="s">
        <v>55</v>
      </c>
      <c r="AH1141" s="33" t="s">
        <v>56</v>
      </c>
      <c r="AI1141" s="33" t="s">
        <v>57</v>
      </c>
      <c r="AJ1141" s="33" t="s">
        <v>58</v>
      </c>
      <c r="AK1141" s="33" t="s">
        <v>56</v>
      </c>
      <c r="AL1141" s="27"/>
      <c r="AM1141" s="34" t="s">
        <v>57</v>
      </c>
      <c r="AN1141" s="35" t="str">
        <f t="shared" si="88"/>
        <v>✓ OK</v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3607</v>
      </c>
      <c r="C1142" s="41" t="s">
        <v>3608</v>
      </c>
      <c r="D1142" s="39" t="s">
        <v>3482</v>
      </c>
      <c r="E1142" s="42">
        <v>46129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42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70">
        <v>46248</v>
      </c>
      <c r="X1142" s="30" t="s">
        <v>55</v>
      </c>
      <c r="Y1142" s="30" t="s">
        <v>56</v>
      </c>
      <c r="Z1142" s="30" t="s">
        <v>57</v>
      </c>
      <c r="AA1142" s="30" t="s">
        <v>58</v>
      </c>
      <c r="AB1142" s="30" t="s">
        <v>56</v>
      </c>
      <c r="AC1142" s="27"/>
      <c r="AD1142" s="31" t="s">
        <v>57</v>
      </c>
      <c r="AE1142" s="32" t="str">
        <f t="shared" si="87"/>
        <v>✓ OK</v>
      </c>
      <c r="AF1142" s="33" t="s">
        <v>61</v>
      </c>
      <c r="AG1142" s="33" t="s">
        <v>55</v>
      </c>
      <c r="AH1142" s="33" t="s">
        <v>56</v>
      </c>
      <c r="AI1142" s="33" t="s">
        <v>57</v>
      </c>
      <c r="AJ1142" s="33" t="s">
        <v>58</v>
      </c>
      <c r="AK1142" s="33" t="s">
        <v>56</v>
      </c>
      <c r="AL1142" s="27"/>
      <c r="AM1142" s="34" t="s">
        <v>57</v>
      </c>
      <c r="AN1142" s="35" t="str">
        <f t="shared" si="88"/>
        <v>✓ OK</v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3609</v>
      </c>
      <c r="C1143" s="25" t="s">
        <v>3610</v>
      </c>
      <c r="D1143" s="23" t="s">
        <v>3482</v>
      </c>
      <c r="E1143" s="42">
        <v>46129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42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70">
        <v>46248</v>
      </c>
      <c r="X1143" s="30" t="s">
        <v>55</v>
      </c>
      <c r="Y1143" s="30" t="s">
        <v>56</v>
      </c>
      <c r="Z1143" s="30" t="s">
        <v>57</v>
      </c>
      <c r="AA1143" s="30" t="s">
        <v>58</v>
      </c>
      <c r="AB1143" s="30" t="s">
        <v>56</v>
      </c>
      <c r="AC1143" s="27"/>
      <c r="AD1143" s="31" t="s">
        <v>57</v>
      </c>
      <c r="AE1143" s="32" t="str">
        <f t="shared" si="87"/>
        <v>✓ OK</v>
      </c>
      <c r="AF1143" s="33" t="s">
        <v>61</v>
      </c>
      <c r="AG1143" s="33" t="s">
        <v>55</v>
      </c>
      <c r="AH1143" s="33" t="s">
        <v>56</v>
      </c>
      <c r="AI1143" s="33" t="s">
        <v>57</v>
      </c>
      <c r="AJ1143" s="33" t="s">
        <v>58</v>
      </c>
      <c r="AK1143" s="33" t="s">
        <v>56</v>
      </c>
      <c r="AL1143" s="27"/>
      <c r="AM1143" s="34" t="s">
        <v>57</v>
      </c>
      <c r="AN1143" s="35" t="str">
        <f t="shared" si="88"/>
        <v>✓ OK</v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3611</v>
      </c>
      <c r="C1144" s="41" t="s">
        <v>3612</v>
      </c>
      <c r="D1144" s="39" t="s">
        <v>3482</v>
      </c>
      <c r="E1144" s="42">
        <v>46129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42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70">
        <v>46248</v>
      </c>
      <c r="X1144" s="30" t="s">
        <v>55</v>
      </c>
      <c r="Y1144" s="30" t="s">
        <v>56</v>
      </c>
      <c r="Z1144" s="30" t="s">
        <v>57</v>
      </c>
      <c r="AA1144" s="30" t="s">
        <v>58</v>
      </c>
      <c r="AB1144" s="30" t="s">
        <v>56</v>
      </c>
      <c r="AC1144" s="27"/>
      <c r="AD1144" s="31" t="s">
        <v>57</v>
      </c>
      <c r="AE1144" s="32" t="str">
        <f t="shared" si="87"/>
        <v>✓ OK</v>
      </c>
      <c r="AF1144" s="33" t="s">
        <v>61</v>
      </c>
      <c r="AG1144" s="33" t="s">
        <v>55</v>
      </c>
      <c r="AH1144" s="33" t="s">
        <v>56</v>
      </c>
      <c r="AI1144" s="33" t="s">
        <v>57</v>
      </c>
      <c r="AJ1144" s="33" t="s">
        <v>58</v>
      </c>
      <c r="AK1144" s="33" t="s">
        <v>56</v>
      </c>
      <c r="AL1144" s="27"/>
      <c r="AM1144" s="34" t="s">
        <v>57</v>
      </c>
      <c r="AN1144" s="35" t="str">
        <f t="shared" si="88"/>
        <v>✓ OK</v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3613</v>
      </c>
      <c r="C1145" s="25" t="s">
        <v>3614</v>
      </c>
      <c r="D1145" s="23" t="s">
        <v>3482</v>
      </c>
      <c r="E1145" s="42">
        <v>46129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42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70">
        <v>46248</v>
      </c>
      <c r="X1145" s="30" t="s">
        <v>55</v>
      </c>
      <c r="Y1145" s="30" t="s">
        <v>56</v>
      </c>
      <c r="Z1145" s="30" t="s">
        <v>57</v>
      </c>
      <c r="AA1145" s="30" t="s">
        <v>58</v>
      </c>
      <c r="AB1145" s="30" t="s">
        <v>56</v>
      </c>
      <c r="AC1145" s="27"/>
      <c r="AD1145" s="31" t="s">
        <v>57</v>
      </c>
      <c r="AE1145" s="32" t="str">
        <f t="shared" si="87"/>
        <v>✓ OK</v>
      </c>
      <c r="AF1145" s="33" t="s">
        <v>61</v>
      </c>
      <c r="AG1145" s="33" t="s">
        <v>55</v>
      </c>
      <c r="AH1145" s="33" t="s">
        <v>56</v>
      </c>
      <c r="AI1145" s="33" t="s">
        <v>57</v>
      </c>
      <c r="AJ1145" s="33" t="s">
        <v>58</v>
      </c>
      <c r="AK1145" s="33" t="s">
        <v>56</v>
      </c>
      <c r="AL1145" s="27"/>
      <c r="AM1145" s="34" t="s">
        <v>57</v>
      </c>
      <c r="AN1145" s="35" t="str">
        <f t="shared" si="88"/>
        <v>✓ OK</v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3615</v>
      </c>
      <c r="C1146" s="41" t="s">
        <v>3616</v>
      </c>
      <c r="D1146" s="39" t="s">
        <v>3482</v>
      </c>
      <c r="E1146" s="42">
        <v>46129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42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70">
        <v>46248</v>
      </c>
      <c r="X1146" s="30" t="s">
        <v>55</v>
      </c>
      <c r="Y1146" s="30" t="s">
        <v>56</v>
      </c>
      <c r="Z1146" s="30" t="s">
        <v>57</v>
      </c>
      <c r="AA1146" s="30" t="s">
        <v>58</v>
      </c>
      <c r="AB1146" s="30" t="s">
        <v>56</v>
      </c>
      <c r="AC1146" s="27"/>
      <c r="AD1146" s="31" t="s">
        <v>57</v>
      </c>
      <c r="AE1146" s="32" t="str">
        <f t="shared" si="87"/>
        <v>✓ OK</v>
      </c>
      <c r="AF1146" s="33" t="s">
        <v>61</v>
      </c>
      <c r="AG1146" s="33" t="s">
        <v>55</v>
      </c>
      <c r="AH1146" s="33" t="s">
        <v>56</v>
      </c>
      <c r="AI1146" s="33" t="s">
        <v>57</v>
      </c>
      <c r="AJ1146" s="33" t="s">
        <v>58</v>
      </c>
      <c r="AK1146" s="33" t="s">
        <v>56</v>
      </c>
      <c r="AL1146" s="27"/>
      <c r="AM1146" s="34" t="s">
        <v>57</v>
      </c>
      <c r="AN1146" s="35" t="str">
        <f t="shared" si="88"/>
        <v>✓ OK</v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3617</v>
      </c>
      <c r="C1147" s="25" t="s">
        <v>3618</v>
      </c>
      <c r="D1147" s="23" t="s">
        <v>3482</v>
      </c>
      <c r="E1147" s="42">
        <v>46129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42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70">
        <v>46248</v>
      </c>
      <c r="X1147" s="30" t="s">
        <v>55</v>
      </c>
      <c r="Y1147" s="30" t="s">
        <v>56</v>
      </c>
      <c r="Z1147" s="30" t="s">
        <v>57</v>
      </c>
      <c r="AA1147" s="30" t="s">
        <v>58</v>
      </c>
      <c r="AB1147" s="30" t="s">
        <v>56</v>
      </c>
      <c r="AC1147" s="27"/>
      <c r="AD1147" s="31" t="s">
        <v>57</v>
      </c>
      <c r="AE1147" s="32" t="str">
        <f t="shared" si="87"/>
        <v>✓ OK</v>
      </c>
      <c r="AF1147" s="33" t="s">
        <v>61</v>
      </c>
      <c r="AG1147" s="33" t="s">
        <v>55</v>
      </c>
      <c r="AH1147" s="33" t="s">
        <v>56</v>
      </c>
      <c r="AI1147" s="33" t="s">
        <v>57</v>
      </c>
      <c r="AJ1147" s="33" t="s">
        <v>58</v>
      </c>
      <c r="AK1147" s="33" t="s">
        <v>56</v>
      </c>
      <c r="AL1147" s="27"/>
      <c r="AM1147" s="34" t="s">
        <v>57</v>
      </c>
      <c r="AN1147" s="35" t="str">
        <f t="shared" si="88"/>
        <v>✓ OK</v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3619</v>
      </c>
      <c r="C1148" s="41" t="s">
        <v>3620</v>
      </c>
      <c r="D1148" s="39" t="s">
        <v>3482</v>
      </c>
      <c r="E1148" s="42">
        <v>46129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42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70">
        <v>46248</v>
      </c>
      <c r="X1148" s="30" t="s">
        <v>55</v>
      </c>
      <c r="Y1148" s="30" t="s">
        <v>56</v>
      </c>
      <c r="Z1148" s="30" t="s">
        <v>57</v>
      </c>
      <c r="AA1148" s="30" t="s">
        <v>58</v>
      </c>
      <c r="AB1148" s="30" t="s">
        <v>56</v>
      </c>
      <c r="AC1148" s="27"/>
      <c r="AD1148" s="31" t="s">
        <v>57</v>
      </c>
      <c r="AE1148" s="32" t="str">
        <f t="shared" si="87"/>
        <v>✓ OK</v>
      </c>
      <c r="AF1148" s="33" t="s">
        <v>61</v>
      </c>
      <c r="AG1148" s="33" t="s">
        <v>55</v>
      </c>
      <c r="AH1148" s="33" t="s">
        <v>56</v>
      </c>
      <c r="AI1148" s="33" t="s">
        <v>57</v>
      </c>
      <c r="AJ1148" s="33" t="s">
        <v>58</v>
      </c>
      <c r="AK1148" s="33" t="s">
        <v>56</v>
      </c>
      <c r="AL1148" s="27"/>
      <c r="AM1148" s="34" t="s">
        <v>57</v>
      </c>
      <c r="AN1148" s="35" t="str">
        <f t="shared" si="88"/>
        <v>✓ OK</v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3621</v>
      </c>
      <c r="C1149" s="25" t="s">
        <v>3622</v>
      </c>
      <c r="D1149" s="23" t="s">
        <v>3482</v>
      </c>
      <c r="E1149" s="42">
        <v>46129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42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70">
        <v>46248</v>
      </c>
      <c r="X1149" s="30" t="s">
        <v>55</v>
      </c>
      <c r="Y1149" s="30" t="s">
        <v>56</v>
      </c>
      <c r="Z1149" s="30" t="s">
        <v>57</v>
      </c>
      <c r="AA1149" s="30" t="s">
        <v>58</v>
      </c>
      <c r="AB1149" s="30" t="s">
        <v>56</v>
      </c>
      <c r="AC1149" s="27"/>
      <c r="AD1149" s="31" t="s">
        <v>57</v>
      </c>
      <c r="AE1149" s="32" t="str">
        <f t="shared" si="87"/>
        <v>✓ OK</v>
      </c>
      <c r="AF1149" s="33" t="s">
        <v>61</v>
      </c>
      <c r="AG1149" s="33" t="s">
        <v>55</v>
      </c>
      <c r="AH1149" s="33" t="s">
        <v>56</v>
      </c>
      <c r="AI1149" s="33" t="s">
        <v>57</v>
      </c>
      <c r="AJ1149" s="33" t="s">
        <v>58</v>
      </c>
      <c r="AK1149" s="33" t="s">
        <v>56</v>
      </c>
      <c r="AL1149" s="27"/>
      <c r="AM1149" s="34" t="s">
        <v>57</v>
      </c>
      <c r="AN1149" s="35" t="str">
        <f t="shared" si="88"/>
        <v>✓ OK</v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3623</v>
      </c>
      <c r="C1150" s="41" t="s">
        <v>3624</v>
      </c>
      <c r="D1150" s="39" t="s">
        <v>3482</v>
      </c>
      <c r="E1150" s="42">
        <v>46129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42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70">
        <v>46248</v>
      </c>
      <c r="X1150" s="30" t="s">
        <v>55</v>
      </c>
      <c r="Y1150" s="30" t="s">
        <v>56</v>
      </c>
      <c r="Z1150" s="30" t="s">
        <v>57</v>
      </c>
      <c r="AA1150" s="30" t="s">
        <v>58</v>
      </c>
      <c r="AB1150" s="30" t="s">
        <v>56</v>
      </c>
      <c r="AC1150" s="27"/>
      <c r="AD1150" s="31" t="s">
        <v>57</v>
      </c>
      <c r="AE1150" s="32" t="str">
        <f t="shared" si="87"/>
        <v>✓ OK</v>
      </c>
      <c r="AF1150" s="33" t="s">
        <v>61</v>
      </c>
      <c r="AG1150" s="33" t="s">
        <v>55</v>
      </c>
      <c r="AH1150" s="33" t="s">
        <v>56</v>
      </c>
      <c r="AI1150" s="33" t="s">
        <v>57</v>
      </c>
      <c r="AJ1150" s="33" t="s">
        <v>58</v>
      </c>
      <c r="AK1150" s="33" t="s">
        <v>56</v>
      </c>
      <c r="AL1150" s="27"/>
      <c r="AM1150" s="34" t="s">
        <v>57</v>
      </c>
      <c r="AN1150" s="35" t="str">
        <f t="shared" si="88"/>
        <v>✓ OK</v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3625</v>
      </c>
      <c r="C1151" s="25" t="s">
        <v>3626</v>
      </c>
      <c r="D1151" s="23" t="s">
        <v>3482</v>
      </c>
      <c r="E1151" s="42">
        <v>46129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42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70">
        <v>46248</v>
      </c>
      <c r="X1151" s="30" t="s">
        <v>55</v>
      </c>
      <c r="Y1151" s="30" t="s">
        <v>56</v>
      </c>
      <c r="Z1151" s="30" t="s">
        <v>57</v>
      </c>
      <c r="AA1151" s="30" t="s">
        <v>58</v>
      </c>
      <c r="AB1151" s="30" t="s">
        <v>56</v>
      </c>
      <c r="AC1151" s="27"/>
      <c r="AD1151" s="31" t="s">
        <v>57</v>
      </c>
      <c r="AE1151" s="32" t="str">
        <f t="shared" si="87"/>
        <v>✓ OK</v>
      </c>
      <c r="AF1151" s="33" t="s">
        <v>61</v>
      </c>
      <c r="AG1151" s="33" t="s">
        <v>55</v>
      </c>
      <c r="AH1151" s="33" t="s">
        <v>56</v>
      </c>
      <c r="AI1151" s="33" t="s">
        <v>57</v>
      </c>
      <c r="AJ1151" s="33" t="s">
        <v>58</v>
      </c>
      <c r="AK1151" s="33" t="s">
        <v>56</v>
      </c>
      <c r="AL1151" s="27"/>
      <c r="AM1151" s="34" t="s">
        <v>57</v>
      </c>
      <c r="AN1151" s="35" t="str">
        <f t="shared" si="88"/>
        <v>✓ OK</v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3627</v>
      </c>
      <c r="C1152" s="41" t="s">
        <v>3628</v>
      </c>
      <c r="D1152" s="39" t="s">
        <v>3482</v>
      </c>
      <c r="E1152" s="42">
        <v>46129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42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70">
        <v>46248</v>
      </c>
      <c r="X1152" s="30" t="s">
        <v>55</v>
      </c>
      <c r="Y1152" s="30" t="s">
        <v>56</v>
      </c>
      <c r="Z1152" s="30" t="s">
        <v>57</v>
      </c>
      <c r="AA1152" s="30" t="s">
        <v>58</v>
      </c>
      <c r="AB1152" s="30" t="s">
        <v>56</v>
      </c>
      <c r="AC1152" s="27"/>
      <c r="AD1152" s="31" t="s">
        <v>57</v>
      </c>
      <c r="AE1152" s="32" t="str">
        <f t="shared" si="87"/>
        <v>✓ OK</v>
      </c>
      <c r="AF1152" s="33" t="s">
        <v>61</v>
      </c>
      <c r="AG1152" s="33" t="s">
        <v>55</v>
      </c>
      <c r="AH1152" s="33" t="s">
        <v>56</v>
      </c>
      <c r="AI1152" s="33" t="s">
        <v>57</v>
      </c>
      <c r="AJ1152" s="33" t="s">
        <v>58</v>
      </c>
      <c r="AK1152" s="33" t="s">
        <v>56</v>
      </c>
      <c r="AL1152" s="27"/>
      <c r="AM1152" s="34" t="s">
        <v>57</v>
      </c>
      <c r="AN1152" s="35" t="str">
        <f t="shared" si="88"/>
        <v>✓ OK</v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3629</v>
      </c>
      <c r="C1153" s="25" t="s">
        <v>3630</v>
      </c>
      <c r="D1153" s="23" t="s">
        <v>3482</v>
      </c>
      <c r="E1153" s="42">
        <v>46129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42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70">
        <v>46248</v>
      </c>
      <c r="X1153" s="30" t="s">
        <v>55</v>
      </c>
      <c r="Y1153" s="30" t="s">
        <v>56</v>
      </c>
      <c r="Z1153" s="30" t="s">
        <v>57</v>
      </c>
      <c r="AA1153" s="30" t="s">
        <v>58</v>
      </c>
      <c r="AB1153" s="30" t="s">
        <v>56</v>
      </c>
      <c r="AC1153" s="27"/>
      <c r="AD1153" s="31" t="s">
        <v>57</v>
      </c>
      <c r="AE1153" s="32" t="str">
        <f t="shared" si="87"/>
        <v>✓ OK</v>
      </c>
      <c r="AF1153" s="33" t="s">
        <v>61</v>
      </c>
      <c r="AG1153" s="33" t="s">
        <v>55</v>
      </c>
      <c r="AH1153" s="33" t="s">
        <v>56</v>
      </c>
      <c r="AI1153" s="33" t="s">
        <v>57</v>
      </c>
      <c r="AJ1153" s="33" t="s">
        <v>58</v>
      </c>
      <c r="AK1153" s="33" t="s">
        <v>56</v>
      </c>
      <c r="AL1153" s="27"/>
      <c r="AM1153" s="34" t="s">
        <v>57</v>
      </c>
      <c r="AN1153" s="35" t="str">
        <f t="shared" si="88"/>
        <v>✓ OK</v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3631</v>
      </c>
      <c r="C1154" s="41" t="s">
        <v>3632</v>
      </c>
      <c r="D1154" s="39" t="s">
        <v>3482</v>
      </c>
      <c r="E1154" s="42">
        <v>46129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42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70">
        <v>46248</v>
      </c>
      <c r="X1154" s="30" t="s">
        <v>55</v>
      </c>
      <c r="Y1154" s="30" t="s">
        <v>56</v>
      </c>
      <c r="Z1154" s="30" t="s">
        <v>57</v>
      </c>
      <c r="AA1154" s="30" t="s">
        <v>58</v>
      </c>
      <c r="AB1154" s="30" t="s">
        <v>56</v>
      </c>
      <c r="AC1154" s="27"/>
      <c r="AD1154" s="31" t="s">
        <v>57</v>
      </c>
      <c r="AE1154" s="32" t="str">
        <f t="shared" si="87"/>
        <v>✓ OK</v>
      </c>
      <c r="AF1154" s="33" t="s">
        <v>61</v>
      </c>
      <c r="AG1154" s="33" t="s">
        <v>55</v>
      </c>
      <c r="AH1154" s="33" t="s">
        <v>56</v>
      </c>
      <c r="AI1154" s="33" t="s">
        <v>57</v>
      </c>
      <c r="AJ1154" s="33" t="s">
        <v>58</v>
      </c>
      <c r="AK1154" s="33" t="s">
        <v>56</v>
      </c>
      <c r="AL1154" s="27"/>
      <c r="AM1154" s="34" t="s">
        <v>57</v>
      </c>
      <c r="AN1154" s="35" t="str">
        <f t="shared" si="88"/>
        <v>✓ OK</v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3633</v>
      </c>
      <c r="C1155" s="25" t="s">
        <v>3634</v>
      </c>
      <c r="D1155" s="23" t="s">
        <v>3482</v>
      </c>
      <c r="E1155" s="42">
        <v>46129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42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70">
        <v>46248</v>
      </c>
      <c r="X1155" s="30" t="s">
        <v>55</v>
      </c>
      <c r="Y1155" s="30" t="s">
        <v>56</v>
      </c>
      <c r="Z1155" s="30" t="s">
        <v>57</v>
      </c>
      <c r="AA1155" s="30" t="s">
        <v>58</v>
      </c>
      <c r="AB1155" s="30" t="s">
        <v>56</v>
      </c>
      <c r="AC1155" s="27"/>
      <c r="AD1155" s="31" t="s">
        <v>57</v>
      </c>
      <c r="AE1155" s="32" t="str">
        <f t="shared" si="87"/>
        <v>✓ OK</v>
      </c>
      <c r="AF1155" s="33" t="s">
        <v>61</v>
      </c>
      <c r="AG1155" s="33" t="s">
        <v>55</v>
      </c>
      <c r="AH1155" s="33" t="s">
        <v>56</v>
      </c>
      <c r="AI1155" s="33" t="s">
        <v>57</v>
      </c>
      <c r="AJ1155" s="33" t="s">
        <v>58</v>
      </c>
      <c r="AK1155" s="33" t="s">
        <v>56</v>
      </c>
      <c r="AL1155" s="27"/>
      <c r="AM1155" s="34" t="s">
        <v>57</v>
      </c>
      <c r="AN1155" s="35" t="str">
        <f t="shared" si="88"/>
        <v>✓ OK</v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3635</v>
      </c>
      <c r="C1156" s="41" t="s">
        <v>3636</v>
      </c>
      <c r="D1156" s="39" t="s">
        <v>3482</v>
      </c>
      <c r="E1156" s="42">
        <v>46129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42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70">
        <v>46248</v>
      </c>
      <c r="X1156" s="30" t="s">
        <v>55</v>
      </c>
      <c r="Y1156" s="30" t="s">
        <v>56</v>
      </c>
      <c r="Z1156" s="30" t="s">
        <v>57</v>
      </c>
      <c r="AA1156" s="30" t="s">
        <v>58</v>
      </c>
      <c r="AB1156" s="30" t="s">
        <v>56</v>
      </c>
      <c r="AC1156" s="27"/>
      <c r="AD1156" s="31" t="s">
        <v>57</v>
      </c>
      <c r="AE1156" s="32" t="str">
        <f t="shared" si="87"/>
        <v>✓ OK</v>
      </c>
      <c r="AF1156" s="33" t="s">
        <v>61</v>
      </c>
      <c r="AG1156" s="33" t="s">
        <v>55</v>
      </c>
      <c r="AH1156" s="33" t="s">
        <v>56</v>
      </c>
      <c r="AI1156" s="33" t="s">
        <v>57</v>
      </c>
      <c r="AJ1156" s="33" t="s">
        <v>58</v>
      </c>
      <c r="AK1156" s="33" t="s">
        <v>56</v>
      </c>
      <c r="AL1156" s="27"/>
      <c r="AM1156" s="34" t="s">
        <v>57</v>
      </c>
      <c r="AN1156" s="35" t="str">
        <f t="shared" si="88"/>
        <v>✓ OK</v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3637</v>
      </c>
      <c r="C1157" s="25" t="s">
        <v>3638</v>
      </c>
      <c r="D1157" s="23" t="s">
        <v>3482</v>
      </c>
      <c r="E1157" s="42">
        <v>46129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42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70">
        <v>46248</v>
      </c>
      <c r="X1157" s="30" t="s">
        <v>55</v>
      </c>
      <c r="Y1157" s="30" t="s">
        <v>56</v>
      </c>
      <c r="Z1157" s="30" t="s">
        <v>57</v>
      </c>
      <c r="AA1157" s="30" t="s">
        <v>58</v>
      </c>
      <c r="AB1157" s="30" t="s">
        <v>56</v>
      </c>
      <c r="AC1157" s="27"/>
      <c r="AD1157" s="31" t="s">
        <v>57</v>
      </c>
      <c r="AE1157" s="32" t="str">
        <f t="shared" ref="AE1157:AE1220" si="92">IF(W1157="","",IF(Z1157="Yes","❌ Disc",IF(Y1157="No","⚠ Missing",IF(AB1157="Yes","✓ OK","⚠ Check"))))</f>
        <v>✓ OK</v>
      </c>
      <c r="AF1157" s="33" t="s">
        <v>61</v>
      </c>
      <c r="AG1157" s="33" t="s">
        <v>55</v>
      </c>
      <c r="AH1157" s="33" t="s">
        <v>56</v>
      </c>
      <c r="AI1157" s="33" t="s">
        <v>57</v>
      </c>
      <c r="AJ1157" s="33" t="s">
        <v>58</v>
      </c>
      <c r="AK1157" s="33" t="s">
        <v>56</v>
      </c>
      <c r="AL1157" s="27"/>
      <c r="AM1157" s="34" t="s">
        <v>57</v>
      </c>
      <c r="AN1157" s="35" t="str">
        <f t="shared" ref="AN1157:AN1220" si="93">IF(AF1157="","",IF(AI1157="Yes","❌ Disc",IF(AH1157="No","⚠ Missing",IF(AK1157="Yes","✓ OK","⚠ Check"))))</f>
        <v>✓ OK</v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3639</v>
      </c>
      <c r="C1158" s="41" t="s">
        <v>3640</v>
      </c>
      <c r="D1158" s="39" t="s">
        <v>3482</v>
      </c>
      <c r="E1158" s="42">
        <v>46129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42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70">
        <v>46248</v>
      </c>
      <c r="X1158" s="30" t="s">
        <v>55</v>
      </c>
      <c r="Y1158" s="30" t="s">
        <v>56</v>
      </c>
      <c r="Z1158" s="30" t="s">
        <v>57</v>
      </c>
      <c r="AA1158" s="30" t="s">
        <v>58</v>
      </c>
      <c r="AB1158" s="30" t="s">
        <v>56</v>
      </c>
      <c r="AC1158" s="27"/>
      <c r="AD1158" s="31" t="s">
        <v>57</v>
      </c>
      <c r="AE1158" s="32" t="str">
        <f t="shared" si="92"/>
        <v>✓ OK</v>
      </c>
      <c r="AF1158" s="33" t="s">
        <v>61</v>
      </c>
      <c r="AG1158" s="33" t="s">
        <v>55</v>
      </c>
      <c r="AH1158" s="33" t="s">
        <v>56</v>
      </c>
      <c r="AI1158" s="33" t="s">
        <v>57</v>
      </c>
      <c r="AJ1158" s="33" t="s">
        <v>58</v>
      </c>
      <c r="AK1158" s="33" t="s">
        <v>56</v>
      </c>
      <c r="AL1158" s="27"/>
      <c r="AM1158" s="34" t="s">
        <v>57</v>
      </c>
      <c r="AN1158" s="35" t="str">
        <f t="shared" si="93"/>
        <v>✓ OK</v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3641</v>
      </c>
      <c r="C1159" s="25" t="s">
        <v>3642</v>
      </c>
      <c r="D1159" s="23" t="s">
        <v>3482</v>
      </c>
      <c r="E1159" s="42">
        <v>46129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42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70">
        <v>46248</v>
      </c>
      <c r="X1159" s="30" t="s">
        <v>55</v>
      </c>
      <c r="Y1159" s="30" t="s">
        <v>56</v>
      </c>
      <c r="Z1159" s="30" t="s">
        <v>57</v>
      </c>
      <c r="AA1159" s="30" t="s">
        <v>58</v>
      </c>
      <c r="AB1159" s="30" t="s">
        <v>56</v>
      </c>
      <c r="AC1159" s="27"/>
      <c r="AD1159" s="31" t="s">
        <v>57</v>
      </c>
      <c r="AE1159" s="32" t="str">
        <f t="shared" si="92"/>
        <v>✓ OK</v>
      </c>
      <c r="AF1159" s="33" t="s">
        <v>61</v>
      </c>
      <c r="AG1159" s="33" t="s">
        <v>55</v>
      </c>
      <c r="AH1159" s="33" t="s">
        <v>56</v>
      </c>
      <c r="AI1159" s="33" t="s">
        <v>57</v>
      </c>
      <c r="AJ1159" s="33" t="s">
        <v>58</v>
      </c>
      <c r="AK1159" s="33" t="s">
        <v>56</v>
      </c>
      <c r="AL1159" s="27"/>
      <c r="AM1159" s="34" t="s">
        <v>57</v>
      </c>
      <c r="AN1159" s="35" t="str">
        <f t="shared" si="93"/>
        <v>✓ OK</v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3643</v>
      </c>
      <c r="C1160" s="41" t="s">
        <v>3644</v>
      </c>
      <c r="D1160" s="39" t="s">
        <v>3482</v>
      </c>
      <c r="E1160" s="42">
        <v>46129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42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70">
        <v>46248</v>
      </c>
      <c r="X1160" s="30" t="s">
        <v>55</v>
      </c>
      <c r="Y1160" s="30" t="s">
        <v>56</v>
      </c>
      <c r="Z1160" s="30" t="s">
        <v>57</v>
      </c>
      <c r="AA1160" s="30" t="s">
        <v>58</v>
      </c>
      <c r="AB1160" s="30" t="s">
        <v>56</v>
      </c>
      <c r="AC1160" s="27"/>
      <c r="AD1160" s="31" t="s">
        <v>57</v>
      </c>
      <c r="AE1160" s="32" t="str">
        <f t="shared" si="92"/>
        <v>✓ OK</v>
      </c>
      <c r="AF1160" s="33" t="s">
        <v>61</v>
      </c>
      <c r="AG1160" s="33" t="s">
        <v>55</v>
      </c>
      <c r="AH1160" s="33" t="s">
        <v>56</v>
      </c>
      <c r="AI1160" s="33" t="s">
        <v>57</v>
      </c>
      <c r="AJ1160" s="33" t="s">
        <v>58</v>
      </c>
      <c r="AK1160" s="33" t="s">
        <v>56</v>
      </c>
      <c r="AL1160" s="27"/>
      <c r="AM1160" s="34" t="s">
        <v>57</v>
      </c>
      <c r="AN1160" s="35" t="str">
        <f t="shared" si="93"/>
        <v>✓ OK</v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3645</v>
      </c>
      <c r="C1161" s="25" t="s">
        <v>3646</v>
      </c>
      <c r="D1161" s="23" t="s">
        <v>3482</v>
      </c>
      <c r="E1161" s="42">
        <v>46129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42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70">
        <v>46248</v>
      </c>
      <c r="X1161" s="30" t="s">
        <v>55</v>
      </c>
      <c r="Y1161" s="30" t="s">
        <v>56</v>
      </c>
      <c r="Z1161" s="30" t="s">
        <v>57</v>
      </c>
      <c r="AA1161" s="30" t="s">
        <v>58</v>
      </c>
      <c r="AB1161" s="30" t="s">
        <v>56</v>
      </c>
      <c r="AC1161" s="27"/>
      <c r="AD1161" s="31" t="s">
        <v>57</v>
      </c>
      <c r="AE1161" s="32" t="str">
        <f t="shared" si="92"/>
        <v>✓ OK</v>
      </c>
      <c r="AF1161" s="33" t="s">
        <v>61</v>
      </c>
      <c r="AG1161" s="33" t="s">
        <v>55</v>
      </c>
      <c r="AH1161" s="33" t="s">
        <v>56</v>
      </c>
      <c r="AI1161" s="33" t="s">
        <v>57</v>
      </c>
      <c r="AJ1161" s="33" t="s">
        <v>58</v>
      </c>
      <c r="AK1161" s="33" t="s">
        <v>56</v>
      </c>
      <c r="AL1161" s="27"/>
      <c r="AM1161" s="34" t="s">
        <v>57</v>
      </c>
      <c r="AN1161" s="35" t="str">
        <f t="shared" si="93"/>
        <v>✓ OK</v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3647</v>
      </c>
      <c r="C1162" s="41" t="s">
        <v>3648</v>
      </c>
      <c r="D1162" s="39" t="s">
        <v>3482</v>
      </c>
      <c r="E1162" s="42">
        <v>46129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42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70">
        <v>46248</v>
      </c>
      <c r="X1162" s="30" t="s">
        <v>55</v>
      </c>
      <c r="Y1162" s="30" t="s">
        <v>56</v>
      </c>
      <c r="Z1162" s="30" t="s">
        <v>57</v>
      </c>
      <c r="AA1162" s="30" t="s">
        <v>58</v>
      </c>
      <c r="AB1162" s="30" t="s">
        <v>56</v>
      </c>
      <c r="AC1162" s="27"/>
      <c r="AD1162" s="31" t="s">
        <v>57</v>
      </c>
      <c r="AE1162" s="32" t="str">
        <f t="shared" si="92"/>
        <v>✓ OK</v>
      </c>
      <c r="AF1162" s="33" t="s">
        <v>61</v>
      </c>
      <c r="AG1162" s="33" t="s">
        <v>55</v>
      </c>
      <c r="AH1162" s="33" t="s">
        <v>56</v>
      </c>
      <c r="AI1162" s="33" t="s">
        <v>57</v>
      </c>
      <c r="AJ1162" s="33" t="s">
        <v>58</v>
      </c>
      <c r="AK1162" s="33" t="s">
        <v>56</v>
      </c>
      <c r="AL1162" s="27"/>
      <c r="AM1162" s="34" t="s">
        <v>57</v>
      </c>
      <c r="AN1162" s="35" t="str">
        <f t="shared" si="93"/>
        <v>✓ OK</v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3649</v>
      </c>
      <c r="C1163" s="25" t="s">
        <v>3650</v>
      </c>
      <c r="D1163" s="23" t="s">
        <v>3482</v>
      </c>
      <c r="E1163" s="42">
        <v>46129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42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70">
        <v>46248</v>
      </c>
      <c r="X1163" s="30" t="s">
        <v>55</v>
      </c>
      <c r="Y1163" s="30" t="s">
        <v>56</v>
      </c>
      <c r="Z1163" s="30" t="s">
        <v>57</v>
      </c>
      <c r="AA1163" s="30" t="s">
        <v>58</v>
      </c>
      <c r="AB1163" s="30" t="s">
        <v>56</v>
      </c>
      <c r="AC1163" s="27"/>
      <c r="AD1163" s="31" t="s">
        <v>57</v>
      </c>
      <c r="AE1163" s="32" t="str">
        <f t="shared" si="92"/>
        <v>✓ OK</v>
      </c>
      <c r="AF1163" s="33" t="s">
        <v>61</v>
      </c>
      <c r="AG1163" s="33" t="s">
        <v>55</v>
      </c>
      <c r="AH1163" s="33" t="s">
        <v>56</v>
      </c>
      <c r="AI1163" s="33" t="s">
        <v>57</v>
      </c>
      <c r="AJ1163" s="33" t="s">
        <v>58</v>
      </c>
      <c r="AK1163" s="33" t="s">
        <v>56</v>
      </c>
      <c r="AL1163" s="27"/>
      <c r="AM1163" s="34" t="s">
        <v>57</v>
      </c>
      <c r="AN1163" s="35" t="str">
        <f t="shared" si="93"/>
        <v>✓ OK</v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3651</v>
      </c>
      <c r="C1164" s="41" t="s">
        <v>3652</v>
      </c>
      <c r="D1164" s="39" t="s">
        <v>3482</v>
      </c>
      <c r="E1164" s="42">
        <v>46129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42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70">
        <v>46248</v>
      </c>
      <c r="X1164" s="30" t="s">
        <v>55</v>
      </c>
      <c r="Y1164" s="30" t="s">
        <v>56</v>
      </c>
      <c r="Z1164" s="30" t="s">
        <v>57</v>
      </c>
      <c r="AA1164" s="30" t="s">
        <v>58</v>
      </c>
      <c r="AB1164" s="30" t="s">
        <v>56</v>
      </c>
      <c r="AC1164" s="27"/>
      <c r="AD1164" s="31" t="s">
        <v>57</v>
      </c>
      <c r="AE1164" s="32" t="str">
        <f t="shared" si="92"/>
        <v>✓ OK</v>
      </c>
      <c r="AF1164" s="33" t="s">
        <v>61</v>
      </c>
      <c r="AG1164" s="33" t="s">
        <v>55</v>
      </c>
      <c r="AH1164" s="33" t="s">
        <v>56</v>
      </c>
      <c r="AI1164" s="33" t="s">
        <v>57</v>
      </c>
      <c r="AJ1164" s="33" t="s">
        <v>58</v>
      </c>
      <c r="AK1164" s="33" t="s">
        <v>56</v>
      </c>
      <c r="AL1164" s="27"/>
      <c r="AM1164" s="34" t="s">
        <v>57</v>
      </c>
      <c r="AN1164" s="35" t="str">
        <f t="shared" si="93"/>
        <v>✓ OK</v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3653</v>
      </c>
      <c r="C1165" s="25" t="s">
        <v>3654</v>
      </c>
      <c r="D1165" s="23" t="s">
        <v>3482</v>
      </c>
      <c r="E1165" s="42">
        <v>46129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42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70">
        <v>46248</v>
      </c>
      <c r="X1165" s="30" t="s">
        <v>55</v>
      </c>
      <c r="Y1165" s="30" t="s">
        <v>56</v>
      </c>
      <c r="Z1165" s="30" t="s">
        <v>57</v>
      </c>
      <c r="AA1165" s="30" t="s">
        <v>58</v>
      </c>
      <c r="AB1165" s="30" t="s">
        <v>56</v>
      </c>
      <c r="AC1165" s="27"/>
      <c r="AD1165" s="31" t="s">
        <v>57</v>
      </c>
      <c r="AE1165" s="32" t="str">
        <f t="shared" si="92"/>
        <v>✓ OK</v>
      </c>
      <c r="AF1165" s="33" t="s">
        <v>61</v>
      </c>
      <c r="AG1165" s="33" t="s">
        <v>55</v>
      </c>
      <c r="AH1165" s="33" t="s">
        <v>56</v>
      </c>
      <c r="AI1165" s="33" t="s">
        <v>57</v>
      </c>
      <c r="AJ1165" s="33" t="s">
        <v>58</v>
      </c>
      <c r="AK1165" s="33" t="s">
        <v>56</v>
      </c>
      <c r="AL1165" s="27"/>
      <c r="AM1165" s="34" t="s">
        <v>57</v>
      </c>
      <c r="AN1165" s="35" t="str">
        <f t="shared" si="93"/>
        <v>✓ OK</v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3655</v>
      </c>
      <c r="C1166" s="41" t="s">
        <v>3656</v>
      </c>
      <c r="D1166" s="39" t="s">
        <v>3482</v>
      </c>
      <c r="E1166" s="42">
        <v>46129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42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70">
        <v>46248</v>
      </c>
      <c r="X1166" s="30" t="s">
        <v>55</v>
      </c>
      <c r="Y1166" s="30" t="s">
        <v>56</v>
      </c>
      <c r="Z1166" s="30" t="s">
        <v>57</v>
      </c>
      <c r="AA1166" s="30" t="s">
        <v>58</v>
      </c>
      <c r="AB1166" s="30" t="s">
        <v>56</v>
      </c>
      <c r="AC1166" s="27"/>
      <c r="AD1166" s="31" t="s">
        <v>57</v>
      </c>
      <c r="AE1166" s="32" t="str">
        <f t="shared" si="92"/>
        <v>✓ OK</v>
      </c>
      <c r="AF1166" s="33" t="s">
        <v>61</v>
      </c>
      <c r="AG1166" s="33" t="s">
        <v>55</v>
      </c>
      <c r="AH1166" s="33" t="s">
        <v>56</v>
      </c>
      <c r="AI1166" s="33" t="s">
        <v>57</v>
      </c>
      <c r="AJ1166" s="33" t="s">
        <v>58</v>
      </c>
      <c r="AK1166" s="33" t="s">
        <v>56</v>
      </c>
      <c r="AL1166" s="27"/>
      <c r="AM1166" s="34" t="s">
        <v>57</v>
      </c>
      <c r="AN1166" s="35" t="str">
        <f t="shared" si="93"/>
        <v>✓ OK</v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3657</v>
      </c>
      <c r="C1167" s="25" t="s">
        <v>3658</v>
      </c>
      <c r="D1167" s="23" t="s">
        <v>3482</v>
      </c>
      <c r="E1167" s="42">
        <v>46129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42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70">
        <v>46248</v>
      </c>
      <c r="X1167" s="30" t="s">
        <v>55</v>
      </c>
      <c r="Y1167" s="30" t="s">
        <v>56</v>
      </c>
      <c r="Z1167" s="30" t="s">
        <v>57</v>
      </c>
      <c r="AA1167" s="30" t="s">
        <v>58</v>
      </c>
      <c r="AB1167" s="30" t="s">
        <v>56</v>
      </c>
      <c r="AC1167" s="27"/>
      <c r="AD1167" s="31" t="s">
        <v>57</v>
      </c>
      <c r="AE1167" s="32" t="str">
        <f t="shared" si="92"/>
        <v>✓ OK</v>
      </c>
      <c r="AF1167" s="33" t="s">
        <v>61</v>
      </c>
      <c r="AG1167" s="33" t="s">
        <v>55</v>
      </c>
      <c r="AH1167" s="33" t="s">
        <v>56</v>
      </c>
      <c r="AI1167" s="33" t="s">
        <v>57</v>
      </c>
      <c r="AJ1167" s="33" t="s">
        <v>58</v>
      </c>
      <c r="AK1167" s="33" t="s">
        <v>56</v>
      </c>
      <c r="AL1167" s="27"/>
      <c r="AM1167" s="34" t="s">
        <v>57</v>
      </c>
      <c r="AN1167" s="35" t="str">
        <f t="shared" si="93"/>
        <v>✓ OK</v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3659</v>
      </c>
      <c r="C1168" s="41" t="s">
        <v>3660</v>
      </c>
      <c r="D1168" s="39" t="s">
        <v>3482</v>
      </c>
      <c r="E1168" s="42">
        <v>46129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42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70">
        <v>46248</v>
      </c>
      <c r="X1168" s="30" t="s">
        <v>55</v>
      </c>
      <c r="Y1168" s="30" t="s">
        <v>56</v>
      </c>
      <c r="Z1168" s="30" t="s">
        <v>57</v>
      </c>
      <c r="AA1168" s="30" t="s">
        <v>58</v>
      </c>
      <c r="AB1168" s="30" t="s">
        <v>56</v>
      </c>
      <c r="AC1168" s="27"/>
      <c r="AD1168" s="31" t="s">
        <v>57</v>
      </c>
      <c r="AE1168" s="32" t="str">
        <f t="shared" si="92"/>
        <v>✓ OK</v>
      </c>
      <c r="AF1168" s="33" t="s">
        <v>61</v>
      </c>
      <c r="AG1168" s="33" t="s">
        <v>55</v>
      </c>
      <c r="AH1168" s="33" t="s">
        <v>56</v>
      </c>
      <c r="AI1168" s="33" t="s">
        <v>57</v>
      </c>
      <c r="AJ1168" s="33" t="s">
        <v>58</v>
      </c>
      <c r="AK1168" s="33" t="s">
        <v>56</v>
      </c>
      <c r="AL1168" s="27"/>
      <c r="AM1168" s="34" t="s">
        <v>57</v>
      </c>
      <c r="AN1168" s="35" t="str">
        <f t="shared" si="93"/>
        <v>✓ OK</v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3661</v>
      </c>
      <c r="C1169" s="25" t="s">
        <v>3662</v>
      </c>
      <c r="D1169" s="23" t="s">
        <v>3482</v>
      </c>
      <c r="E1169" s="42">
        <v>46129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42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70">
        <v>46248</v>
      </c>
      <c r="X1169" s="30" t="s">
        <v>55</v>
      </c>
      <c r="Y1169" s="30" t="s">
        <v>56</v>
      </c>
      <c r="Z1169" s="30" t="s">
        <v>57</v>
      </c>
      <c r="AA1169" s="30" t="s">
        <v>58</v>
      </c>
      <c r="AB1169" s="30" t="s">
        <v>56</v>
      </c>
      <c r="AC1169" s="27"/>
      <c r="AD1169" s="31" t="s">
        <v>57</v>
      </c>
      <c r="AE1169" s="32" t="str">
        <f t="shared" si="92"/>
        <v>✓ OK</v>
      </c>
      <c r="AF1169" s="33" t="s">
        <v>61</v>
      </c>
      <c r="AG1169" s="33" t="s">
        <v>55</v>
      </c>
      <c r="AH1169" s="33" t="s">
        <v>56</v>
      </c>
      <c r="AI1169" s="33" t="s">
        <v>57</v>
      </c>
      <c r="AJ1169" s="33" t="s">
        <v>58</v>
      </c>
      <c r="AK1169" s="33" t="s">
        <v>56</v>
      </c>
      <c r="AL1169" s="27"/>
      <c r="AM1169" s="34" t="s">
        <v>57</v>
      </c>
      <c r="AN1169" s="35" t="str">
        <f t="shared" si="93"/>
        <v>✓ OK</v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3663</v>
      </c>
      <c r="C1170" s="41" t="s">
        <v>3664</v>
      </c>
      <c r="D1170" s="39" t="s">
        <v>3482</v>
      </c>
      <c r="E1170" s="42">
        <v>46129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42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70">
        <v>46248</v>
      </c>
      <c r="X1170" s="30" t="s">
        <v>55</v>
      </c>
      <c r="Y1170" s="30" t="s">
        <v>56</v>
      </c>
      <c r="Z1170" s="30" t="s">
        <v>57</v>
      </c>
      <c r="AA1170" s="30" t="s">
        <v>58</v>
      </c>
      <c r="AB1170" s="30" t="s">
        <v>56</v>
      </c>
      <c r="AC1170" s="27"/>
      <c r="AD1170" s="31" t="s">
        <v>57</v>
      </c>
      <c r="AE1170" s="32" t="str">
        <f t="shared" si="92"/>
        <v>✓ OK</v>
      </c>
      <c r="AF1170" s="33" t="s">
        <v>61</v>
      </c>
      <c r="AG1170" s="33" t="s">
        <v>55</v>
      </c>
      <c r="AH1170" s="33" t="s">
        <v>56</v>
      </c>
      <c r="AI1170" s="33" t="s">
        <v>57</v>
      </c>
      <c r="AJ1170" s="33" t="s">
        <v>58</v>
      </c>
      <c r="AK1170" s="33" t="s">
        <v>56</v>
      </c>
      <c r="AL1170" s="27"/>
      <c r="AM1170" s="34" t="s">
        <v>57</v>
      </c>
      <c r="AN1170" s="35" t="str">
        <f t="shared" si="93"/>
        <v>✓ OK</v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3665</v>
      </c>
      <c r="C1171" s="25" t="s">
        <v>3666</v>
      </c>
      <c r="D1171" s="23" t="s">
        <v>3482</v>
      </c>
      <c r="E1171" s="42">
        <v>46129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42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70">
        <v>46248</v>
      </c>
      <c r="X1171" s="30" t="s">
        <v>55</v>
      </c>
      <c r="Y1171" s="30" t="s">
        <v>56</v>
      </c>
      <c r="Z1171" s="30" t="s">
        <v>57</v>
      </c>
      <c r="AA1171" s="30" t="s">
        <v>58</v>
      </c>
      <c r="AB1171" s="30" t="s">
        <v>56</v>
      </c>
      <c r="AC1171" s="27"/>
      <c r="AD1171" s="31" t="s">
        <v>57</v>
      </c>
      <c r="AE1171" s="32" t="str">
        <f t="shared" si="92"/>
        <v>✓ OK</v>
      </c>
      <c r="AF1171" s="33" t="s">
        <v>61</v>
      </c>
      <c r="AG1171" s="33" t="s">
        <v>55</v>
      </c>
      <c r="AH1171" s="33" t="s">
        <v>56</v>
      </c>
      <c r="AI1171" s="33" t="s">
        <v>57</v>
      </c>
      <c r="AJ1171" s="33" t="s">
        <v>58</v>
      </c>
      <c r="AK1171" s="33" t="s">
        <v>56</v>
      </c>
      <c r="AL1171" s="27"/>
      <c r="AM1171" s="34" t="s">
        <v>57</v>
      </c>
      <c r="AN1171" s="35" t="str">
        <f t="shared" si="93"/>
        <v>✓ OK</v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3667</v>
      </c>
      <c r="C1172" s="41" t="s">
        <v>3668</v>
      </c>
      <c r="D1172" s="39" t="s">
        <v>3482</v>
      </c>
      <c r="E1172" s="42">
        <v>46129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42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70">
        <v>46248</v>
      </c>
      <c r="X1172" s="30" t="s">
        <v>55</v>
      </c>
      <c r="Y1172" s="30" t="s">
        <v>56</v>
      </c>
      <c r="Z1172" s="30" t="s">
        <v>57</v>
      </c>
      <c r="AA1172" s="30" t="s">
        <v>58</v>
      </c>
      <c r="AB1172" s="30" t="s">
        <v>56</v>
      </c>
      <c r="AC1172" s="27"/>
      <c r="AD1172" s="31" t="s">
        <v>57</v>
      </c>
      <c r="AE1172" s="32" t="str">
        <f t="shared" si="92"/>
        <v>✓ OK</v>
      </c>
      <c r="AF1172" s="33" t="s">
        <v>61</v>
      </c>
      <c r="AG1172" s="33" t="s">
        <v>55</v>
      </c>
      <c r="AH1172" s="33" t="s">
        <v>56</v>
      </c>
      <c r="AI1172" s="33" t="s">
        <v>57</v>
      </c>
      <c r="AJ1172" s="33" t="s">
        <v>58</v>
      </c>
      <c r="AK1172" s="33" t="s">
        <v>56</v>
      </c>
      <c r="AL1172" s="27"/>
      <c r="AM1172" s="34" t="s">
        <v>57</v>
      </c>
      <c r="AN1172" s="35" t="str">
        <f t="shared" si="93"/>
        <v>✓ OK</v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3669</v>
      </c>
      <c r="C1173" s="25" t="s">
        <v>3670</v>
      </c>
      <c r="D1173" s="23" t="s">
        <v>3482</v>
      </c>
      <c r="E1173" s="42">
        <v>46129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42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70">
        <v>46248</v>
      </c>
      <c r="X1173" s="30" t="s">
        <v>55</v>
      </c>
      <c r="Y1173" s="30" t="s">
        <v>56</v>
      </c>
      <c r="Z1173" s="30" t="s">
        <v>57</v>
      </c>
      <c r="AA1173" s="30" t="s">
        <v>58</v>
      </c>
      <c r="AB1173" s="30" t="s">
        <v>56</v>
      </c>
      <c r="AC1173" s="27"/>
      <c r="AD1173" s="31" t="s">
        <v>57</v>
      </c>
      <c r="AE1173" s="32" t="str">
        <f t="shared" si="92"/>
        <v>✓ OK</v>
      </c>
      <c r="AF1173" s="33" t="s">
        <v>61</v>
      </c>
      <c r="AG1173" s="33" t="s">
        <v>55</v>
      </c>
      <c r="AH1173" s="33" t="s">
        <v>56</v>
      </c>
      <c r="AI1173" s="33" t="s">
        <v>57</v>
      </c>
      <c r="AJ1173" s="33" t="s">
        <v>58</v>
      </c>
      <c r="AK1173" s="33" t="s">
        <v>56</v>
      </c>
      <c r="AL1173" s="27"/>
      <c r="AM1173" s="34" t="s">
        <v>57</v>
      </c>
      <c r="AN1173" s="35" t="str">
        <f t="shared" si="93"/>
        <v>✓ OK</v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3671</v>
      </c>
      <c r="C1174" s="41" t="s">
        <v>3672</v>
      </c>
      <c r="D1174" s="39" t="s">
        <v>3482</v>
      </c>
      <c r="E1174" s="42">
        <v>46129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42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70">
        <v>46248</v>
      </c>
      <c r="X1174" s="30" t="s">
        <v>55</v>
      </c>
      <c r="Y1174" s="30" t="s">
        <v>56</v>
      </c>
      <c r="Z1174" s="30" t="s">
        <v>57</v>
      </c>
      <c r="AA1174" s="30" t="s">
        <v>58</v>
      </c>
      <c r="AB1174" s="30" t="s">
        <v>56</v>
      </c>
      <c r="AC1174" s="27"/>
      <c r="AD1174" s="31" t="s">
        <v>57</v>
      </c>
      <c r="AE1174" s="32" t="str">
        <f t="shared" si="92"/>
        <v>✓ OK</v>
      </c>
      <c r="AF1174" s="33" t="s">
        <v>61</v>
      </c>
      <c r="AG1174" s="33" t="s">
        <v>55</v>
      </c>
      <c r="AH1174" s="33" t="s">
        <v>56</v>
      </c>
      <c r="AI1174" s="33" t="s">
        <v>57</v>
      </c>
      <c r="AJ1174" s="33" t="s">
        <v>58</v>
      </c>
      <c r="AK1174" s="33" t="s">
        <v>56</v>
      </c>
      <c r="AL1174" s="27"/>
      <c r="AM1174" s="34" t="s">
        <v>57</v>
      </c>
      <c r="AN1174" s="35" t="str">
        <f t="shared" si="93"/>
        <v>✓ OK</v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3673</v>
      </c>
      <c r="C1175" s="25" t="s">
        <v>3674</v>
      </c>
      <c r="D1175" s="23" t="s">
        <v>3482</v>
      </c>
      <c r="E1175" s="42">
        <v>46129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42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70">
        <v>46248</v>
      </c>
      <c r="X1175" s="30" t="s">
        <v>55</v>
      </c>
      <c r="Y1175" s="30" t="s">
        <v>56</v>
      </c>
      <c r="Z1175" s="30" t="s">
        <v>57</v>
      </c>
      <c r="AA1175" s="30" t="s">
        <v>58</v>
      </c>
      <c r="AB1175" s="30" t="s">
        <v>56</v>
      </c>
      <c r="AC1175" s="27"/>
      <c r="AD1175" s="31" t="s">
        <v>57</v>
      </c>
      <c r="AE1175" s="32" t="str">
        <f t="shared" si="92"/>
        <v>✓ OK</v>
      </c>
      <c r="AF1175" s="33" t="s">
        <v>61</v>
      </c>
      <c r="AG1175" s="33" t="s">
        <v>55</v>
      </c>
      <c r="AH1175" s="33" t="s">
        <v>56</v>
      </c>
      <c r="AI1175" s="33" t="s">
        <v>57</v>
      </c>
      <c r="AJ1175" s="33" t="s">
        <v>58</v>
      </c>
      <c r="AK1175" s="33" t="s">
        <v>56</v>
      </c>
      <c r="AL1175" s="27"/>
      <c r="AM1175" s="34" t="s">
        <v>57</v>
      </c>
      <c r="AN1175" s="35" t="str">
        <f t="shared" si="93"/>
        <v>✓ OK</v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3675</v>
      </c>
      <c r="C1176" s="41" t="s">
        <v>3676</v>
      </c>
      <c r="D1176" s="39" t="s">
        <v>3482</v>
      </c>
      <c r="E1176" s="42">
        <v>46129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42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70">
        <v>46248</v>
      </c>
      <c r="X1176" s="30" t="s">
        <v>55</v>
      </c>
      <c r="Y1176" s="30" t="s">
        <v>56</v>
      </c>
      <c r="Z1176" s="30" t="s">
        <v>57</v>
      </c>
      <c r="AA1176" s="30" t="s">
        <v>58</v>
      </c>
      <c r="AB1176" s="30" t="s">
        <v>56</v>
      </c>
      <c r="AC1176" s="27"/>
      <c r="AD1176" s="31" t="s">
        <v>57</v>
      </c>
      <c r="AE1176" s="32" t="str">
        <f t="shared" si="92"/>
        <v>✓ OK</v>
      </c>
      <c r="AF1176" s="33" t="s">
        <v>61</v>
      </c>
      <c r="AG1176" s="33" t="s">
        <v>55</v>
      </c>
      <c r="AH1176" s="33" t="s">
        <v>56</v>
      </c>
      <c r="AI1176" s="33" t="s">
        <v>57</v>
      </c>
      <c r="AJ1176" s="33" t="s">
        <v>58</v>
      </c>
      <c r="AK1176" s="33" t="s">
        <v>56</v>
      </c>
      <c r="AL1176" s="27"/>
      <c r="AM1176" s="34" t="s">
        <v>57</v>
      </c>
      <c r="AN1176" s="35" t="str">
        <f t="shared" si="93"/>
        <v>✓ OK</v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3677</v>
      </c>
      <c r="C1177" s="25" t="s">
        <v>3678</v>
      </c>
      <c r="D1177" s="23" t="s">
        <v>3482</v>
      </c>
      <c r="E1177" s="42">
        <v>46129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42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70">
        <v>46248</v>
      </c>
      <c r="X1177" s="30" t="s">
        <v>55</v>
      </c>
      <c r="Y1177" s="30" t="s">
        <v>56</v>
      </c>
      <c r="Z1177" s="30" t="s">
        <v>57</v>
      </c>
      <c r="AA1177" s="30" t="s">
        <v>58</v>
      </c>
      <c r="AB1177" s="30" t="s">
        <v>56</v>
      </c>
      <c r="AC1177" s="27"/>
      <c r="AD1177" s="31" t="s">
        <v>57</v>
      </c>
      <c r="AE1177" s="32" t="str">
        <f t="shared" si="92"/>
        <v>✓ OK</v>
      </c>
      <c r="AF1177" s="33" t="s">
        <v>61</v>
      </c>
      <c r="AG1177" s="33" t="s">
        <v>55</v>
      </c>
      <c r="AH1177" s="33" t="s">
        <v>56</v>
      </c>
      <c r="AI1177" s="33" t="s">
        <v>57</v>
      </c>
      <c r="AJ1177" s="33" t="s">
        <v>58</v>
      </c>
      <c r="AK1177" s="33" t="s">
        <v>56</v>
      </c>
      <c r="AL1177" s="27"/>
      <c r="AM1177" s="34" t="s">
        <v>57</v>
      </c>
      <c r="AN1177" s="35" t="str">
        <f t="shared" si="93"/>
        <v>✓ OK</v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3679</v>
      </c>
      <c r="C1178" s="41" t="s">
        <v>3680</v>
      </c>
      <c r="D1178" s="39" t="s">
        <v>3482</v>
      </c>
      <c r="E1178" s="42">
        <v>46129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42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70">
        <v>46248</v>
      </c>
      <c r="X1178" s="30" t="s">
        <v>55</v>
      </c>
      <c r="Y1178" s="30" t="s">
        <v>56</v>
      </c>
      <c r="Z1178" s="30" t="s">
        <v>57</v>
      </c>
      <c r="AA1178" s="30" t="s">
        <v>58</v>
      </c>
      <c r="AB1178" s="30" t="s">
        <v>56</v>
      </c>
      <c r="AC1178" s="27"/>
      <c r="AD1178" s="31" t="s">
        <v>57</v>
      </c>
      <c r="AE1178" s="32" t="str">
        <f t="shared" si="92"/>
        <v>✓ OK</v>
      </c>
      <c r="AF1178" s="33" t="s">
        <v>61</v>
      </c>
      <c r="AG1178" s="33" t="s">
        <v>55</v>
      </c>
      <c r="AH1178" s="33" t="s">
        <v>56</v>
      </c>
      <c r="AI1178" s="33" t="s">
        <v>57</v>
      </c>
      <c r="AJ1178" s="33" t="s">
        <v>58</v>
      </c>
      <c r="AK1178" s="33" t="s">
        <v>56</v>
      </c>
      <c r="AL1178" s="27"/>
      <c r="AM1178" s="34" t="s">
        <v>57</v>
      </c>
      <c r="AN1178" s="35" t="str">
        <f t="shared" si="93"/>
        <v>✓ OK</v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3681</v>
      </c>
      <c r="C1179" s="25" t="s">
        <v>3682</v>
      </c>
      <c r="D1179" s="23" t="s">
        <v>3482</v>
      </c>
      <c r="E1179" s="42">
        <v>46129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42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70">
        <v>46248</v>
      </c>
      <c r="X1179" s="30" t="s">
        <v>55</v>
      </c>
      <c r="Y1179" s="30" t="s">
        <v>56</v>
      </c>
      <c r="Z1179" s="30" t="s">
        <v>57</v>
      </c>
      <c r="AA1179" s="30" t="s">
        <v>58</v>
      </c>
      <c r="AB1179" s="30" t="s">
        <v>56</v>
      </c>
      <c r="AC1179" s="27"/>
      <c r="AD1179" s="31" t="s">
        <v>57</v>
      </c>
      <c r="AE1179" s="32" t="str">
        <f t="shared" si="92"/>
        <v>✓ OK</v>
      </c>
      <c r="AF1179" s="33" t="s">
        <v>61</v>
      </c>
      <c r="AG1179" s="33" t="s">
        <v>55</v>
      </c>
      <c r="AH1179" s="33" t="s">
        <v>56</v>
      </c>
      <c r="AI1179" s="33" t="s">
        <v>57</v>
      </c>
      <c r="AJ1179" s="33" t="s">
        <v>58</v>
      </c>
      <c r="AK1179" s="33" t="s">
        <v>56</v>
      </c>
      <c r="AL1179" s="27"/>
      <c r="AM1179" s="34" t="s">
        <v>57</v>
      </c>
      <c r="AN1179" s="35" t="str">
        <f t="shared" si="93"/>
        <v>✓ OK</v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3683</v>
      </c>
      <c r="C1180" s="41" t="s">
        <v>3684</v>
      </c>
      <c r="D1180" s="39" t="s">
        <v>3482</v>
      </c>
      <c r="E1180" s="42">
        <v>46129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42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70">
        <v>46248</v>
      </c>
      <c r="X1180" s="30" t="s">
        <v>55</v>
      </c>
      <c r="Y1180" s="30" t="s">
        <v>56</v>
      </c>
      <c r="Z1180" s="30" t="s">
        <v>57</v>
      </c>
      <c r="AA1180" s="30" t="s">
        <v>58</v>
      </c>
      <c r="AB1180" s="30" t="s">
        <v>56</v>
      </c>
      <c r="AC1180" s="27"/>
      <c r="AD1180" s="31" t="s">
        <v>57</v>
      </c>
      <c r="AE1180" s="32" t="str">
        <f t="shared" si="92"/>
        <v>✓ OK</v>
      </c>
      <c r="AF1180" s="33" t="s">
        <v>61</v>
      </c>
      <c r="AG1180" s="33" t="s">
        <v>55</v>
      </c>
      <c r="AH1180" s="33" t="s">
        <v>56</v>
      </c>
      <c r="AI1180" s="33" t="s">
        <v>57</v>
      </c>
      <c r="AJ1180" s="33" t="s">
        <v>58</v>
      </c>
      <c r="AK1180" s="33" t="s">
        <v>56</v>
      </c>
      <c r="AL1180" s="27"/>
      <c r="AM1180" s="34" t="s">
        <v>57</v>
      </c>
      <c r="AN1180" s="35" t="str">
        <f t="shared" si="93"/>
        <v>✓ OK</v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3685</v>
      </c>
      <c r="C1181" s="25" t="s">
        <v>3686</v>
      </c>
      <c r="D1181" s="23" t="s">
        <v>3482</v>
      </c>
      <c r="E1181" s="42">
        <v>46129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42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70">
        <v>46248</v>
      </c>
      <c r="X1181" s="30" t="s">
        <v>55</v>
      </c>
      <c r="Y1181" s="30" t="s">
        <v>56</v>
      </c>
      <c r="Z1181" s="30" t="s">
        <v>57</v>
      </c>
      <c r="AA1181" s="30" t="s">
        <v>58</v>
      </c>
      <c r="AB1181" s="30" t="s">
        <v>56</v>
      </c>
      <c r="AC1181" s="27"/>
      <c r="AD1181" s="31" t="s">
        <v>57</v>
      </c>
      <c r="AE1181" s="32" t="str">
        <f t="shared" si="92"/>
        <v>✓ OK</v>
      </c>
      <c r="AF1181" s="33" t="s">
        <v>61</v>
      </c>
      <c r="AG1181" s="33" t="s">
        <v>55</v>
      </c>
      <c r="AH1181" s="33" t="s">
        <v>56</v>
      </c>
      <c r="AI1181" s="33" t="s">
        <v>57</v>
      </c>
      <c r="AJ1181" s="33" t="s">
        <v>58</v>
      </c>
      <c r="AK1181" s="33" t="s">
        <v>56</v>
      </c>
      <c r="AL1181" s="27"/>
      <c r="AM1181" s="34" t="s">
        <v>57</v>
      </c>
      <c r="AN1181" s="35" t="str">
        <f t="shared" si="93"/>
        <v>✓ OK</v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3687</v>
      </c>
      <c r="C1182" s="41" t="s">
        <v>3688</v>
      </c>
      <c r="D1182" s="39" t="s">
        <v>3482</v>
      </c>
      <c r="E1182" s="42">
        <v>46129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42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70">
        <v>46248</v>
      </c>
      <c r="X1182" s="30" t="s">
        <v>55</v>
      </c>
      <c r="Y1182" s="30" t="s">
        <v>56</v>
      </c>
      <c r="Z1182" s="30" t="s">
        <v>57</v>
      </c>
      <c r="AA1182" s="30" t="s">
        <v>58</v>
      </c>
      <c r="AB1182" s="30" t="s">
        <v>56</v>
      </c>
      <c r="AC1182" s="27"/>
      <c r="AD1182" s="31" t="s">
        <v>57</v>
      </c>
      <c r="AE1182" s="32" t="str">
        <f t="shared" si="92"/>
        <v>✓ OK</v>
      </c>
      <c r="AF1182" s="33" t="s">
        <v>61</v>
      </c>
      <c r="AG1182" s="33" t="s">
        <v>55</v>
      </c>
      <c r="AH1182" s="33" t="s">
        <v>56</v>
      </c>
      <c r="AI1182" s="33" t="s">
        <v>57</v>
      </c>
      <c r="AJ1182" s="33" t="s">
        <v>58</v>
      </c>
      <c r="AK1182" s="33" t="s">
        <v>56</v>
      </c>
      <c r="AL1182" s="27"/>
      <c r="AM1182" s="34" t="s">
        <v>57</v>
      </c>
      <c r="AN1182" s="35" t="str">
        <f t="shared" si="93"/>
        <v>✓ OK</v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3689</v>
      </c>
      <c r="C1183" s="25" t="s">
        <v>3690</v>
      </c>
      <c r="D1183" s="23" t="s">
        <v>3482</v>
      </c>
      <c r="E1183" s="42">
        <v>46129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42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70">
        <v>46248</v>
      </c>
      <c r="X1183" s="30" t="s">
        <v>55</v>
      </c>
      <c r="Y1183" s="30" t="s">
        <v>56</v>
      </c>
      <c r="Z1183" s="30" t="s">
        <v>57</v>
      </c>
      <c r="AA1183" s="30" t="s">
        <v>58</v>
      </c>
      <c r="AB1183" s="30" t="s">
        <v>56</v>
      </c>
      <c r="AC1183" s="27"/>
      <c r="AD1183" s="31" t="s">
        <v>57</v>
      </c>
      <c r="AE1183" s="32" t="str">
        <f t="shared" si="92"/>
        <v>✓ OK</v>
      </c>
      <c r="AF1183" s="33" t="s">
        <v>61</v>
      </c>
      <c r="AG1183" s="33" t="s">
        <v>55</v>
      </c>
      <c r="AH1183" s="33" t="s">
        <v>56</v>
      </c>
      <c r="AI1183" s="33" t="s">
        <v>57</v>
      </c>
      <c r="AJ1183" s="33" t="s">
        <v>58</v>
      </c>
      <c r="AK1183" s="33" t="s">
        <v>56</v>
      </c>
      <c r="AL1183" s="27"/>
      <c r="AM1183" s="34" t="s">
        <v>57</v>
      </c>
      <c r="AN1183" s="35" t="str">
        <f t="shared" si="93"/>
        <v>✓ OK</v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3691</v>
      </c>
      <c r="C1184" s="41" t="s">
        <v>3692</v>
      </c>
      <c r="D1184" s="39" t="s">
        <v>3482</v>
      </c>
      <c r="E1184" s="42">
        <v>46129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42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70">
        <v>46248</v>
      </c>
      <c r="X1184" s="30" t="s">
        <v>55</v>
      </c>
      <c r="Y1184" s="30" t="s">
        <v>56</v>
      </c>
      <c r="Z1184" s="30" t="s">
        <v>57</v>
      </c>
      <c r="AA1184" s="30" t="s">
        <v>58</v>
      </c>
      <c r="AB1184" s="30" t="s">
        <v>56</v>
      </c>
      <c r="AC1184" s="27"/>
      <c r="AD1184" s="31" t="s">
        <v>57</v>
      </c>
      <c r="AE1184" s="32" t="str">
        <f t="shared" si="92"/>
        <v>✓ OK</v>
      </c>
      <c r="AF1184" s="33" t="s">
        <v>61</v>
      </c>
      <c r="AG1184" s="33" t="s">
        <v>55</v>
      </c>
      <c r="AH1184" s="33" t="s">
        <v>56</v>
      </c>
      <c r="AI1184" s="33" t="s">
        <v>57</v>
      </c>
      <c r="AJ1184" s="33" t="s">
        <v>58</v>
      </c>
      <c r="AK1184" s="33" t="s">
        <v>56</v>
      </c>
      <c r="AL1184" s="27"/>
      <c r="AM1184" s="34" t="s">
        <v>57</v>
      </c>
      <c r="AN1184" s="35" t="str">
        <f t="shared" si="93"/>
        <v>✓ OK</v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3693</v>
      </c>
      <c r="C1185" s="25" t="s">
        <v>3694</v>
      </c>
      <c r="D1185" s="23" t="s">
        <v>3482</v>
      </c>
      <c r="E1185" s="42">
        <v>46129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42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70">
        <v>46248</v>
      </c>
      <c r="X1185" s="30" t="s">
        <v>55</v>
      </c>
      <c r="Y1185" s="30" t="s">
        <v>56</v>
      </c>
      <c r="Z1185" s="30" t="s">
        <v>57</v>
      </c>
      <c r="AA1185" s="30" t="s">
        <v>58</v>
      </c>
      <c r="AB1185" s="30" t="s">
        <v>56</v>
      </c>
      <c r="AC1185" s="27"/>
      <c r="AD1185" s="31" t="s">
        <v>57</v>
      </c>
      <c r="AE1185" s="32" t="str">
        <f t="shared" si="92"/>
        <v>✓ OK</v>
      </c>
      <c r="AF1185" s="33" t="s">
        <v>61</v>
      </c>
      <c r="AG1185" s="33" t="s">
        <v>55</v>
      </c>
      <c r="AH1185" s="33" t="s">
        <v>56</v>
      </c>
      <c r="AI1185" s="33" t="s">
        <v>57</v>
      </c>
      <c r="AJ1185" s="33" t="s">
        <v>58</v>
      </c>
      <c r="AK1185" s="33" t="s">
        <v>56</v>
      </c>
      <c r="AL1185" s="27"/>
      <c r="AM1185" s="34" t="s">
        <v>57</v>
      </c>
      <c r="AN1185" s="35" t="str">
        <f t="shared" si="93"/>
        <v>✓ OK</v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3695</v>
      </c>
      <c r="C1186" s="41" t="s">
        <v>3696</v>
      </c>
      <c r="D1186" s="39" t="s">
        <v>3482</v>
      </c>
      <c r="E1186" s="42">
        <v>46129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42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70">
        <v>46248</v>
      </c>
      <c r="X1186" s="30" t="s">
        <v>55</v>
      </c>
      <c r="Y1186" s="30" t="s">
        <v>56</v>
      </c>
      <c r="Z1186" s="30" t="s">
        <v>57</v>
      </c>
      <c r="AA1186" s="30" t="s">
        <v>58</v>
      </c>
      <c r="AB1186" s="30" t="s">
        <v>56</v>
      </c>
      <c r="AC1186" s="27"/>
      <c r="AD1186" s="31" t="s">
        <v>57</v>
      </c>
      <c r="AE1186" s="32" t="str">
        <f t="shared" si="92"/>
        <v>✓ OK</v>
      </c>
      <c r="AF1186" s="33" t="s">
        <v>61</v>
      </c>
      <c r="AG1186" s="33" t="s">
        <v>55</v>
      </c>
      <c r="AH1186" s="33" t="s">
        <v>56</v>
      </c>
      <c r="AI1186" s="33" t="s">
        <v>57</v>
      </c>
      <c r="AJ1186" s="33" t="s">
        <v>58</v>
      </c>
      <c r="AK1186" s="33" t="s">
        <v>56</v>
      </c>
      <c r="AL1186" s="27"/>
      <c r="AM1186" s="34" t="s">
        <v>57</v>
      </c>
      <c r="AN1186" s="35" t="str">
        <f t="shared" si="93"/>
        <v>✓ OK</v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3697</v>
      </c>
      <c r="C1187" s="25" t="s">
        <v>3698</v>
      </c>
      <c r="D1187" s="23" t="s">
        <v>3482</v>
      </c>
      <c r="E1187" s="42">
        <v>46129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42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70">
        <v>46248</v>
      </c>
      <c r="X1187" s="30" t="s">
        <v>55</v>
      </c>
      <c r="Y1187" s="30" t="s">
        <v>56</v>
      </c>
      <c r="Z1187" s="30" t="s">
        <v>57</v>
      </c>
      <c r="AA1187" s="30" t="s">
        <v>58</v>
      </c>
      <c r="AB1187" s="30" t="s">
        <v>56</v>
      </c>
      <c r="AC1187" s="27"/>
      <c r="AD1187" s="31" t="s">
        <v>57</v>
      </c>
      <c r="AE1187" s="32" t="str">
        <f t="shared" si="92"/>
        <v>✓ OK</v>
      </c>
      <c r="AF1187" s="33" t="s">
        <v>61</v>
      </c>
      <c r="AG1187" s="33" t="s">
        <v>55</v>
      </c>
      <c r="AH1187" s="33" t="s">
        <v>56</v>
      </c>
      <c r="AI1187" s="33" t="s">
        <v>57</v>
      </c>
      <c r="AJ1187" s="33" t="s">
        <v>58</v>
      </c>
      <c r="AK1187" s="33" t="s">
        <v>56</v>
      </c>
      <c r="AL1187" s="27"/>
      <c r="AM1187" s="34" t="s">
        <v>57</v>
      </c>
      <c r="AN1187" s="35" t="str">
        <f t="shared" si="93"/>
        <v>✓ OK</v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3699</v>
      </c>
      <c r="C1188" s="41" t="s">
        <v>3700</v>
      </c>
      <c r="D1188" s="39" t="s">
        <v>3482</v>
      </c>
      <c r="E1188" s="42">
        <v>46129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42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70">
        <v>46248</v>
      </c>
      <c r="X1188" s="30" t="s">
        <v>55</v>
      </c>
      <c r="Y1188" s="30" t="s">
        <v>56</v>
      </c>
      <c r="Z1188" s="30" t="s">
        <v>57</v>
      </c>
      <c r="AA1188" s="30" t="s">
        <v>58</v>
      </c>
      <c r="AB1188" s="30" t="s">
        <v>56</v>
      </c>
      <c r="AC1188" s="27"/>
      <c r="AD1188" s="31" t="s">
        <v>57</v>
      </c>
      <c r="AE1188" s="32" t="str">
        <f t="shared" si="92"/>
        <v>✓ OK</v>
      </c>
      <c r="AF1188" s="33" t="s">
        <v>61</v>
      </c>
      <c r="AG1188" s="33" t="s">
        <v>55</v>
      </c>
      <c r="AH1188" s="33" t="s">
        <v>56</v>
      </c>
      <c r="AI1188" s="33" t="s">
        <v>57</v>
      </c>
      <c r="AJ1188" s="33" t="s">
        <v>58</v>
      </c>
      <c r="AK1188" s="33" t="s">
        <v>56</v>
      </c>
      <c r="AL1188" s="27"/>
      <c r="AM1188" s="34" t="s">
        <v>57</v>
      </c>
      <c r="AN1188" s="35" t="str">
        <f t="shared" si="93"/>
        <v>✓ OK</v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3701</v>
      </c>
      <c r="C1189" s="25" t="s">
        <v>3702</v>
      </c>
      <c r="D1189" s="23" t="s">
        <v>3482</v>
      </c>
      <c r="E1189" s="42">
        <v>46129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42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70">
        <v>46248</v>
      </c>
      <c r="X1189" s="30" t="s">
        <v>55</v>
      </c>
      <c r="Y1189" s="30" t="s">
        <v>56</v>
      </c>
      <c r="Z1189" s="30" t="s">
        <v>57</v>
      </c>
      <c r="AA1189" s="30" t="s">
        <v>58</v>
      </c>
      <c r="AB1189" s="30" t="s">
        <v>56</v>
      </c>
      <c r="AC1189" s="27"/>
      <c r="AD1189" s="31" t="s">
        <v>57</v>
      </c>
      <c r="AE1189" s="32" t="str">
        <f t="shared" si="92"/>
        <v>✓ OK</v>
      </c>
      <c r="AF1189" s="33" t="s">
        <v>61</v>
      </c>
      <c r="AG1189" s="33" t="s">
        <v>55</v>
      </c>
      <c r="AH1189" s="33" t="s">
        <v>56</v>
      </c>
      <c r="AI1189" s="33" t="s">
        <v>57</v>
      </c>
      <c r="AJ1189" s="33" t="s">
        <v>58</v>
      </c>
      <c r="AK1189" s="33" t="s">
        <v>56</v>
      </c>
      <c r="AL1189" s="27"/>
      <c r="AM1189" s="34" t="s">
        <v>57</v>
      </c>
      <c r="AN1189" s="35" t="str">
        <f t="shared" si="93"/>
        <v>✓ OK</v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3703</v>
      </c>
      <c r="C1190" s="41" t="s">
        <v>3704</v>
      </c>
      <c r="D1190" s="39" t="s">
        <v>3482</v>
      </c>
      <c r="E1190" s="42">
        <v>46129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42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70">
        <v>46248</v>
      </c>
      <c r="X1190" s="30" t="s">
        <v>55</v>
      </c>
      <c r="Y1190" s="30" t="s">
        <v>56</v>
      </c>
      <c r="Z1190" s="30" t="s">
        <v>57</v>
      </c>
      <c r="AA1190" s="30" t="s">
        <v>58</v>
      </c>
      <c r="AB1190" s="30" t="s">
        <v>56</v>
      </c>
      <c r="AC1190" s="27"/>
      <c r="AD1190" s="31" t="s">
        <v>57</v>
      </c>
      <c r="AE1190" s="32" t="str">
        <f t="shared" si="92"/>
        <v>✓ OK</v>
      </c>
      <c r="AF1190" s="33" t="s">
        <v>61</v>
      </c>
      <c r="AG1190" s="33" t="s">
        <v>55</v>
      </c>
      <c r="AH1190" s="33" t="s">
        <v>56</v>
      </c>
      <c r="AI1190" s="33" t="s">
        <v>57</v>
      </c>
      <c r="AJ1190" s="33" t="s">
        <v>58</v>
      </c>
      <c r="AK1190" s="33" t="s">
        <v>56</v>
      </c>
      <c r="AL1190" s="27"/>
      <c r="AM1190" s="34" t="s">
        <v>57</v>
      </c>
      <c r="AN1190" s="35" t="str">
        <f t="shared" si="93"/>
        <v>✓ OK</v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3705</v>
      </c>
      <c r="C1191" s="25" t="s">
        <v>3706</v>
      </c>
      <c r="D1191" s="23" t="s">
        <v>3482</v>
      </c>
      <c r="E1191" s="42">
        <v>46129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42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70">
        <v>46248</v>
      </c>
      <c r="X1191" s="30" t="s">
        <v>55</v>
      </c>
      <c r="Y1191" s="30" t="s">
        <v>56</v>
      </c>
      <c r="Z1191" s="30" t="s">
        <v>57</v>
      </c>
      <c r="AA1191" s="30" t="s">
        <v>58</v>
      </c>
      <c r="AB1191" s="30" t="s">
        <v>56</v>
      </c>
      <c r="AC1191" s="27"/>
      <c r="AD1191" s="31" t="s">
        <v>57</v>
      </c>
      <c r="AE1191" s="32" t="str">
        <f t="shared" si="92"/>
        <v>✓ OK</v>
      </c>
      <c r="AF1191" s="33" t="s">
        <v>61</v>
      </c>
      <c r="AG1191" s="33" t="s">
        <v>55</v>
      </c>
      <c r="AH1191" s="33" t="s">
        <v>56</v>
      </c>
      <c r="AI1191" s="33" t="s">
        <v>57</v>
      </c>
      <c r="AJ1191" s="33" t="s">
        <v>58</v>
      </c>
      <c r="AK1191" s="33" t="s">
        <v>56</v>
      </c>
      <c r="AL1191" s="27"/>
      <c r="AM1191" s="34" t="s">
        <v>57</v>
      </c>
      <c r="AN1191" s="35" t="str">
        <f t="shared" si="93"/>
        <v>✓ OK</v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3707</v>
      </c>
      <c r="C1192" s="41" t="s">
        <v>3708</v>
      </c>
      <c r="D1192" s="39" t="s">
        <v>3482</v>
      </c>
      <c r="E1192" s="42">
        <v>46129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42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70">
        <v>46248</v>
      </c>
      <c r="X1192" s="30" t="s">
        <v>55</v>
      </c>
      <c r="Y1192" s="30" t="s">
        <v>56</v>
      </c>
      <c r="Z1192" s="30" t="s">
        <v>57</v>
      </c>
      <c r="AA1192" s="30" t="s">
        <v>58</v>
      </c>
      <c r="AB1192" s="30" t="s">
        <v>56</v>
      </c>
      <c r="AC1192" s="27"/>
      <c r="AD1192" s="31" t="s">
        <v>57</v>
      </c>
      <c r="AE1192" s="32" t="str">
        <f t="shared" si="92"/>
        <v>✓ OK</v>
      </c>
      <c r="AF1192" s="33" t="s">
        <v>61</v>
      </c>
      <c r="AG1192" s="33" t="s">
        <v>55</v>
      </c>
      <c r="AH1192" s="33" t="s">
        <v>56</v>
      </c>
      <c r="AI1192" s="33" t="s">
        <v>57</v>
      </c>
      <c r="AJ1192" s="33" t="s">
        <v>58</v>
      </c>
      <c r="AK1192" s="33" t="s">
        <v>56</v>
      </c>
      <c r="AL1192" s="27"/>
      <c r="AM1192" s="34" t="s">
        <v>57</v>
      </c>
      <c r="AN1192" s="35" t="str">
        <f t="shared" si="93"/>
        <v>✓ OK</v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3709</v>
      </c>
      <c r="C1193" s="25" t="s">
        <v>3710</v>
      </c>
      <c r="D1193" s="23" t="s">
        <v>3482</v>
      </c>
      <c r="E1193" s="42">
        <v>46129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42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70">
        <v>46248</v>
      </c>
      <c r="X1193" s="30" t="s">
        <v>55</v>
      </c>
      <c r="Y1193" s="30" t="s">
        <v>56</v>
      </c>
      <c r="Z1193" s="30" t="s">
        <v>57</v>
      </c>
      <c r="AA1193" s="30" t="s">
        <v>58</v>
      </c>
      <c r="AB1193" s="30" t="s">
        <v>56</v>
      </c>
      <c r="AC1193" s="27"/>
      <c r="AD1193" s="31" t="s">
        <v>57</v>
      </c>
      <c r="AE1193" s="32" t="str">
        <f t="shared" si="92"/>
        <v>✓ OK</v>
      </c>
      <c r="AF1193" s="33" t="s">
        <v>61</v>
      </c>
      <c r="AG1193" s="33" t="s">
        <v>55</v>
      </c>
      <c r="AH1193" s="33" t="s">
        <v>56</v>
      </c>
      <c r="AI1193" s="33" t="s">
        <v>57</v>
      </c>
      <c r="AJ1193" s="33" t="s">
        <v>58</v>
      </c>
      <c r="AK1193" s="33" t="s">
        <v>56</v>
      </c>
      <c r="AL1193" s="27"/>
      <c r="AM1193" s="34" t="s">
        <v>57</v>
      </c>
      <c r="AN1193" s="35" t="str">
        <f t="shared" si="93"/>
        <v>✓ OK</v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3711</v>
      </c>
      <c r="C1194" s="41" t="s">
        <v>3712</v>
      </c>
      <c r="D1194" s="39" t="s">
        <v>3482</v>
      </c>
      <c r="E1194" s="42">
        <v>46129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42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70">
        <v>46248</v>
      </c>
      <c r="X1194" s="30" t="s">
        <v>55</v>
      </c>
      <c r="Y1194" s="30" t="s">
        <v>56</v>
      </c>
      <c r="Z1194" s="30" t="s">
        <v>57</v>
      </c>
      <c r="AA1194" s="30" t="s">
        <v>58</v>
      </c>
      <c r="AB1194" s="30" t="s">
        <v>56</v>
      </c>
      <c r="AC1194" s="27"/>
      <c r="AD1194" s="31" t="s">
        <v>57</v>
      </c>
      <c r="AE1194" s="32" t="str">
        <f t="shared" si="92"/>
        <v>✓ OK</v>
      </c>
      <c r="AF1194" s="33" t="s">
        <v>61</v>
      </c>
      <c r="AG1194" s="33" t="s">
        <v>55</v>
      </c>
      <c r="AH1194" s="33" t="s">
        <v>56</v>
      </c>
      <c r="AI1194" s="33" t="s">
        <v>57</v>
      </c>
      <c r="AJ1194" s="33" t="s">
        <v>58</v>
      </c>
      <c r="AK1194" s="33" t="s">
        <v>56</v>
      </c>
      <c r="AL1194" s="27"/>
      <c r="AM1194" s="34" t="s">
        <v>57</v>
      </c>
      <c r="AN1194" s="35" t="str">
        <f t="shared" si="93"/>
        <v>✓ OK</v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3713</v>
      </c>
      <c r="C1195" s="25" t="s">
        <v>3714</v>
      </c>
      <c r="D1195" s="23" t="s">
        <v>3482</v>
      </c>
      <c r="E1195" s="42">
        <v>46129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42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70">
        <v>46248</v>
      </c>
      <c r="X1195" s="30" t="s">
        <v>55</v>
      </c>
      <c r="Y1195" s="30" t="s">
        <v>56</v>
      </c>
      <c r="Z1195" s="30" t="s">
        <v>57</v>
      </c>
      <c r="AA1195" s="30" t="s">
        <v>58</v>
      </c>
      <c r="AB1195" s="30" t="s">
        <v>56</v>
      </c>
      <c r="AC1195" s="27"/>
      <c r="AD1195" s="31" t="s">
        <v>57</v>
      </c>
      <c r="AE1195" s="32" t="str">
        <f t="shared" si="92"/>
        <v>✓ OK</v>
      </c>
      <c r="AF1195" s="33" t="s">
        <v>61</v>
      </c>
      <c r="AG1195" s="33" t="s">
        <v>55</v>
      </c>
      <c r="AH1195" s="33" t="s">
        <v>56</v>
      </c>
      <c r="AI1195" s="33" t="s">
        <v>57</v>
      </c>
      <c r="AJ1195" s="33" t="s">
        <v>58</v>
      </c>
      <c r="AK1195" s="33" t="s">
        <v>56</v>
      </c>
      <c r="AL1195" s="27"/>
      <c r="AM1195" s="34" t="s">
        <v>57</v>
      </c>
      <c r="AN1195" s="35" t="str">
        <f t="shared" si="93"/>
        <v>✓ OK</v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3715</v>
      </c>
      <c r="C1196" s="41" t="s">
        <v>3716</v>
      </c>
      <c r="D1196" s="39" t="s">
        <v>3482</v>
      </c>
      <c r="E1196" s="42">
        <v>46129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42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70">
        <v>46248</v>
      </c>
      <c r="X1196" s="30" t="s">
        <v>55</v>
      </c>
      <c r="Y1196" s="30" t="s">
        <v>56</v>
      </c>
      <c r="Z1196" s="30" t="s">
        <v>57</v>
      </c>
      <c r="AA1196" s="30" t="s">
        <v>58</v>
      </c>
      <c r="AB1196" s="30" t="s">
        <v>56</v>
      </c>
      <c r="AC1196" s="27"/>
      <c r="AD1196" s="31" t="s">
        <v>57</v>
      </c>
      <c r="AE1196" s="32" t="str">
        <f t="shared" si="92"/>
        <v>✓ OK</v>
      </c>
      <c r="AF1196" s="33" t="s">
        <v>61</v>
      </c>
      <c r="AG1196" s="33" t="s">
        <v>55</v>
      </c>
      <c r="AH1196" s="33" t="s">
        <v>56</v>
      </c>
      <c r="AI1196" s="33" t="s">
        <v>57</v>
      </c>
      <c r="AJ1196" s="33" t="s">
        <v>58</v>
      </c>
      <c r="AK1196" s="33" t="s">
        <v>56</v>
      </c>
      <c r="AL1196" s="27"/>
      <c r="AM1196" s="34" t="s">
        <v>57</v>
      </c>
      <c r="AN1196" s="35" t="str">
        <f t="shared" si="93"/>
        <v>✓ OK</v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3717</v>
      </c>
      <c r="C1197" s="25" t="s">
        <v>3718</v>
      </c>
      <c r="D1197" s="23" t="s">
        <v>3482</v>
      </c>
      <c r="E1197" s="42">
        <v>46129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42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70">
        <v>46248</v>
      </c>
      <c r="X1197" s="30" t="s">
        <v>55</v>
      </c>
      <c r="Y1197" s="30" t="s">
        <v>56</v>
      </c>
      <c r="Z1197" s="30" t="s">
        <v>57</v>
      </c>
      <c r="AA1197" s="30" t="s">
        <v>58</v>
      </c>
      <c r="AB1197" s="30" t="s">
        <v>56</v>
      </c>
      <c r="AC1197" s="27"/>
      <c r="AD1197" s="31" t="s">
        <v>57</v>
      </c>
      <c r="AE1197" s="32" t="str">
        <f t="shared" si="92"/>
        <v>✓ OK</v>
      </c>
      <c r="AF1197" s="33" t="s">
        <v>61</v>
      </c>
      <c r="AG1197" s="33" t="s">
        <v>55</v>
      </c>
      <c r="AH1197" s="33" t="s">
        <v>56</v>
      </c>
      <c r="AI1197" s="33" t="s">
        <v>57</v>
      </c>
      <c r="AJ1197" s="33" t="s">
        <v>58</v>
      </c>
      <c r="AK1197" s="33" t="s">
        <v>56</v>
      </c>
      <c r="AL1197" s="27"/>
      <c r="AM1197" s="34" t="s">
        <v>57</v>
      </c>
      <c r="AN1197" s="35" t="str">
        <f t="shared" si="93"/>
        <v>✓ OK</v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3719</v>
      </c>
      <c r="C1198" s="41" t="s">
        <v>3720</v>
      </c>
      <c r="D1198" s="39" t="s">
        <v>3482</v>
      </c>
      <c r="E1198" s="42">
        <v>46129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42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70">
        <v>46248</v>
      </c>
      <c r="X1198" s="30" t="s">
        <v>55</v>
      </c>
      <c r="Y1198" s="30" t="s">
        <v>56</v>
      </c>
      <c r="Z1198" s="30" t="s">
        <v>57</v>
      </c>
      <c r="AA1198" s="30" t="s">
        <v>58</v>
      </c>
      <c r="AB1198" s="30" t="s">
        <v>56</v>
      </c>
      <c r="AC1198" s="27"/>
      <c r="AD1198" s="31" t="s">
        <v>57</v>
      </c>
      <c r="AE1198" s="32" t="str">
        <f t="shared" si="92"/>
        <v>✓ OK</v>
      </c>
      <c r="AF1198" s="33" t="s">
        <v>61</v>
      </c>
      <c r="AG1198" s="33" t="s">
        <v>55</v>
      </c>
      <c r="AH1198" s="33" t="s">
        <v>56</v>
      </c>
      <c r="AI1198" s="33" t="s">
        <v>57</v>
      </c>
      <c r="AJ1198" s="33" t="s">
        <v>58</v>
      </c>
      <c r="AK1198" s="33" t="s">
        <v>56</v>
      </c>
      <c r="AL1198" s="27"/>
      <c r="AM1198" s="34" t="s">
        <v>57</v>
      </c>
      <c r="AN1198" s="35" t="str">
        <f t="shared" si="93"/>
        <v>✓ OK</v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3721</v>
      </c>
      <c r="C1199" s="25" t="s">
        <v>3722</v>
      </c>
      <c r="D1199" s="23" t="s">
        <v>3482</v>
      </c>
      <c r="E1199" s="42">
        <v>46129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42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70">
        <v>46248</v>
      </c>
      <c r="X1199" s="30" t="s">
        <v>55</v>
      </c>
      <c r="Y1199" s="30" t="s">
        <v>56</v>
      </c>
      <c r="Z1199" s="30" t="s">
        <v>57</v>
      </c>
      <c r="AA1199" s="30" t="s">
        <v>58</v>
      </c>
      <c r="AB1199" s="30" t="s">
        <v>56</v>
      </c>
      <c r="AC1199" s="27"/>
      <c r="AD1199" s="31" t="s">
        <v>57</v>
      </c>
      <c r="AE1199" s="32" t="str">
        <f t="shared" si="92"/>
        <v>✓ OK</v>
      </c>
      <c r="AF1199" s="33" t="s">
        <v>61</v>
      </c>
      <c r="AG1199" s="33" t="s">
        <v>55</v>
      </c>
      <c r="AH1199" s="33" t="s">
        <v>56</v>
      </c>
      <c r="AI1199" s="33" t="s">
        <v>57</v>
      </c>
      <c r="AJ1199" s="33" t="s">
        <v>58</v>
      </c>
      <c r="AK1199" s="33" t="s">
        <v>56</v>
      </c>
      <c r="AL1199" s="27"/>
      <c r="AM1199" s="34" t="s">
        <v>57</v>
      </c>
      <c r="AN1199" s="35" t="str">
        <f t="shared" si="93"/>
        <v>✓ OK</v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3723</v>
      </c>
      <c r="C1200" s="41" t="s">
        <v>3724</v>
      </c>
      <c r="D1200" s="39" t="s">
        <v>3482</v>
      </c>
      <c r="E1200" s="42">
        <v>46129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42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70">
        <v>46248</v>
      </c>
      <c r="X1200" s="30" t="s">
        <v>55</v>
      </c>
      <c r="Y1200" s="30" t="s">
        <v>56</v>
      </c>
      <c r="Z1200" s="30" t="s">
        <v>57</v>
      </c>
      <c r="AA1200" s="30" t="s">
        <v>58</v>
      </c>
      <c r="AB1200" s="30" t="s">
        <v>56</v>
      </c>
      <c r="AC1200" s="27"/>
      <c r="AD1200" s="31" t="s">
        <v>57</v>
      </c>
      <c r="AE1200" s="32" t="str">
        <f t="shared" si="92"/>
        <v>✓ OK</v>
      </c>
      <c r="AF1200" s="33" t="s">
        <v>61</v>
      </c>
      <c r="AG1200" s="33" t="s">
        <v>55</v>
      </c>
      <c r="AH1200" s="33" t="s">
        <v>56</v>
      </c>
      <c r="AI1200" s="33" t="s">
        <v>57</v>
      </c>
      <c r="AJ1200" s="33" t="s">
        <v>58</v>
      </c>
      <c r="AK1200" s="33" t="s">
        <v>56</v>
      </c>
      <c r="AL1200" s="27"/>
      <c r="AM1200" s="34" t="s">
        <v>57</v>
      </c>
      <c r="AN1200" s="35" t="str">
        <f t="shared" si="93"/>
        <v>✓ OK</v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3725</v>
      </c>
      <c r="C1201" s="25" t="s">
        <v>3726</v>
      </c>
      <c r="D1201" s="23" t="s">
        <v>3482</v>
      </c>
      <c r="E1201" s="42">
        <v>46129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42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70">
        <v>46248</v>
      </c>
      <c r="X1201" s="30" t="s">
        <v>55</v>
      </c>
      <c r="Y1201" s="30" t="s">
        <v>56</v>
      </c>
      <c r="Z1201" s="30" t="s">
        <v>57</v>
      </c>
      <c r="AA1201" s="30" t="s">
        <v>58</v>
      </c>
      <c r="AB1201" s="30" t="s">
        <v>56</v>
      </c>
      <c r="AC1201" s="27"/>
      <c r="AD1201" s="31" t="s">
        <v>57</v>
      </c>
      <c r="AE1201" s="32" t="str">
        <f t="shared" si="92"/>
        <v>✓ OK</v>
      </c>
      <c r="AF1201" s="33" t="s">
        <v>61</v>
      </c>
      <c r="AG1201" s="33" t="s">
        <v>55</v>
      </c>
      <c r="AH1201" s="33" t="s">
        <v>56</v>
      </c>
      <c r="AI1201" s="33" t="s">
        <v>57</v>
      </c>
      <c r="AJ1201" s="33" t="s">
        <v>58</v>
      </c>
      <c r="AK1201" s="33" t="s">
        <v>56</v>
      </c>
      <c r="AL1201" s="27"/>
      <c r="AM1201" s="34" t="s">
        <v>57</v>
      </c>
      <c r="AN1201" s="35" t="str">
        <f t="shared" si="93"/>
        <v>✓ OK</v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3727</v>
      </c>
      <c r="C1202" s="41" t="s">
        <v>3728</v>
      </c>
      <c r="D1202" s="39" t="s">
        <v>3482</v>
      </c>
      <c r="E1202" s="42">
        <v>46129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42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70">
        <v>46248</v>
      </c>
      <c r="X1202" s="30" t="s">
        <v>55</v>
      </c>
      <c r="Y1202" s="30" t="s">
        <v>56</v>
      </c>
      <c r="Z1202" s="30" t="s">
        <v>57</v>
      </c>
      <c r="AA1202" s="30" t="s">
        <v>58</v>
      </c>
      <c r="AB1202" s="30" t="s">
        <v>56</v>
      </c>
      <c r="AC1202" s="27"/>
      <c r="AD1202" s="31" t="s">
        <v>57</v>
      </c>
      <c r="AE1202" s="32" t="str">
        <f t="shared" si="92"/>
        <v>✓ OK</v>
      </c>
      <c r="AF1202" s="33" t="s">
        <v>61</v>
      </c>
      <c r="AG1202" s="33" t="s">
        <v>55</v>
      </c>
      <c r="AH1202" s="33" t="s">
        <v>56</v>
      </c>
      <c r="AI1202" s="33" t="s">
        <v>57</v>
      </c>
      <c r="AJ1202" s="33" t="s">
        <v>58</v>
      </c>
      <c r="AK1202" s="33" t="s">
        <v>56</v>
      </c>
      <c r="AL1202" s="27"/>
      <c r="AM1202" s="34" t="s">
        <v>57</v>
      </c>
      <c r="AN1202" s="35" t="str">
        <f t="shared" si="93"/>
        <v>✓ OK</v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3729</v>
      </c>
      <c r="C1203" s="25" t="s">
        <v>3730</v>
      </c>
      <c r="D1203" s="23" t="s">
        <v>3482</v>
      </c>
      <c r="E1203" s="42">
        <v>46129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42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70">
        <v>46248</v>
      </c>
      <c r="X1203" s="30" t="s">
        <v>55</v>
      </c>
      <c r="Y1203" s="30" t="s">
        <v>56</v>
      </c>
      <c r="Z1203" s="30" t="s">
        <v>57</v>
      </c>
      <c r="AA1203" s="30" t="s">
        <v>58</v>
      </c>
      <c r="AB1203" s="30" t="s">
        <v>56</v>
      </c>
      <c r="AC1203" s="27"/>
      <c r="AD1203" s="31" t="s">
        <v>57</v>
      </c>
      <c r="AE1203" s="32" t="str">
        <f t="shared" si="92"/>
        <v>✓ OK</v>
      </c>
      <c r="AF1203" s="33" t="s">
        <v>61</v>
      </c>
      <c r="AG1203" s="33" t="s">
        <v>55</v>
      </c>
      <c r="AH1203" s="33" t="s">
        <v>56</v>
      </c>
      <c r="AI1203" s="33" t="s">
        <v>57</v>
      </c>
      <c r="AJ1203" s="33" t="s">
        <v>58</v>
      </c>
      <c r="AK1203" s="33" t="s">
        <v>56</v>
      </c>
      <c r="AL1203" s="27"/>
      <c r="AM1203" s="34" t="s">
        <v>57</v>
      </c>
      <c r="AN1203" s="35" t="str">
        <f t="shared" si="93"/>
        <v>✓ OK</v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3731</v>
      </c>
      <c r="C1204" s="41" t="s">
        <v>3732</v>
      </c>
      <c r="D1204" s="39" t="s">
        <v>3482</v>
      </c>
      <c r="E1204" s="42">
        <v>46129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42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70">
        <v>46248</v>
      </c>
      <c r="X1204" s="30" t="s">
        <v>55</v>
      </c>
      <c r="Y1204" s="30" t="s">
        <v>56</v>
      </c>
      <c r="Z1204" s="30" t="s">
        <v>57</v>
      </c>
      <c r="AA1204" s="30" t="s">
        <v>58</v>
      </c>
      <c r="AB1204" s="30" t="s">
        <v>56</v>
      </c>
      <c r="AC1204" s="27"/>
      <c r="AD1204" s="31" t="s">
        <v>57</v>
      </c>
      <c r="AE1204" s="32" t="str">
        <f t="shared" si="92"/>
        <v>✓ OK</v>
      </c>
      <c r="AF1204" s="33" t="s">
        <v>61</v>
      </c>
      <c r="AG1204" s="33" t="s">
        <v>55</v>
      </c>
      <c r="AH1204" s="33" t="s">
        <v>56</v>
      </c>
      <c r="AI1204" s="33" t="s">
        <v>57</v>
      </c>
      <c r="AJ1204" s="33" t="s">
        <v>58</v>
      </c>
      <c r="AK1204" s="33" t="s">
        <v>56</v>
      </c>
      <c r="AL1204" s="27"/>
      <c r="AM1204" s="34" t="s">
        <v>57</v>
      </c>
      <c r="AN1204" s="35" t="str">
        <f t="shared" si="93"/>
        <v>✓ OK</v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3733</v>
      </c>
      <c r="C1205" s="25" t="s">
        <v>3734</v>
      </c>
      <c r="D1205" s="23" t="s">
        <v>3482</v>
      </c>
      <c r="E1205" s="42">
        <v>46129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42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70">
        <v>46248</v>
      </c>
      <c r="X1205" s="30" t="s">
        <v>55</v>
      </c>
      <c r="Y1205" s="30" t="s">
        <v>56</v>
      </c>
      <c r="Z1205" s="30" t="s">
        <v>57</v>
      </c>
      <c r="AA1205" s="30" t="s">
        <v>58</v>
      </c>
      <c r="AB1205" s="30" t="s">
        <v>56</v>
      </c>
      <c r="AC1205" s="27"/>
      <c r="AD1205" s="31" t="s">
        <v>57</v>
      </c>
      <c r="AE1205" s="32" t="str">
        <f t="shared" si="92"/>
        <v>✓ OK</v>
      </c>
      <c r="AF1205" s="33" t="s">
        <v>61</v>
      </c>
      <c r="AG1205" s="33" t="s">
        <v>55</v>
      </c>
      <c r="AH1205" s="33" t="s">
        <v>56</v>
      </c>
      <c r="AI1205" s="33" t="s">
        <v>57</v>
      </c>
      <c r="AJ1205" s="33" t="s">
        <v>58</v>
      </c>
      <c r="AK1205" s="33" t="s">
        <v>56</v>
      </c>
      <c r="AL1205" s="27"/>
      <c r="AM1205" s="34" t="s">
        <v>57</v>
      </c>
      <c r="AN1205" s="35" t="str">
        <f t="shared" si="93"/>
        <v>✓ OK</v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3735</v>
      </c>
      <c r="C1206" s="41" t="s">
        <v>3736</v>
      </c>
      <c r="D1206" s="39" t="s">
        <v>3482</v>
      </c>
      <c r="E1206" s="42">
        <v>46129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42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70">
        <v>46248</v>
      </c>
      <c r="X1206" s="30" t="s">
        <v>55</v>
      </c>
      <c r="Y1206" s="30" t="s">
        <v>56</v>
      </c>
      <c r="Z1206" s="30" t="s">
        <v>57</v>
      </c>
      <c r="AA1206" s="30" t="s">
        <v>58</v>
      </c>
      <c r="AB1206" s="30" t="s">
        <v>56</v>
      </c>
      <c r="AC1206" s="27"/>
      <c r="AD1206" s="31" t="s">
        <v>57</v>
      </c>
      <c r="AE1206" s="32" t="str">
        <f t="shared" si="92"/>
        <v>✓ OK</v>
      </c>
      <c r="AF1206" s="33" t="s">
        <v>61</v>
      </c>
      <c r="AG1206" s="33" t="s">
        <v>55</v>
      </c>
      <c r="AH1206" s="33" t="s">
        <v>56</v>
      </c>
      <c r="AI1206" s="33" t="s">
        <v>57</v>
      </c>
      <c r="AJ1206" s="33" t="s">
        <v>58</v>
      </c>
      <c r="AK1206" s="33" t="s">
        <v>56</v>
      </c>
      <c r="AL1206" s="27"/>
      <c r="AM1206" s="34" t="s">
        <v>57</v>
      </c>
      <c r="AN1206" s="35" t="str">
        <f t="shared" si="93"/>
        <v>✓ OK</v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3737</v>
      </c>
      <c r="C1207" s="25" t="s">
        <v>3738</v>
      </c>
      <c r="D1207" s="23" t="s">
        <v>3482</v>
      </c>
      <c r="E1207" s="42">
        <v>46129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42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70">
        <v>46248</v>
      </c>
      <c r="X1207" s="30" t="s">
        <v>55</v>
      </c>
      <c r="Y1207" s="30" t="s">
        <v>56</v>
      </c>
      <c r="Z1207" s="30" t="s">
        <v>57</v>
      </c>
      <c r="AA1207" s="30" t="s">
        <v>58</v>
      </c>
      <c r="AB1207" s="30" t="s">
        <v>56</v>
      </c>
      <c r="AC1207" s="27"/>
      <c r="AD1207" s="31" t="s">
        <v>57</v>
      </c>
      <c r="AE1207" s="32" t="str">
        <f t="shared" si="92"/>
        <v>✓ OK</v>
      </c>
      <c r="AF1207" s="33" t="s">
        <v>61</v>
      </c>
      <c r="AG1207" s="33" t="s">
        <v>55</v>
      </c>
      <c r="AH1207" s="33" t="s">
        <v>56</v>
      </c>
      <c r="AI1207" s="33" t="s">
        <v>57</v>
      </c>
      <c r="AJ1207" s="33" t="s">
        <v>58</v>
      </c>
      <c r="AK1207" s="33" t="s">
        <v>56</v>
      </c>
      <c r="AL1207" s="27"/>
      <c r="AM1207" s="34" t="s">
        <v>57</v>
      </c>
      <c r="AN1207" s="35" t="str">
        <f t="shared" si="93"/>
        <v>✓ OK</v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3739</v>
      </c>
      <c r="C1208" s="41" t="s">
        <v>3740</v>
      </c>
      <c r="D1208" s="39" t="s">
        <v>3482</v>
      </c>
      <c r="E1208" s="42">
        <v>46129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42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70">
        <v>46248</v>
      </c>
      <c r="X1208" s="30" t="s">
        <v>55</v>
      </c>
      <c r="Y1208" s="30" t="s">
        <v>56</v>
      </c>
      <c r="Z1208" s="30" t="s">
        <v>57</v>
      </c>
      <c r="AA1208" s="30" t="s">
        <v>58</v>
      </c>
      <c r="AB1208" s="30" t="s">
        <v>56</v>
      </c>
      <c r="AC1208" s="27"/>
      <c r="AD1208" s="31" t="s">
        <v>57</v>
      </c>
      <c r="AE1208" s="32" t="str">
        <f t="shared" si="92"/>
        <v>✓ OK</v>
      </c>
      <c r="AF1208" s="33" t="s">
        <v>61</v>
      </c>
      <c r="AG1208" s="33" t="s">
        <v>55</v>
      </c>
      <c r="AH1208" s="33" t="s">
        <v>56</v>
      </c>
      <c r="AI1208" s="33" t="s">
        <v>57</v>
      </c>
      <c r="AJ1208" s="33" t="s">
        <v>58</v>
      </c>
      <c r="AK1208" s="33" t="s">
        <v>56</v>
      </c>
      <c r="AL1208" s="27"/>
      <c r="AM1208" s="34" t="s">
        <v>57</v>
      </c>
      <c r="AN1208" s="35" t="str">
        <f t="shared" si="93"/>
        <v>✓ OK</v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3741</v>
      </c>
      <c r="C1209" s="25" t="s">
        <v>3742</v>
      </c>
      <c r="D1209" s="23" t="s">
        <v>3482</v>
      </c>
      <c r="E1209" s="42">
        <v>46129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42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70">
        <v>46248</v>
      </c>
      <c r="X1209" s="30" t="s">
        <v>55</v>
      </c>
      <c r="Y1209" s="30" t="s">
        <v>56</v>
      </c>
      <c r="Z1209" s="30" t="s">
        <v>57</v>
      </c>
      <c r="AA1209" s="30" t="s">
        <v>58</v>
      </c>
      <c r="AB1209" s="30" t="s">
        <v>56</v>
      </c>
      <c r="AC1209" s="27"/>
      <c r="AD1209" s="31" t="s">
        <v>57</v>
      </c>
      <c r="AE1209" s="32" t="str">
        <f t="shared" si="92"/>
        <v>✓ OK</v>
      </c>
      <c r="AF1209" s="33" t="s">
        <v>61</v>
      </c>
      <c r="AG1209" s="33" t="s">
        <v>55</v>
      </c>
      <c r="AH1209" s="33" t="s">
        <v>56</v>
      </c>
      <c r="AI1209" s="33" t="s">
        <v>57</v>
      </c>
      <c r="AJ1209" s="33" t="s">
        <v>58</v>
      </c>
      <c r="AK1209" s="33" t="s">
        <v>56</v>
      </c>
      <c r="AL1209" s="27"/>
      <c r="AM1209" s="34" t="s">
        <v>57</v>
      </c>
      <c r="AN1209" s="35" t="str">
        <f t="shared" si="93"/>
        <v>✓ OK</v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3743</v>
      </c>
      <c r="C1210" s="41" t="s">
        <v>3744</v>
      </c>
      <c r="D1210" s="39" t="s">
        <v>3482</v>
      </c>
      <c r="E1210" s="42">
        <v>46129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42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70">
        <v>46248</v>
      </c>
      <c r="X1210" s="30" t="s">
        <v>55</v>
      </c>
      <c r="Y1210" s="30" t="s">
        <v>56</v>
      </c>
      <c r="Z1210" s="30" t="s">
        <v>57</v>
      </c>
      <c r="AA1210" s="30" t="s">
        <v>58</v>
      </c>
      <c r="AB1210" s="30" t="s">
        <v>56</v>
      </c>
      <c r="AC1210" s="27"/>
      <c r="AD1210" s="31" t="s">
        <v>57</v>
      </c>
      <c r="AE1210" s="32" t="str">
        <f t="shared" si="92"/>
        <v>✓ OK</v>
      </c>
      <c r="AF1210" s="33" t="s">
        <v>61</v>
      </c>
      <c r="AG1210" s="33" t="s">
        <v>55</v>
      </c>
      <c r="AH1210" s="33" t="s">
        <v>56</v>
      </c>
      <c r="AI1210" s="33" t="s">
        <v>57</v>
      </c>
      <c r="AJ1210" s="33" t="s">
        <v>58</v>
      </c>
      <c r="AK1210" s="33" t="s">
        <v>56</v>
      </c>
      <c r="AL1210" s="27"/>
      <c r="AM1210" s="34" t="s">
        <v>57</v>
      </c>
      <c r="AN1210" s="35" t="str">
        <f t="shared" si="93"/>
        <v>✓ OK</v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3745</v>
      </c>
      <c r="C1211" s="25" t="s">
        <v>3746</v>
      </c>
      <c r="D1211" s="23" t="s">
        <v>3482</v>
      </c>
      <c r="E1211" s="42">
        <v>46129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42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70">
        <v>46248</v>
      </c>
      <c r="X1211" s="30" t="s">
        <v>55</v>
      </c>
      <c r="Y1211" s="30" t="s">
        <v>56</v>
      </c>
      <c r="Z1211" s="30" t="s">
        <v>57</v>
      </c>
      <c r="AA1211" s="30" t="s">
        <v>58</v>
      </c>
      <c r="AB1211" s="30" t="s">
        <v>56</v>
      </c>
      <c r="AC1211" s="27"/>
      <c r="AD1211" s="31" t="s">
        <v>57</v>
      </c>
      <c r="AE1211" s="32" t="str">
        <f t="shared" si="92"/>
        <v>✓ OK</v>
      </c>
      <c r="AF1211" s="33" t="s">
        <v>61</v>
      </c>
      <c r="AG1211" s="33" t="s">
        <v>55</v>
      </c>
      <c r="AH1211" s="33" t="s">
        <v>56</v>
      </c>
      <c r="AI1211" s="33" t="s">
        <v>57</v>
      </c>
      <c r="AJ1211" s="33" t="s">
        <v>58</v>
      </c>
      <c r="AK1211" s="33" t="s">
        <v>56</v>
      </c>
      <c r="AL1211" s="27"/>
      <c r="AM1211" s="34" t="s">
        <v>57</v>
      </c>
      <c r="AN1211" s="35" t="str">
        <f t="shared" si="93"/>
        <v>✓ OK</v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3747</v>
      </c>
      <c r="C1212" s="41" t="s">
        <v>3748</v>
      </c>
      <c r="D1212" s="39" t="s">
        <v>3482</v>
      </c>
      <c r="E1212" s="42">
        <v>46129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42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70">
        <v>46248</v>
      </c>
      <c r="X1212" s="30" t="s">
        <v>55</v>
      </c>
      <c r="Y1212" s="30" t="s">
        <v>56</v>
      </c>
      <c r="Z1212" s="30" t="s">
        <v>57</v>
      </c>
      <c r="AA1212" s="30" t="s">
        <v>58</v>
      </c>
      <c r="AB1212" s="30" t="s">
        <v>56</v>
      </c>
      <c r="AC1212" s="27"/>
      <c r="AD1212" s="31" t="s">
        <v>57</v>
      </c>
      <c r="AE1212" s="32" t="str">
        <f t="shared" si="92"/>
        <v>✓ OK</v>
      </c>
      <c r="AF1212" s="33" t="s">
        <v>61</v>
      </c>
      <c r="AG1212" s="33" t="s">
        <v>55</v>
      </c>
      <c r="AH1212" s="33" t="s">
        <v>56</v>
      </c>
      <c r="AI1212" s="33" t="s">
        <v>57</v>
      </c>
      <c r="AJ1212" s="33" t="s">
        <v>58</v>
      </c>
      <c r="AK1212" s="33" t="s">
        <v>56</v>
      </c>
      <c r="AL1212" s="27"/>
      <c r="AM1212" s="34" t="s">
        <v>57</v>
      </c>
      <c r="AN1212" s="35" t="str">
        <f t="shared" si="93"/>
        <v>✓ OK</v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3749</v>
      </c>
      <c r="C1213" s="25" t="s">
        <v>3750</v>
      </c>
      <c r="D1213" s="23" t="s">
        <v>3482</v>
      </c>
      <c r="E1213" s="42">
        <v>46129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42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70">
        <v>46248</v>
      </c>
      <c r="X1213" s="30" t="s">
        <v>55</v>
      </c>
      <c r="Y1213" s="30" t="s">
        <v>56</v>
      </c>
      <c r="Z1213" s="30" t="s">
        <v>57</v>
      </c>
      <c r="AA1213" s="30" t="s">
        <v>58</v>
      </c>
      <c r="AB1213" s="30" t="s">
        <v>56</v>
      </c>
      <c r="AC1213" s="27"/>
      <c r="AD1213" s="31" t="s">
        <v>57</v>
      </c>
      <c r="AE1213" s="32" t="str">
        <f t="shared" si="92"/>
        <v>✓ OK</v>
      </c>
      <c r="AF1213" s="33" t="s">
        <v>61</v>
      </c>
      <c r="AG1213" s="33" t="s">
        <v>55</v>
      </c>
      <c r="AH1213" s="33" t="s">
        <v>56</v>
      </c>
      <c r="AI1213" s="33" t="s">
        <v>57</v>
      </c>
      <c r="AJ1213" s="33" t="s">
        <v>58</v>
      </c>
      <c r="AK1213" s="33" t="s">
        <v>56</v>
      </c>
      <c r="AL1213" s="27"/>
      <c r="AM1213" s="34" t="s">
        <v>57</v>
      </c>
      <c r="AN1213" s="35" t="str">
        <f t="shared" si="93"/>
        <v>✓ OK</v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3751</v>
      </c>
      <c r="C1214" s="41" t="s">
        <v>3752</v>
      </c>
      <c r="D1214" s="39" t="s">
        <v>3482</v>
      </c>
      <c r="E1214" s="42">
        <v>46129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42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70">
        <v>46248</v>
      </c>
      <c r="X1214" s="30" t="s">
        <v>55</v>
      </c>
      <c r="Y1214" s="30" t="s">
        <v>56</v>
      </c>
      <c r="Z1214" s="30" t="s">
        <v>57</v>
      </c>
      <c r="AA1214" s="30" t="s">
        <v>58</v>
      </c>
      <c r="AB1214" s="30" t="s">
        <v>56</v>
      </c>
      <c r="AC1214" s="27"/>
      <c r="AD1214" s="31" t="s">
        <v>57</v>
      </c>
      <c r="AE1214" s="32" t="str">
        <f t="shared" si="92"/>
        <v>✓ OK</v>
      </c>
      <c r="AF1214" s="33" t="s">
        <v>61</v>
      </c>
      <c r="AG1214" s="33" t="s">
        <v>55</v>
      </c>
      <c r="AH1214" s="33" t="s">
        <v>56</v>
      </c>
      <c r="AI1214" s="33" t="s">
        <v>57</v>
      </c>
      <c r="AJ1214" s="33" t="s">
        <v>58</v>
      </c>
      <c r="AK1214" s="33" t="s">
        <v>56</v>
      </c>
      <c r="AL1214" s="27"/>
      <c r="AM1214" s="34" t="s">
        <v>57</v>
      </c>
      <c r="AN1214" s="35" t="str">
        <f t="shared" si="93"/>
        <v>✓ OK</v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3753</v>
      </c>
      <c r="C1215" s="25" t="s">
        <v>3754</v>
      </c>
      <c r="D1215" s="23" t="s">
        <v>3482</v>
      </c>
      <c r="E1215" s="42">
        <v>46129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42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70">
        <v>46248</v>
      </c>
      <c r="X1215" s="30" t="s">
        <v>55</v>
      </c>
      <c r="Y1215" s="30" t="s">
        <v>56</v>
      </c>
      <c r="Z1215" s="30" t="s">
        <v>57</v>
      </c>
      <c r="AA1215" s="30" t="s">
        <v>58</v>
      </c>
      <c r="AB1215" s="30" t="s">
        <v>56</v>
      </c>
      <c r="AC1215" s="27"/>
      <c r="AD1215" s="31" t="s">
        <v>57</v>
      </c>
      <c r="AE1215" s="32" t="str">
        <f t="shared" si="92"/>
        <v>✓ OK</v>
      </c>
      <c r="AF1215" s="33" t="s">
        <v>61</v>
      </c>
      <c r="AG1215" s="33" t="s">
        <v>55</v>
      </c>
      <c r="AH1215" s="33" t="s">
        <v>56</v>
      </c>
      <c r="AI1215" s="33" t="s">
        <v>57</v>
      </c>
      <c r="AJ1215" s="33" t="s">
        <v>58</v>
      </c>
      <c r="AK1215" s="33" t="s">
        <v>56</v>
      </c>
      <c r="AL1215" s="27"/>
      <c r="AM1215" s="34" t="s">
        <v>57</v>
      </c>
      <c r="AN1215" s="35" t="str">
        <f t="shared" si="93"/>
        <v>✓ OK</v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3755</v>
      </c>
      <c r="C1216" s="41" t="s">
        <v>3756</v>
      </c>
      <c r="D1216" s="39" t="s">
        <v>3482</v>
      </c>
      <c r="E1216" s="42">
        <v>46129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42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70">
        <v>46248</v>
      </c>
      <c r="X1216" s="30" t="s">
        <v>55</v>
      </c>
      <c r="Y1216" s="30" t="s">
        <v>56</v>
      </c>
      <c r="Z1216" s="30" t="s">
        <v>57</v>
      </c>
      <c r="AA1216" s="30" t="s">
        <v>58</v>
      </c>
      <c r="AB1216" s="30" t="s">
        <v>56</v>
      </c>
      <c r="AC1216" s="27"/>
      <c r="AD1216" s="31" t="s">
        <v>57</v>
      </c>
      <c r="AE1216" s="32" t="str">
        <f t="shared" si="92"/>
        <v>✓ OK</v>
      </c>
      <c r="AF1216" s="33" t="s">
        <v>61</v>
      </c>
      <c r="AG1216" s="33" t="s">
        <v>55</v>
      </c>
      <c r="AH1216" s="33" t="s">
        <v>56</v>
      </c>
      <c r="AI1216" s="33" t="s">
        <v>57</v>
      </c>
      <c r="AJ1216" s="33" t="s">
        <v>58</v>
      </c>
      <c r="AK1216" s="33" t="s">
        <v>56</v>
      </c>
      <c r="AL1216" s="27"/>
      <c r="AM1216" s="34" t="s">
        <v>57</v>
      </c>
      <c r="AN1216" s="35" t="str">
        <f t="shared" si="93"/>
        <v>✓ OK</v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3757</v>
      </c>
      <c r="C1217" s="25" t="s">
        <v>3758</v>
      </c>
      <c r="D1217" s="23" t="s">
        <v>3482</v>
      </c>
      <c r="E1217" s="42">
        <v>46129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42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70">
        <v>46248</v>
      </c>
      <c r="X1217" s="30" t="s">
        <v>55</v>
      </c>
      <c r="Y1217" s="30" t="s">
        <v>56</v>
      </c>
      <c r="Z1217" s="30" t="s">
        <v>57</v>
      </c>
      <c r="AA1217" s="30" t="s">
        <v>58</v>
      </c>
      <c r="AB1217" s="30" t="s">
        <v>56</v>
      </c>
      <c r="AC1217" s="27"/>
      <c r="AD1217" s="31" t="s">
        <v>57</v>
      </c>
      <c r="AE1217" s="32" t="str">
        <f t="shared" si="92"/>
        <v>✓ OK</v>
      </c>
      <c r="AF1217" s="33" t="s">
        <v>61</v>
      </c>
      <c r="AG1217" s="33" t="s">
        <v>55</v>
      </c>
      <c r="AH1217" s="33" t="s">
        <v>56</v>
      </c>
      <c r="AI1217" s="33" t="s">
        <v>57</v>
      </c>
      <c r="AJ1217" s="33" t="s">
        <v>58</v>
      </c>
      <c r="AK1217" s="33" t="s">
        <v>56</v>
      </c>
      <c r="AL1217" s="27"/>
      <c r="AM1217" s="34" t="s">
        <v>57</v>
      </c>
      <c r="AN1217" s="35" t="str">
        <f t="shared" si="93"/>
        <v>✓ OK</v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3759</v>
      </c>
      <c r="C1218" s="41" t="s">
        <v>3760</v>
      </c>
      <c r="D1218" s="39" t="s">
        <v>3482</v>
      </c>
      <c r="E1218" s="42">
        <v>46129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42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70">
        <v>46248</v>
      </c>
      <c r="X1218" s="30" t="s">
        <v>55</v>
      </c>
      <c r="Y1218" s="30" t="s">
        <v>56</v>
      </c>
      <c r="Z1218" s="30" t="s">
        <v>57</v>
      </c>
      <c r="AA1218" s="30" t="s">
        <v>58</v>
      </c>
      <c r="AB1218" s="30" t="s">
        <v>56</v>
      </c>
      <c r="AC1218" s="27"/>
      <c r="AD1218" s="31" t="s">
        <v>57</v>
      </c>
      <c r="AE1218" s="32" t="str">
        <f t="shared" si="92"/>
        <v>✓ OK</v>
      </c>
      <c r="AF1218" s="33" t="s">
        <v>61</v>
      </c>
      <c r="AG1218" s="33" t="s">
        <v>55</v>
      </c>
      <c r="AH1218" s="33" t="s">
        <v>56</v>
      </c>
      <c r="AI1218" s="33" t="s">
        <v>57</v>
      </c>
      <c r="AJ1218" s="33" t="s">
        <v>58</v>
      </c>
      <c r="AK1218" s="33" t="s">
        <v>56</v>
      </c>
      <c r="AL1218" s="27"/>
      <c r="AM1218" s="34" t="s">
        <v>57</v>
      </c>
      <c r="AN1218" s="35" t="str">
        <f t="shared" si="93"/>
        <v>✓ OK</v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3761</v>
      </c>
      <c r="C1219" s="25" t="s">
        <v>3762</v>
      </c>
      <c r="D1219" s="23" t="s">
        <v>3482</v>
      </c>
      <c r="E1219" s="42">
        <v>46129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42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70">
        <v>46248</v>
      </c>
      <c r="X1219" s="30" t="s">
        <v>55</v>
      </c>
      <c r="Y1219" s="30" t="s">
        <v>56</v>
      </c>
      <c r="Z1219" s="30" t="s">
        <v>57</v>
      </c>
      <c r="AA1219" s="30" t="s">
        <v>58</v>
      </c>
      <c r="AB1219" s="30" t="s">
        <v>56</v>
      </c>
      <c r="AC1219" s="27"/>
      <c r="AD1219" s="31" t="s">
        <v>57</v>
      </c>
      <c r="AE1219" s="32" t="str">
        <f t="shared" si="92"/>
        <v>✓ OK</v>
      </c>
      <c r="AF1219" s="33" t="s">
        <v>61</v>
      </c>
      <c r="AG1219" s="33" t="s">
        <v>55</v>
      </c>
      <c r="AH1219" s="33" t="s">
        <v>56</v>
      </c>
      <c r="AI1219" s="33" t="s">
        <v>57</v>
      </c>
      <c r="AJ1219" s="33" t="s">
        <v>58</v>
      </c>
      <c r="AK1219" s="33" t="s">
        <v>56</v>
      </c>
      <c r="AL1219" s="27"/>
      <c r="AM1219" s="34" t="s">
        <v>57</v>
      </c>
      <c r="AN1219" s="35" t="str">
        <f t="shared" si="93"/>
        <v>✓ OK</v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3763</v>
      </c>
      <c r="C1220" s="41" t="s">
        <v>3764</v>
      </c>
      <c r="D1220" s="39" t="s">
        <v>3482</v>
      </c>
      <c r="E1220" s="42">
        <v>46129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42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70">
        <v>46248</v>
      </c>
      <c r="X1220" s="30" t="s">
        <v>55</v>
      </c>
      <c r="Y1220" s="30" t="s">
        <v>56</v>
      </c>
      <c r="Z1220" s="30" t="s">
        <v>57</v>
      </c>
      <c r="AA1220" s="30" t="s">
        <v>58</v>
      </c>
      <c r="AB1220" s="30" t="s">
        <v>56</v>
      </c>
      <c r="AC1220" s="27"/>
      <c r="AD1220" s="31" t="s">
        <v>57</v>
      </c>
      <c r="AE1220" s="32" t="str">
        <f t="shared" si="92"/>
        <v>✓ OK</v>
      </c>
      <c r="AF1220" s="33" t="s">
        <v>61</v>
      </c>
      <c r="AG1220" s="33" t="s">
        <v>55</v>
      </c>
      <c r="AH1220" s="33" t="s">
        <v>56</v>
      </c>
      <c r="AI1220" s="33" t="s">
        <v>57</v>
      </c>
      <c r="AJ1220" s="33" t="s">
        <v>58</v>
      </c>
      <c r="AK1220" s="33" t="s">
        <v>56</v>
      </c>
      <c r="AL1220" s="27"/>
      <c r="AM1220" s="34" t="s">
        <v>57</v>
      </c>
      <c r="AN1220" s="35" t="str">
        <f t="shared" si="93"/>
        <v>✓ OK</v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3765</v>
      </c>
      <c r="C1221" s="25" t="s">
        <v>3766</v>
      </c>
      <c r="D1221" s="23" t="s">
        <v>3482</v>
      </c>
      <c r="E1221" s="42">
        <v>46129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42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70">
        <v>46248</v>
      </c>
      <c r="X1221" s="30" t="s">
        <v>55</v>
      </c>
      <c r="Y1221" s="30" t="s">
        <v>56</v>
      </c>
      <c r="Z1221" s="30" t="s">
        <v>57</v>
      </c>
      <c r="AA1221" s="30" t="s">
        <v>58</v>
      </c>
      <c r="AB1221" s="30" t="s">
        <v>56</v>
      </c>
      <c r="AC1221" s="27"/>
      <c r="AD1221" s="31" t="s">
        <v>57</v>
      </c>
      <c r="AE1221" s="32" t="str">
        <f t="shared" ref="AE1221:AE1284" si="97">IF(W1221="","",IF(Z1221="Yes","❌ Disc",IF(Y1221="No","⚠ Missing",IF(AB1221="Yes","✓ OK","⚠ Check"))))</f>
        <v>✓ OK</v>
      </c>
      <c r="AF1221" s="33" t="s">
        <v>61</v>
      </c>
      <c r="AG1221" s="33" t="s">
        <v>55</v>
      </c>
      <c r="AH1221" s="33" t="s">
        <v>56</v>
      </c>
      <c r="AI1221" s="33" t="s">
        <v>57</v>
      </c>
      <c r="AJ1221" s="33" t="s">
        <v>58</v>
      </c>
      <c r="AK1221" s="33" t="s">
        <v>56</v>
      </c>
      <c r="AL1221" s="27"/>
      <c r="AM1221" s="34" t="s">
        <v>57</v>
      </c>
      <c r="AN1221" s="35" t="str">
        <f t="shared" ref="AN1221:AN1284" si="98">IF(AF1221="","",IF(AI1221="Yes","❌ Disc",IF(AH1221="No","⚠ Missing",IF(AK1221="Yes","✓ OK","⚠ Check"))))</f>
        <v>✓ OK</v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3767</v>
      </c>
      <c r="C1222" s="41" t="s">
        <v>3768</v>
      </c>
      <c r="D1222" s="39" t="s">
        <v>3482</v>
      </c>
      <c r="E1222" s="42">
        <v>46129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42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70">
        <v>46248</v>
      </c>
      <c r="X1222" s="30" t="s">
        <v>55</v>
      </c>
      <c r="Y1222" s="30" t="s">
        <v>56</v>
      </c>
      <c r="Z1222" s="30" t="s">
        <v>57</v>
      </c>
      <c r="AA1222" s="30" t="s">
        <v>58</v>
      </c>
      <c r="AB1222" s="30" t="s">
        <v>56</v>
      </c>
      <c r="AC1222" s="27"/>
      <c r="AD1222" s="31" t="s">
        <v>57</v>
      </c>
      <c r="AE1222" s="32" t="str">
        <f t="shared" si="97"/>
        <v>✓ OK</v>
      </c>
      <c r="AF1222" s="33" t="s">
        <v>61</v>
      </c>
      <c r="AG1222" s="33" t="s">
        <v>55</v>
      </c>
      <c r="AH1222" s="33" t="s">
        <v>56</v>
      </c>
      <c r="AI1222" s="33" t="s">
        <v>57</v>
      </c>
      <c r="AJ1222" s="33" t="s">
        <v>58</v>
      </c>
      <c r="AK1222" s="33" t="s">
        <v>56</v>
      </c>
      <c r="AL1222" s="27"/>
      <c r="AM1222" s="34" t="s">
        <v>57</v>
      </c>
      <c r="AN1222" s="35" t="str">
        <f t="shared" si="98"/>
        <v>✓ OK</v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3769</v>
      </c>
      <c r="C1223" s="25" t="s">
        <v>3770</v>
      </c>
      <c r="D1223" s="23" t="s">
        <v>3482</v>
      </c>
      <c r="E1223" s="42">
        <v>46129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42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70">
        <v>46248</v>
      </c>
      <c r="X1223" s="30" t="s">
        <v>55</v>
      </c>
      <c r="Y1223" s="30" t="s">
        <v>56</v>
      </c>
      <c r="Z1223" s="30" t="s">
        <v>57</v>
      </c>
      <c r="AA1223" s="30" t="s">
        <v>58</v>
      </c>
      <c r="AB1223" s="30" t="s">
        <v>56</v>
      </c>
      <c r="AC1223" s="27"/>
      <c r="AD1223" s="31" t="s">
        <v>57</v>
      </c>
      <c r="AE1223" s="32" t="str">
        <f t="shared" si="97"/>
        <v>✓ OK</v>
      </c>
      <c r="AF1223" s="33" t="s">
        <v>61</v>
      </c>
      <c r="AG1223" s="33" t="s">
        <v>55</v>
      </c>
      <c r="AH1223" s="33" t="s">
        <v>56</v>
      </c>
      <c r="AI1223" s="33" t="s">
        <v>57</v>
      </c>
      <c r="AJ1223" s="33" t="s">
        <v>58</v>
      </c>
      <c r="AK1223" s="33" t="s">
        <v>56</v>
      </c>
      <c r="AL1223" s="27"/>
      <c r="AM1223" s="34" t="s">
        <v>57</v>
      </c>
      <c r="AN1223" s="35" t="str">
        <f t="shared" si="98"/>
        <v>✓ OK</v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3771</v>
      </c>
      <c r="C1224" s="41" t="s">
        <v>3772</v>
      </c>
      <c r="D1224" s="39" t="s">
        <v>3482</v>
      </c>
      <c r="E1224" s="42">
        <v>46129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42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70">
        <v>46248</v>
      </c>
      <c r="X1224" s="30" t="s">
        <v>55</v>
      </c>
      <c r="Y1224" s="30" t="s">
        <v>56</v>
      </c>
      <c r="Z1224" s="30" t="s">
        <v>57</v>
      </c>
      <c r="AA1224" s="30" t="s">
        <v>58</v>
      </c>
      <c r="AB1224" s="30" t="s">
        <v>56</v>
      </c>
      <c r="AC1224" s="27"/>
      <c r="AD1224" s="31" t="s">
        <v>57</v>
      </c>
      <c r="AE1224" s="32" t="str">
        <f t="shared" si="97"/>
        <v>✓ OK</v>
      </c>
      <c r="AF1224" s="33" t="s">
        <v>61</v>
      </c>
      <c r="AG1224" s="33" t="s">
        <v>55</v>
      </c>
      <c r="AH1224" s="33" t="s">
        <v>56</v>
      </c>
      <c r="AI1224" s="33" t="s">
        <v>57</v>
      </c>
      <c r="AJ1224" s="33" t="s">
        <v>58</v>
      </c>
      <c r="AK1224" s="33" t="s">
        <v>56</v>
      </c>
      <c r="AL1224" s="27"/>
      <c r="AM1224" s="34" t="s">
        <v>57</v>
      </c>
      <c r="AN1224" s="35" t="str">
        <f t="shared" si="98"/>
        <v>✓ OK</v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3773</v>
      </c>
      <c r="C1225" s="25" t="s">
        <v>3774</v>
      </c>
      <c r="D1225" s="23" t="s">
        <v>3482</v>
      </c>
      <c r="E1225" s="42">
        <v>46129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42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70">
        <v>46248</v>
      </c>
      <c r="X1225" s="30" t="s">
        <v>55</v>
      </c>
      <c r="Y1225" s="30" t="s">
        <v>56</v>
      </c>
      <c r="Z1225" s="30" t="s">
        <v>57</v>
      </c>
      <c r="AA1225" s="30" t="s">
        <v>58</v>
      </c>
      <c r="AB1225" s="30" t="s">
        <v>56</v>
      </c>
      <c r="AC1225" s="27"/>
      <c r="AD1225" s="31" t="s">
        <v>57</v>
      </c>
      <c r="AE1225" s="32" t="str">
        <f t="shared" si="97"/>
        <v>✓ OK</v>
      </c>
      <c r="AF1225" s="33" t="s">
        <v>61</v>
      </c>
      <c r="AG1225" s="33" t="s">
        <v>55</v>
      </c>
      <c r="AH1225" s="33" t="s">
        <v>56</v>
      </c>
      <c r="AI1225" s="33" t="s">
        <v>57</v>
      </c>
      <c r="AJ1225" s="33" t="s">
        <v>58</v>
      </c>
      <c r="AK1225" s="33" t="s">
        <v>56</v>
      </c>
      <c r="AL1225" s="27"/>
      <c r="AM1225" s="34" t="s">
        <v>57</v>
      </c>
      <c r="AN1225" s="35" t="str">
        <f t="shared" si="98"/>
        <v>✓ OK</v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3775</v>
      </c>
      <c r="C1226" s="41" t="s">
        <v>3776</v>
      </c>
      <c r="D1226" s="39" t="s">
        <v>3482</v>
      </c>
      <c r="E1226" s="42">
        <v>46129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42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70">
        <v>46248</v>
      </c>
      <c r="X1226" s="30" t="s">
        <v>55</v>
      </c>
      <c r="Y1226" s="30" t="s">
        <v>56</v>
      </c>
      <c r="Z1226" s="30" t="s">
        <v>57</v>
      </c>
      <c r="AA1226" s="30" t="s">
        <v>58</v>
      </c>
      <c r="AB1226" s="30" t="s">
        <v>56</v>
      </c>
      <c r="AC1226" s="27"/>
      <c r="AD1226" s="31" t="s">
        <v>57</v>
      </c>
      <c r="AE1226" s="32" t="str">
        <f t="shared" si="97"/>
        <v>✓ OK</v>
      </c>
      <c r="AF1226" s="33" t="s">
        <v>61</v>
      </c>
      <c r="AG1226" s="33" t="s">
        <v>55</v>
      </c>
      <c r="AH1226" s="33" t="s">
        <v>56</v>
      </c>
      <c r="AI1226" s="33" t="s">
        <v>57</v>
      </c>
      <c r="AJ1226" s="33" t="s">
        <v>58</v>
      </c>
      <c r="AK1226" s="33" t="s">
        <v>56</v>
      </c>
      <c r="AL1226" s="27"/>
      <c r="AM1226" s="34" t="s">
        <v>57</v>
      </c>
      <c r="AN1226" s="35" t="str">
        <f t="shared" si="98"/>
        <v>✓ OK</v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3777</v>
      </c>
      <c r="C1227" s="25" t="s">
        <v>3778</v>
      </c>
      <c r="D1227" s="23" t="s">
        <v>3482</v>
      </c>
      <c r="E1227" s="42">
        <v>46129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42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70">
        <v>46248</v>
      </c>
      <c r="X1227" s="30" t="s">
        <v>55</v>
      </c>
      <c r="Y1227" s="30" t="s">
        <v>56</v>
      </c>
      <c r="Z1227" s="30" t="s">
        <v>57</v>
      </c>
      <c r="AA1227" s="30" t="s">
        <v>58</v>
      </c>
      <c r="AB1227" s="30" t="s">
        <v>56</v>
      </c>
      <c r="AC1227" s="27"/>
      <c r="AD1227" s="31" t="s">
        <v>57</v>
      </c>
      <c r="AE1227" s="32" t="str">
        <f t="shared" si="97"/>
        <v>✓ OK</v>
      </c>
      <c r="AF1227" s="33" t="s">
        <v>61</v>
      </c>
      <c r="AG1227" s="33" t="s">
        <v>55</v>
      </c>
      <c r="AH1227" s="33" t="s">
        <v>56</v>
      </c>
      <c r="AI1227" s="33" t="s">
        <v>57</v>
      </c>
      <c r="AJ1227" s="33" t="s">
        <v>58</v>
      </c>
      <c r="AK1227" s="33" t="s">
        <v>56</v>
      </c>
      <c r="AL1227" s="27"/>
      <c r="AM1227" s="34" t="s">
        <v>57</v>
      </c>
      <c r="AN1227" s="35" t="str">
        <f t="shared" si="98"/>
        <v>✓ OK</v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3779</v>
      </c>
      <c r="C1228" s="41" t="s">
        <v>3780</v>
      </c>
      <c r="D1228" s="39" t="s">
        <v>3482</v>
      </c>
      <c r="E1228" s="42">
        <v>46129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42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70">
        <v>46248</v>
      </c>
      <c r="X1228" s="30" t="s">
        <v>55</v>
      </c>
      <c r="Y1228" s="30" t="s">
        <v>56</v>
      </c>
      <c r="Z1228" s="30" t="s">
        <v>57</v>
      </c>
      <c r="AA1228" s="30" t="s">
        <v>58</v>
      </c>
      <c r="AB1228" s="30" t="s">
        <v>56</v>
      </c>
      <c r="AC1228" s="27"/>
      <c r="AD1228" s="31" t="s">
        <v>57</v>
      </c>
      <c r="AE1228" s="32" t="str">
        <f t="shared" si="97"/>
        <v>✓ OK</v>
      </c>
      <c r="AF1228" s="33" t="s">
        <v>61</v>
      </c>
      <c r="AG1228" s="33" t="s">
        <v>55</v>
      </c>
      <c r="AH1228" s="33" t="s">
        <v>56</v>
      </c>
      <c r="AI1228" s="33" t="s">
        <v>57</v>
      </c>
      <c r="AJ1228" s="33" t="s">
        <v>58</v>
      </c>
      <c r="AK1228" s="33" t="s">
        <v>56</v>
      </c>
      <c r="AL1228" s="27"/>
      <c r="AM1228" s="34" t="s">
        <v>57</v>
      </c>
      <c r="AN1228" s="35" t="str">
        <f t="shared" si="98"/>
        <v>✓ OK</v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3781</v>
      </c>
      <c r="C1229" s="25" t="s">
        <v>3782</v>
      </c>
      <c r="D1229" s="23" t="s">
        <v>3482</v>
      </c>
      <c r="E1229" s="42">
        <v>46129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42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70">
        <v>46248</v>
      </c>
      <c r="X1229" s="30" t="s">
        <v>55</v>
      </c>
      <c r="Y1229" s="30" t="s">
        <v>56</v>
      </c>
      <c r="Z1229" s="30" t="s">
        <v>57</v>
      </c>
      <c r="AA1229" s="30" t="s">
        <v>58</v>
      </c>
      <c r="AB1229" s="30" t="s">
        <v>56</v>
      </c>
      <c r="AC1229" s="27"/>
      <c r="AD1229" s="31" t="s">
        <v>57</v>
      </c>
      <c r="AE1229" s="32" t="str">
        <f t="shared" si="97"/>
        <v>✓ OK</v>
      </c>
      <c r="AF1229" s="33" t="s">
        <v>61</v>
      </c>
      <c r="AG1229" s="33" t="s">
        <v>55</v>
      </c>
      <c r="AH1229" s="33" t="s">
        <v>56</v>
      </c>
      <c r="AI1229" s="33" t="s">
        <v>57</v>
      </c>
      <c r="AJ1229" s="33" t="s">
        <v>58</v>
      </c>
      <c r="AK1229" s="33" t="s">
        <v>56</v>
      </c>
      <c r="AL1229" s="27"/>
      <c r="AM1229" s="34" t="s">
        <v>57</v>
      </c>
      <c r="AN1229" s="35" t="str">
        <f t="shared" si="98"/>
        <v>✓ OK</v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3783</v>
      </c>
      <c r="C1230" s="41" t="s">
        <v>3784</v>
      </c>
      <c r="D1230" s="39" t="s">
        <v>3482</v>
      </c>
      <c r="E1230" s="42">
        <v>46129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42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70">
        <v>46248</v>
      </c>
      <c r="X1230" s="30" t="s">
        <v>55</v>
      </c>
      <c r="Y1230" s="30" t="s">
        <v>56</v>
      </c>
      <c r="Z1230" s="30" t="s">
        <v>57</v>
      </c>
      <c r="AA1230" s="30" t="s">
        <v>58</v>
      </c>
      <c r="AB1230" s="30" t="s">
        <v>56</v>
      </c>
      <c r="AC1230" s="27"/>
      <c r="AD1230" s="31" t="s">
        <v>57</v>
      </c>
      <c r="AE1230" s="32" t="str">
        <f t="shared" si="97"/>
        <v>✓ OK</v>
      </c>
      <c r="AF1230" s="33" t="s">
        <v>61</v>
      </c>
      <c r="AG1230" s="33" t="s">
        <v>55</v>
      </c>
      <c r="AH1230" s="33" t="s">
        <v>56</v>
      </c>
      <c r="AI1230" s="33" t="s">
        <v>57</v>
      </c>
      <c r="AJ1230" s="33" t="s">
        <v>58</v>
      </c>
      <c r="AK1230" s="33" t="s">
        <v>56</v>
      </c>
      <c r="AL1230" s="27"/>
      <c r="AM1230" s="34" t="s">
        <v>57</v>
      </c>
      <c r="AN1230" s="35" t="str">
        <f t="shared" si="98"/>
        <v>✓ OK</v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3785</v>
      </c>
      <c r="C1231" s="25" t="s">
        <v>3786</v>
      </c>
      <c r="D1231" s="23" t="s">
        <v>3482</v>
      </c>
      <c r="E1231" s="42">
        <v>46129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42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70">
        <v>46248</v>
      </c>
      <c r="X1231" s="30" t="s">
        <v>55</v>
      </c>
      <c r="Y1231" s="30" t="s">
        <v>56</v>
      </c>
      <c r="Z1231" s="30" t="s">
        <v>57</v>
      </c>
      <c r="AA1231" s="30" t="s">
        <v>58</v>
      </c>
      <c r="AB1231" s="30" t="s">
        <v>56</v>
      </c>
      <c r="AC1231" s="27"/>
      <c r="AD1231" s="31" t="s">
        <v>57</v>
      </c>
      <c r="AE1231" s="32" t="str">
        <f t="shared" si="97"/>
        <v>✓ OK</v>
      </c>
      <c r="AF1231" s="33" t="s">
        <v>61</v>
      </c>
      <c r="AG1231" s="33" t="s">
        <v>55</v>
      </c>
      <c r="AH1231" s="33" t="s">
        <v>56</v>
      </c>
      <c r="AI1231" s="33" t="s">
        <v>57</v>
      </c>
      <c r="AJ1231" s="33" t="s">
        <v>58</v>
      </c>
      <c r="AK1231" s="33" t="s">
        <v>56</v>
      </c>
      <c r="AL1231" s="27"/>
      <c r="AM1231" s="34" t="s">
        <v>57</v>
      </c>
      <c r="AN1231" s="35" t="str">
        <f t="shared" si="98"/>
        <v>✓ OK</v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3787</v>
      </c>
      <c r="C1232" s="41" t="s">
        <v>3788</v>
      </c>
      <c r="D1232" s="39" t="s">
        <v>3482</v>
      </c>
      <c r="E1232" s="42">
        <v>46129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42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70">
        <v>46248</v>
      </c>
      <c r="X1232" s="30" t="s">
        <v>55</v>
      </c>
      <c r="Y1232" s="30" t="s">
        <v>56</v>
      </c>
      <c r="Z1232" s="30" t="s">
        <v>57</v>
      </c>
      <c r="AA1232" s="30" t="s">
        <v>58</v>
      </c>
      <c r="AB1232" s="30" t="s">
        <v>56</v>
      </c>
      <c r="AC1232" s="27"/>
      <c r="AD1232" s="31" t="s">
        <v>57</v>
      </c>
      <c r="AE1232" s="32" t="str">
        <f t="shared" si="97"/>
        <v>✓ OK</v>
      </c>
      <c r="AF1232" s="33" t="s">
        <v>61</v>
      </c>
      <c r="AG1232" s="33" t="s">
        <v>55</v>
      </c>
      <c r="AH1232" s="33" t="s">
        <v>56</v>
      </c>
      <c r="AI1232" s="33" t="s">
        <v>57</v>
      </c>
      <c r="AJ1232" s="33" t="s">
        <v>58</v>
      </c>
      <c r="AK1232" s="33" t="s">
        <v>56</v>
      </c>
      <c r="AL1232" s="27"/>
      <c r="AM1232" s="34" t="s">
        <v>57</v>
      </c>
      <c r="AN1232" s="35" t="str">
        <f t="shared" si="98"/>
        <v>✓ OK</v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3789</v>
      </c>
      <c r="C1233" s="25" t="s">
        <v>3790</v>
      </c>
      <c r="D1233" s="23" t="s">
        <v>3482</v>
      </c>
      <c r="E1233" s="42">
        <v>46129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42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70">
        <v>46248</v>
      </c>
      <c r="X1233" s="30" t="s">
        <v>55</v>
      </c>
      <c r="Y1233" s="30" t="s">
        <v>56</v>
      </c>
      <c r="Z1233" s="30" t="s">
        <v>57</v>
      </c>
      <c r="AA1233" s="30" t="s">
        <v>58</v>
      </c>
      <c r="AB1233" s="30" t="s">
        <v>56</v>
      </c>
      <c r="AC1233" s="27"/>
      <c r="AD1233" s="31" t="s">
        <v>57</v>
      </c>
      <c r="AE1233" s="32" t="str">
        <f t="shared" si="97"/>
        <v>✓ OK</v>
      </c>
      <c r="AF1233" s="33" t="s">
        <v>61</v>
      </c>
      <c r="AG1233" s="33" t="s">
        <v>55</v>
      </c>
      <c r="AH1233" s="33" t="s">
        <v>56</v>
      </c>
      <c r="AI1233" s="33" t="s">
        <v>57</v>
      </c>
      <c r="AJ1233" s="33" t="s">
        <v>58</v>
      </c>
      <c r="AK1233" s="33" t="s">
        <v>56</v>
      </c>
      <c r="AL1233" s="27"/>
      <c r="AM1233" s="34" t="s">
        <v>57</v>
      </c>
      <c r="AN1233" s="35" t="str">
        <f t="shared" si="98"/>
        <v>✓ OK</v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3791</v>
      </c>
      <c r="C1234" s="41" t="s">
        <v>3792</v>
      </c>
      <c r="D1234" s="39" t="s">
        <v>3482</v>
      </c>
      <c r="E1234" s="42">
        <v>46129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42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70">
        <v>46248</v>
      </c>
      <c r="X1234" s="30" t="s">
        <v>55</v>
      </c>
      <c r="Y1234" s="30" t="s">
        <v>56</v>
      </c>
      <c r="Z1234" s="30" t="s">
        <v>57</v>
      </c>
      <c r="AA1234" s="30" t="s">
        <v>58</v>
      </c>
      <c r="AB1234" s="30" t="s">
        <v>56</v>
      </c>
      <c r="AC1234" s="27"/>
      <c r="AD1234" s="31" t="s">
        <v>57</v>
      </c>
      <c r="AE1234" s="32" t="str">
        <f t="shared" si="97"/>
        <v>✓ OK</v>
      </c>
      <c r="AF1234" s="33" t="s">
        <v>61</v>
      </c>
      <c r="AG1234" s="33" t="s">
        <v>55</v>
      </c>
      <c r="AH1234" s="33" t="s">
        <v>56</v>
      </c>
      <c r="AI1234" s="33" t="s">
        <v>57</v>
      </c>
      <c r="AJ1234" s="33" t="s">
        <v>58</v>
      </c>
      <c r="AK1234" s="33" t="s">
        <v>56</v>
      </c>
      <c r="AL1234" s="27"/>
      <c r="AM1234" s="34" t="s">
        <v>57</v>
      </c>
      <c r="AN1234" s="35" t="str">
        <f t="shared" si="98"/>
        <v>✓ OK</v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3793</v>
      </c>
      <c r="C1235" s="25" t="s">
        <v>3794</v>
      </c>
      <c r="D1235" s="23" t="s">
        <v>3482</v>
      </c>
      <c r="E1235" s="42">
        <v>46129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42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70">
        <v>46248</v>
      </c>
      <c r="X1235" s="30" t="s">
        <v>55</v>
      </c>
      <c r="Y1235" s="30" t="s">
        <v>56</v>
      </c>
      <c r="Z1235" s="30" t="s">
        <v>57</v>
      </c>
      <c r="AA1235" s="30" t="s">
        <v>58</v>
      </c>
      <c r="AB1235" s="30" t="s">
        <v>56</v>
      </c>
      <c r="AC1235" s="27"/>
      <c r="AD1235" s="31" t="s">
        <v>57</v>
      </c>
      <c r="AE1235" s="32" t="str">
        <f t="shared" si="97"/>
        <v>✓ OK</v>
      </c>
      <c r="AF1235" s="33" t="s">
        <v>61</v>
      </c>
      <c r="AG1235" s="33" t="s">
        <v>55</v>
      </c>
      <c r="AH1235" s="33" t="s">
        <v>56</v>
      </c>
      <c r="AI1235" s="33" t="s">
        <v>57</v>
      </c>
      <c r="AJ1235" s="33" t="s">
        <v>58</v>
      </c>
      <c r="AK1235" s="33" t="s">
        <v>56</v>
      </c>
      <c r="AL1235" s="27"/>
      <c r="AM1235" s="34" t="s">
        <v>57</v>
      </c>
      <c r="AN1235" s="35" t="str">
        <f t="shared" si="98"/>
        <v>✓ OK</v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3795</v>
      </c>
      <c r="C1236" s="41" t="s">
        <v>3796</v>
      </c>
      <c r="D1236" s="39" t="s">
        <v>3482</v>
      </c>
      <c r="E1236" s="42">
        <v>46129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42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70">
        <v>46248</v>
      </c>
      <c r="X1236" s="30" t="s">
        <v>55</v>
      </c>
      <c r="Y1236" s="30" t="s">
        <v>56</v>
      </c>
      <c r="Z1236" s="30" t="s">
        <v>57</v>
      </c>
      <c r="AA1236" s="30" t="s">
        <v>58</v>
      </c>
      <c r="AB1236" s="30" t="s">
        <v>56</v>
      </c>
      <c r="AC1236" s="27"/>
      <c r="AD1236" s="31" t="s">
        <v>57</v>
      </c>
      <c r="AE1236" s="32" t="str">
        <f t="shared" si="97"/>
        <v>✓ OK</v>
      </c>
      <c r="AF1236" s="33" t="s">
        <v>61</v>
      </c>
      <c r="AG1236" s="33" t="s">
        <v>55</v>
      </c>
      <c r="AH1236" s="33" t="s">
        <v>56</v>
      </c>
      <c r="AI1236" s="33" t="s">
        <v>57</v>
      </c>
      <c r="AJ1236" s="33" t="s">
        <v>58</v>
      </c>
      <c r="AK1236" s="33" t="s">
        <v>56</v>
      </c>
      <c r="AL1236" s="27"/>
      <c r="AM1236" s="34" t="s">
        <v>57</v>
      </c>
      <c r="AN1236" s="35" t="str">
        <f t="shared" si="98"/>
        <v>✓ OK</v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3797</v>
      </c>
      <c r="C1237" s="25" t="s">
        <v>3798</v>
      </c>
      <c r="D1237" s="23" t="s">
        <v>3482</v>
      </c>
      <c r="E1237" s="42">
        <v>46129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42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70">
        <v>46248</v>
      </c>
      <c r="X1237" s="30" t="s">
        <v>55</v>
      </c>
      <c r="Y1237" s="30" t="s">
        <v>56</v>
      </c>
      <c r="Z1237" s="30" t="s">
        <v>57</v>
      </c>
      <c r="AA1237" s="30" t="s">
        <v>58</v>
      </c>
      <c r="AB1237" s="30" t="s">
        <v>56</v>
      </c>
      <c r="AC1237" s="27"/>
      <c r="AD1237" s="31" t="s">
        <v>57</v>
      </c>
      <c r="AE1237" s="32" t="str">
        <f t="shared" si="97"/>
        <v>✓ OK</v>
      </c>
      <c r="AF1237" s="33" t="s">
        <v>61</v>
      </c>
      <c r="AG1237" s="33" t="s">
        <v>55</v>
      </c>
      <c r="AH1237" s="33" t="s">
        <v>56</v>
      </c>
      <c r="AI1237" s="33" t="s">
        <v>57</v>
      </c>
      <c r="AJ1237" s="33" t="s">
        <v>58</v>
      </c>
      <c r="AK1237" s="33" t="s">
        <v>56</v>
      </c>
      <c r="AL1237" s="27"/>
      <c r="AM1237" s="34" t="s">
        <v>57</v>
      </c>
      <c r="AN1237" s="35" t="str">
        <f t="shared" si="98"/>
        <v>✓ OK</v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3799</v>
      </c>
      <c r="C1238" s="41" t="s">
        <v>3800</v>
      </c>
      <c r="D1238" s="39" t="s">
        <v>3482</v>
      </c>
      <c r="E1238" s="42">
        <v>46129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42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70">
        <v>46248</v>
      </c>
      <c r="X1238" s="30" t="s">
        <v>55</v>
      </c>
      <c r="Y1238" s="30" t="s">
        <v>56</v>
      </c>
      <c r="Z1238" s="30" t="s">
        <v>57</v>
      </c>
      <c r="AA1238" s="30" t="s">
        <v>58</v>
      </c>
      <c r="AB1238" s="30" t="s">
        <v>56</v>
      </c>
      <c r="AC1238" s="27"/>
      <c r="AD1238" s="31" t="s">
        <v>57</v>
      </c>
      <c r="AE1238" s="32" t="str">
        <f t="shared" si="97"/>
        <v>✓ OK</v>
      </c>
      <c r="AF1238" s="33" t="s">
        <v>61</v>
      </c>
      <c r="AG1238" s="33" t="s">
        <v>55</v>
      </c>
      <c r="AH1238" s="33" t="s">
        <v>56</v>
      </c>
      <c r="AI1238" s="33" t="s">
        <v>57</v>
      </c>
      <c r="AJ1238" s="33" t="s">
        <v>58</v>
      </c>
      <c r="AK1238" s="33" t="s">
        <v>56</v>
      </c>
      <c r="AL1238" s="27"/>
      <c r="AM1238" s="34" t="s">
        <v>57</v>
      </c>
      <c r="AN1238" s="35" t="str">
        <f t="shared" si="98"/>
        <v>✓ OK</v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3801</v>
      </c>
      <c r="C1239" s="25" t="s">
        <v>3802</v>
      </c>
      <c r="D1239" s="23" t="s">
        <v>3482</v>
      </c>
      <c r="E1239" s="42">
        <v>46129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42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70">
        <v>46248</v>
      </c>
      <c r="X1239" s="30" t="s">
        <v>55</v>
      </c>
      <c r="Y1239" s="30" t="s">
        <v>56</v>
      </c>
      <c r="Z1239" s="30" t="s">
        <v>57</v>
      </c>
      <c r="AA1239" s="30" t="s">
        <v>58</v>
      </c>
      <c r="AB1239" s="30" t="s">
        <v>56</v>
      </c>
      <c r="AC1239" s="27"/>
      <c r="AD1239" s="31" t="s">
        <v>57</v>
      </c>
      <c r="AE1239" s="32" t="str">
        <f t="shared" si="97"/>
        <v>✓ OK</v>
      </c>
      <c r="AF1239" s="33" t="s">
        <v>61</v>
      </c>
      <c r="AG1239" s="33" t="s">
        <v>55</v>
      </c>
      <c r="AH1239" s="33" t="s">
        <v>56</v>
      </c>
      <c r="AI1239" s="33" t="s">
        <v>57</v>
      </c>
      <c r="AJ1239" s="33" t="s">
        <v>58</v>
      </c>
      <c r="AK1239" s="33" t="s">
        <v>56</v>
      </c>
      <c r="AL1239" s="27"/>
      <c r="AM1239" s="34" t="s">
        <v>57</v>
      </c>
      <c r="AN1239" s="35" t="str">
        <f t="shared" si="98"/>
        <v>✓ OK</v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3803</v>
      </c>
      <c r="C1240" s="41" t="s">
        <v>3804</v>
      </c>
      <c r="D1240" s="39" t="s">
        <v>3482</v>
      </c>
      <c r="E1240" s="42">
        <v>46129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42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70">
        <v>46248</v>
      </c>
      <c r="X1240" s="30" t="s">
        <v>55</v>
      </c>
      <c r="Y1240" s="30" t="s">
        <v>56</v>
      </c>
      <c r="Z1240" s="30" t="s">
        <v>57</v>
      </c>
      <c r="AA1240" s="30" t="s">
        <v>58</v>
      </c>
      <c r="AB1240" s="30" t="s">
        <v>56</v>
      </c>
      <c r="AC1240" s="27"/>
      <c r="AD1240" s="31" t="s">
        <v>57</v>
      </c>
      <c r="AE1240" s="32" t="str">
        <f t="shared" si="97"/>
        <v>✓ OK</v>
      </c>
      <c r="AF1240" s="33" t="s">
        <v>61</v>
      </c>
      <c r="AG1240" s="33" t="s">
        <v>55</v>
      </c>
      <c r="AH1240" s="33" t="s">
        <v>56</v>
      </c>
      <c r="AI1240" s="33" t="s">
        <v>57</v>
      </c>
      <c r="AJ1240" s="33" t="s">
        <v>58</v>
      </c>
      <c r="AK1240" s="33" t="s">
        <v>56</v>
      </c>
      <c r="AL1240" s="27"/>
      <c r="AM1240" s="34" t="s">
        <v>57</v>
      </c>
      <c r="AN1240" s="35" t="str">
        <f t="shared" si="98"/>
        <v>✓ OK</v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3805</v>
      </c>
      <c r="C1241" s="25" t="s">
        <v>3806</v>
      </c>
      <c r="D1241" s="23" t="s">
        <v>3482</v>
      </c>
      <c r="E1241" s="42">
        <v>46129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42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70">
        <v>46248</v>
      </c>
      <c r="X1241" s="30" t="s">
        <v>55</v>
      </c>
      <c r="Y1241" s="30" t="s">
        <v>56</v>
      </c>
      <c r="Z1241" s="30" t="s">
        <v>57</v>
      </c>
      <c r="AA1241" s="30" t="s">
        <v>58</v>
      </c>
      <c r="AB1241" s="30" t="s">
        <v>56</v>
      </c>
      <c r="AC1241" s="27"/>
      <c r="AD1241" s="31" t="s">
        <v>57</v>
      </c>
      <c r="AE1241" s="32" t="str">
        <f t="shared" si="97"/>
        <v>✓ OK</v>
      </c>
      <c r="AF1241" s="33" t="s">
        <v>61</v>
      </c>
      <c r="AG1241" s="33" t="s">
        <v>55</v>
      </c>
      <c r="AH1241" s="33" t="s">
        <v>56</v>
      </c>
      <c r="AI1241" s="33" t="s">
        <v>57</v>
      </c>
      <c r="AJ1241" s="33" t="s">
        <v>58</v>
      </c>
      <c r="AK1241" s="33" t="s">
        <v>56</v>
      </c>
      <c r="AL1241" s="27"/>
      <c r="AM1241" s="34" t="s">
        <v>57</v>
      </c>
      <c r="AN1241" s="35" t="str">
        <f t="shared" si="98"/>
        <v>✓ OK</v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3807</v>
      </c>
      <c r="C1242" s="41" t="s">
        <v>3808</v>
      </c>
      <c r="D1242" s="39" t="s">
        <v>3482</v>
      </c>
      <c r="E1242" s="42">
        <v>46129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42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70">
        <v>46248</v>
      </c>
      <c r="X1242" s="30" t="s">
        <v>55</v>
      </c>
      <c r="Y1242" s="30" t="s">
        <v>56</v>
      </c>
      <c r="Z1242" s="30" t="s">
        <v>57</v>
      </c>
      <c r="AA1242" s="30" t="s">
        <v>58</v>
      </c>
      <c r="AB1242" s="30" t="s">
        <v>56</v>
      </c>
      <c r="AC1242" s="27"/>
      <c r="AD1242" s="31" t="s">
        <v>57</v>
      </c>
      <c r="AE1242" s="32" t="str">
        <f t="shared" si="97"/>
        <v>✓ OK</v>
      </c>
      <c r="AF1242" s="33" t="s">
        <v>61</v>
      </c>
      <c r="AG1242" s="33" t="s">
        <v>55</v>
      </c>
      <c r="AH1242" s="33" t="s">
        <v>56</v>
      </c>
      <c r="AI1242" s="33" t="s">
        <v>57</v>
      </c>
      <c r="AJ1242" s="33" t="s">
        <v>58</v>
      </c>
      <c r="AK1242" s="33" t="s">
        <v>56</v>
      </c>
      <c r="AL1242" s="27"/>
      <c r="AM1242" s="34" t="s">
        <v>57</v>
      </c>
      <c r="AN1242" s="35" t="str">
        <f t="shared" si="98"/>
        <v>✓ OK</v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3809</v>
      </c>
      <c r="C1243" s="25" t="s">
        <v>3810</v>
      </c>
      <c r="D1243" s="23" t="s">
        <v>3482</v>
      </c>
      <c r="E1243" s="42">
        <v>46129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42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70">
        <v>46248</v>
      </c>
      <c r="X1243" s="30" t="s">
        <v>55</v>
      </c>
      <c r="Y1243" s="30" t="s">
        <v>56</v>
      </c>
      <c r="Z1243" s="30" t="s">
        <v>57</v>
      </c>
      <c r="AA1243" s="30" t="s">
        <v>58</v>
      </c>
      <c r="AB1243" s="30" t="s">
        <v>56</v>
      </c>
      <c r="AC1243" s="27"/>
      <c r="AD1243" s="31" t="s">
        <v>57</v>
      </c>
      <c r="AE1243" s="32" t="str">
        <f t="shared" si="97"/>
        <v>✓ OK</v>
      </c>
      <c r="AF1243" s="33" t="s">
        <v>61</v>
      </c>
      <c r="AG1243" s="33" t="s">
        <v>55</v>
      </c>
      <c r="AH1243" s="33" t="s">
        <v>56</v>
      </c>
      <c r="AI1243" s="33" t="s">
        <v>57</v>
      </c>
      <c r="AJ1243" s="33" t="s">
        <v>58</v>
      </c>
      <c r="AK1243" s="33" t="s">
        <v>56</v>
      </c>
      <c r="AL1243" s="27"/>
      <c r="AM1243" s="34" t="s">
        <v>57</v>
      </c>
      <c r="AN1243" s="35" t="str">
        <f t="shared" si="98"/>
        <v>✓ OK</v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3811</v>
      </c>
      <c r="C1244" s="41" t="s">
        <v>3812</v>
      </c>
      <c r="D1244" s="39" t="s">
        <v>3482</v>
      </c>
      <c r="E1244" s="42">
        <v>46129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42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70">
        <v>46248</v>
      </c>
      <c r="X1244" s="30" t="s">
        <v>55</v>
      </c>
      <c r="Y1244" s="30" t="s">
        <v>56</v>
      </c>
      <c r="Z1244" s="30" t="s">
        <v>57</v>
      </c>
      <c r="AA1244" s="30" t="s">
        <v>58</v>
      </c>
      <c r="AB1244" s="30" t="s">
        <v>56</v>
      </c>
      <c r="AC1244" s="27"/>
      <c r="AD1244" s="31" t="s">
        <v>57</v>
      </c>
      <c r="AE1244" s="32" t="str">
        <f t="shared" si="97"/>
        <v>✓ OK</v>
      </c>
      <c r="AF1244" s="33" t="s">
        <v>61</v>
      </c>
      <c r="AG1244" s="33" t="s">
        <v>55</v>
      </c>
      <c r="AH1244" s="33" t="s">
        <v>56</v>
      </c>
      <c r="AI1244" s="33" t="s">
        <v>57</v>
      </c>
      <c r="AJ1244" s="33" t="s">
        <v>58</v>
      </c>
      <c r="AK1244" s="33" t="s">
        <v>56</v>
      </c>
      <c r="AL1244" s="27"/>
      <c r="AM1244" s="34" t="s">
        <v>57</v>
      </c>
      <c r="AN1244" s="35" t="str">
        <f t="shared" si="98"/>
        <v>✓ OK</v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3813</v>
      </c>
      <c r="C1245" s="25" t="s">
        <v>3814</v>
      </c>
      <c r="D1245" s="23" t="s">
        <v>3482</v>
      </c>
      <c r="E1245" s="42">
        <v>46129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42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70">
        <v>46248</v>
      </c>
      <c r="X1245" s="30" t="s">
        <v>55</v>
      </c>
      <c r="Y1245" s="30" t="s">
        <v>56</v>
      </c>
      <c r="Z1245" s="30" t="s">
        <v>57</v>
      </c>
      <c r="AA1245" s="30" t="s">
        <v>58</v>
      </c>
      <c r="AB1245" s="30" t="s">
        <v>56</v>
      </c>
      <c r="AC1245" s="27"/>
      <c r="AD1245" s="31" t="s">
        <v>57</v>
      </c>
      <c r="AE1245" s="32" t="str">
        <f t="shared" si="97"/>
        <v>✓ OK</v>
      </c>
      <c r="AF1245" s="33" t="s">
        <v>61</v>
      </c>
      <c r="AG1245" s="33" t="s">
        <v>55</v>
      </c>
      <c r="AH1245" s="33" t="s">
        <v>56</v>
      </c>
      <c r="AI1245" s="33" t="s">
        <v>57</v>
      </c>
      <c r="AJ1245" s="33" t="s">
        <v>58</v>
      </c>
      <c r="AK1245" s="33" t="s">
        <v>56</v>
      </c>
      <c r="AL1245" s="27"/>
      <c r="AM1245" s="34" t="s">
        <v>57</v>
      </c>
      <c r="AN1245" s="35" t="str">
        <f t="shared" si="98"/>
        <v>✓ OK</v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3815</v>
      </c>
      <c r="C1246" s="41" t="s">
        <v>3816</v>
      </c>
      <c r="D1246" s="39" t="s">
        <v>3482</v>
      </c>
      <c r="E1246" s="42">
        <v>46129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42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70">
        <v>46248</v>
      </c>
      <c r="X1246" s="30" t="s">
        <v>55</v>
      </c>
      <c r="Y1246" s="30" t="s">
        <v>56</v>
      </c>
      <c r="Z1246" s="30" t="s">
        <v>57</v>
      </c>
      <c r="AA1246" s="30" t="s">
        <v>58</v>
      </c>
      <c r="AB1246" s="30" t="s">
        <v>56</v>
      </c>
      <c r="AC1246" s="27"/>
      <c r="AD1246" s="31" t="s">
        <v>57</v>
      </c>
      <c r="AE1246" s="32" t="str">
        <f t="shared" si="97"/>
        <v>✓ OK</v>
      </c>
      <c r="AF1246" s="33" t="s">
        <v>61</v>
      </c>
      <c r="AG1246" s="33" t="s">
        <v>55</v>
      </c>
      <c r="AH1246" s="33" t="s">
        <v>56</v>
      </c>
      <c r="AI1246" s="33" t="s">
        <v>57</v>
      </c>
      <c r="AJ1246" s="33" t="s">
        <v>58</v>
      </c>
      <c r="AK1246" s="33" t="s">
        <v>56</v>
      </c>
      <c r="AL1246" s="27"/>
      <c r="AM1246" s="34" t="s">
        <v>57</v>
      </c>
      <c r="AN1246" s="35" t="str">
        <f t="shared" si="98"/>
        <v>✓ OK</v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3817</v>
      </c>
      <c r="C1247" s="25" t="s">
        <v>3818</v>
      </c>
      <c r="D1247" s="23" t="s">
        <v>3482</v>
      </c>
      <c r="E1247" s="42">
        <v>46129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42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70">
        <v>46248</v>
      </c>
      <c r="X1247" s="30" t="s">
        <v>55</v>
      </c>
      <c r="Y1247" s="30" t="s">
        <v>56</v>
      </c>
      <c r="Z1247" s="30" t="s">
        <v>57</v>
      </c>
      <c r="AA1247" s="30" t="s">
        <v>58</v>
      </c>
      <c r="AB1247" s="30" t="s">
        <v>56</v>
      </c>
      <c r="AC1247" s="27"/>
      <c r="AD1247" s="31" t="s">
        <v>57</v>
      </c>
      <c r="AE1247" s="32" t="str">
        <f t="shared" si="97"/>
        <v>✓ OK</v>
      </c>
      <c r="AF1247" s="33" t="s">
        <v>61</v>
      </c>
      <c r="AG1247" s="33" t="s">
        <v>55</v>
      </c>
      <c r="AH1247" s="33" t="s">
        <v>56</v>
      </c>
      <c r="AI1247" s="33" t="s">
        <v>57</v>
      </c>
      <c r="AJ1247" s="33" t="s">
        <v>58</v>
      </c>
      <c r="AK1247" s="33" t="s">
        <v>56</v>
      </c>
      <c r="AL1247" s="27"/>
      <c r="AM1247" s="34" t="s">
        <v>57</v>
      </c>
      <c r="AN1247" s="35" t="str">
        <f t="shared" si="98"/>
        <v>✓ OK</v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3819</v>
      </c>
      <c r="C1248" s="41" t="s">
        <v>3820</v>
      </c>
      <c r="D1248" s="39" t="s">
        <v>3482</v>
      </c>
      <c r="E1248" s="42">
        <v>46129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42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70">
        <v>46248</v>
      </c>
      <c r="X1248" s="30" t="s">
        <v>55</v>
      </c>
      <c r="Y1248" s="30" t="s">
        <v>56</v>
      </c>
      <c r="Z1248" s="30" t="s">
        <v>57</v>
      </c>
      <c r="AA1248" s="30" t="s">
        <v>58</v>
      </c>
      <c r="AB1248" s="30" t="s">
        <v>56</v>
      </c>
      <c r="AC1248" s="27"/>
      <c r="AD1248" s="31" t="s">
        <v>57</v>
      </c>
      <c r="AE1248" s="32" t="str">
        <f t="shared" si="97"/>
        <v>✓ OK</v>
      </c>
      <c r="AF1248" s="33" t="s">
        <v>61</v>
      </c>
      <c r="AG1248" s="33" t="s">
        <v>55</v>
      </c>
      <c r="AH1248" s="33" t="s">
        <v>56</v>
      </c>
      <c r="AI1248" s="33" t="s">
        <v>57</v>
      </c>
      <c r="AJ1248" s="33" t="s">
        <v>58</v>
      </c>
      <c r="AK1248" s="33" t="s">
        <v>56</v>
      </c>
      <c r="AL1248" s="27"/>
      <c r="AM1248" s="34" t="s">
        <v>57</v>
      </c>
      <c r="AN1248" s="35" t="str">
        <f t="shared" si="98"/>
        <v>✓ OK</v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3821</v>
      </c>
      <c r="C1249" s="25" t="s">
        <v>3822</v>
      </c>
      <c r="D1249" s="23" t="s">
        <v>3482</v>
      </c>
      <c r="E1249" s="42">
        <v>46129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42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70">
        <v>46248</v>
      </c>
      <c r="X1249" s="30" t="s">
        <v>55</v>
      </c>
      <c r="Y1249" s="30" t="s">
        <v>56</v>
      </c>
      <c r="Z1249" s="30" t="s">
        <v>57</v>
      </c>
      <c r="AA1249" s="30" t="s">
        <v>58</v>
      </c>
      <c r="AB1249" s="30" t="s">
        <v>56</v>
      </c>
      <c r="AC1249" s="27"/>
      <c r="AD1249" s="31" t="s">
        <v>57</v>
      </c>
      <c r="AE1249" s="32" t="str">
        <f t="shared" si="97"/>
        <v>✓ OK</v>
      </c>
      <c r="AF1249" s="33" t="s">
        <v>61</v>
      </c>
      <c r="AG1249" s="33" t="s">
        <v>55</v>
      </c>
      <c r="AH1249" s="33" t="s">
        <v>56</v>
      </c>
      <c r="AI1249" s="33" t="s">
        <v>57</v>
      </c>
      <c r="AJ1249" s="33" t="s">
        <v>58</v>
      </c>
      <c r="AK1249" s="33" t="s">
        <v>56</v>
      </c>
      <c r="AL1249" s="27"/>
      <c r="AM1249" s="34" t="s">
        <v>57</v>
      </c>
      <c r="AN1249" s="35" t="str">
        <f t="shared" si="98"/>
        <v>✓ OK</v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3823</v>
      </c>
      <c r="C1250" s="41" t="s">
        <v>3824</v>
      </c>
      <c r="D1250" s="39" t="s">
        <v>3482</v>
      </c>
      <c r="E1250" s="42">
        <v>46129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42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70">
        <v>46248</v>
      </c>
      <c r="X1250" s="30" t="s">
        <v>55</v>
      </c>
      <c r="Y1250" s="30" t="s">
        <v>56</v>
      </c>
      <c r="Z1250" s="30" t="s">
        <v>57</v>
      </c>
      <c r="AA1250" s="30" t="s">
        <v>58</v>
      </c>
      <c r="AB1250" s="30" t="s">
        <v>56</v>
      </c>
      <c r="AC1250" s="27"/>
      <c r="AD1250" s="31" t="s">
        <v>57</v>
      </c>
      <c r="AE1250" s="32" t="str">
        <f t="shared" si="97"/>
        <v>✓ OK</v>
      </c>
      <c r="AF1250" s="33" t="s">
        <v>61</v>
      </c>
      <c r="AG1250" s="33" t="s">
        <v>55</v>
      </c>
      <c r="AH1250" s="33" t="s">
        <v>56</v>
      </c>
      <c r="AI1250" s="33" t="s">
        <v>57</v>
      </c>
      <c r="AJ1250" s="33" t="s">
        <v>58</v>
      </c>
      <c r="AK1250" s="33" t="s">
        <v>56</v>
      </c>
      <c r="AL1250" s="27"/>
      <c r="AM1250" s="34" t="s">
        <v>57</v>
      </c>
      <c r="AN1250" s="35" t="str">
        <f t="shared" si="98"/>
        <v>✓ OK</v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3825</v>
      </c>
      <c r="C1251" s="25" t="s">
        <v>3826</v>
      </c>
      <c r="D1251" s="23" t="s">
        <v>3482</v>
      </c>
      <c r="E1251" s="42">
        <v>46129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42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70">
        <v>46248</v>
      </c>
      <c r="X1251" s="30" t="s">
        <v>55</v>
      </c>
      <c r="Y1251" s="30" t="s">
        <v>56</v>
      </c>
      <c r="Z1251" s="30" t="s">
        <v>57</v>
      </c>
      <c r="AA1251" s="30" t="s">
        <v>58</v>
      </c>
      <c r="AB1251" s="30" t="s">
        <v>56</v>
      </c>
      <c r="AC1251" s="27"/>
      <c r="AD1251" s="31" t="s">
        <v>57</v>
      </c>
      <c r="AE1251" s="32" t="str">
        <f t="shared" si="97"/>
        <v>✓ OK</v>
      </c>
      <c r="AF1251" s="33" t="s">
        <v>61</v>
      </c>
      <c r="AG1251" s="33" t="s">
        <v>55</v>
      </c>
      <c r="AH1251" s="33" t="s">
        <v>56</v>
      </c>
      <c r="AI1251" s="33" t="s">
        <v>57</v>
      </c>
      <c r="AJ1251" s="33" t="s">
        <v>58</v>
      </c>
      <c r="AK1251" s="33" t="s">
        <v>56</v>
      </c>
      <c r="AL1251" s="27"/>
      <c r="AM1251" s="34" t="s">
        <v>57</v>
      </c>
      <c r="AN1251" s="35" t="str">
        <f t="shared" si="98"/>
        <v>✓ OK</v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3827</v>
      </c>
      <c r="C1252" s="41" t="s">
        <v>3828</v>
      </c>
      <c r="D1252" s="39" t="s">
        <v>3482</v>
      </c>
      <c r="E1252" s="42">
        <v>46129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42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70">
        <v>46248</v>
      </c>
      <c r="X1252" s="30" t="s">
        <v>55</v>
      </c>
      <c r="Y1252" s="30" t="s">
        <v>56</v>
      </c>
      <c r="Z1252" s="30" t="s">
        <v>57</v>
      </c>
      <c r="AA1252" s="30" t="s">
        <v>58</v>
      </c>
      <c r="AB1252" s="30" t="s">
        <v>56</v>
      </c>
      <c r="AC1252" s="27"/>
      <c r="AD1252" s="31" t="s">
        <v>57</v>
      </c>
      <c r="AE1252" s="32" t="str">
        <f t="shared" si="97"/>
        <v>✓ OK</v>
      </c>
      <c r="AF1252" s="33" t="s">
        <v>61</v>
      </c>
      <c r="AG1252" s="33" t="s">
        <v>55</v>
      </c>
      <c r="AH1252" s="33" t="s">
        <v>56</v>
      </c>
      <c r="AI1252" s="33" t="s">
        <v>57</v>
      </c>
      <c r="AJ1252" s="33" t="s">
        <v>58</v>
      </c>
      <c r="AK1252" s="33" t="s">
        <v>56</v>
      </c>
      <c r="AL1252" s="27"/>
      <c r="AM1252" s="34" t="s">
        <v>57</v>
      </c>
      <c r="AN1252" s="35" t="str">
        <f t="shared" si="98"/>
        <v>✓ OK</v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3829</v>
      </c>
      <c r="C1253" s="25" t="s">
        <v>3830</v>
      </c>
      <c r="D1253" s="23" t="s">
        <v>3482</v>
      </c>
      <c r="E1253" s="42">
        <v>46129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42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70">
        <v>46248</v>
      </c>
      <c r="X1253" s="30" t="s">
        <v>55</v>
      </c>
      <c r="Y1253" s="30" t="s">
        <v>56</v>
      </c>
      <c r="Z1253" s="30" t="s">
        <v>57</v>
      </c>
      <c r="AA1253" s="30" t="s">
        <v>58</v>
      </c>
      <c r="AB1253" s="30" t="s">
        <v>56</v>
      </c>
      <c r="AC1253" s="27"/>
      <c r="AD1253" s="31" t="s">
        <v>57</v>
      </c>
      <c r="AE1253" s="32" t="str">
        <f t="shared" si="97"/>
        <v>✓ OK</v>
      </c>
      <c r="AF1253" s="33" t="s">
        <v>61</v>
      </c>
      <c r="AG1253" s="33" t="s">
        <v>55</v>
      </c>
      <c r="AH1253" s="33" t="s">
        <v>56</v>
      </c>
      <c r="AI1253" s="33" t="s">
        <v>57</v>
      </c>
      <c r="AJ1253" s="33" t="s">
        <v>58</v>
      </c>
      <c r="AK1253" s="33" t="s">
        <v>56</v>
      </c>
      <c r="AL1253" s="27"/>
      <c r="AM1253" s="34" t="s">
        <v>57</v>
      </c>
      <c r="AN1253" s="35" t="str">
        <f t="shared" si="98"/>
        <v>✓ OK</v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3831</v>
      </c>
      <c r="C1254" s="41" t="s">
        <v>3832</v>
      </c>
      <c r="D1254" s="39" t="s">
        <v>3482</v>
      </c>
      <c r="E1254" s="42">
        <v>46129</v>
      </c>
      <c r="F1254" s="26" t="s">
        <v>55</v>
      </c>
      <c r="G1254" s="26" t="s">
        <v>56</v>
      </c>
      <c r="H1254" s="26" t="s">
        <v>57</v>
      </c>
      <c r="I1254" s="26" t="s">
        <v>278</v>
      </c>
      <c r="J1254" s="26" t="s">
        <v>57</v>
      </c>
      <c r="K1254" s="27" t="s">
        <v>3833</v>
      </c>
      <c r="L1254" s="28" t="s">
        <v>56</v>
      </c>
      <c r="M1254" s="29" t="str">
        <f t="shared" si="95"/>
        <v>⚠ Check</v>
      </c>
      <c r="N1254" s="42">
        <v>46185</v>
      </c>
      <c r="O1254" s="26" t="s">
        <v>55</v>
      </c>
      <c r="P1254" s="26" t="s">
        <v>56</v>
      </c>
      <c r="Q1254" s="26" t="s">
        <v>57</v>
      </c>
      <c r="R1254" s="26" t="s">
        <v>278</v>
      </c>
      <c r="S1254" s="26" t="s">
        <v>57</v>
      </c>
      <c r="T1254" s="27" t="s">
        <v>3833</v>
      </c>
      <c r="U1254" s="28" t="s">
        <v>56</v>
      </c>
      <c r="V1254" s="29" t="str">
        <f t="shared" si="96"/>
        <v>⚠ Check</v>
      </c>
      <c r="W1254" s="70">
        <v>46248</v>
      </c>
      <c r="X1254" s="30" t="s">
        <v>55</v>
      </c>
      <c r="Y1254" s="30" t="s">
        <v>56</v>
      </c>
      <c r="Z1254" s="30" t="s">
        <v>57</v>
      </c>
      <c r="AA1254" s="30" t="s">
        <v>278</v>
      </c>
      <c r="AB1254" s="30" t="s">
        <v>57</v>
      </c>
      <c r="AC1254" s="27" t="s">
        <v>3833</v>
      </c>
      <c r="AD1254" s="31" t="s">
        <v>56</v>
      </c>
      <c r="AE1254" s="32" t="str">
        <f t="shared" si="97"/>
        <v>⚠ Check</v>
      </c>
      <c r="AF1254" s="33" t="s">
        <v>61</v>
      </c>
      <c r="AG1254" s="33" t="s">
        <v>55</v>
      </c>
      <c r="AH1254" s="33" t="s">
        <v>56</v>
      </c>
      <c r="AI1254" s="33" t="s">
        <v>57</v>
      </c>
      <c r="AJ1254" s="33" t="s">
        <v>58</v>
      </c>
      <c r="AK1254" s="33" t="s">
        <v>56</v>
      </c>
      <c r="AL1254" s="27"/>
      <c r="AM1254" s="34" t="s">
        <v>56</v>
      </c>
      <c r="AN1254" s="35" t="str">
        <f t="shared" si="98"/>
        <v>✓ OK</v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3834</v>
      </c>
      <c r="C1255" s="25" t="s">
        <v>3835</v>
      </c>
      <c r="D1255" s="23" t="s">
        <v>3482</v>
      </c>
      <c r="E1255" s="42">
        <v>46129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42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70">
        <v>46248</v>
      </c>
      <c r="X1255" s="30" t="s">
        <v>55</v>
      </c>
      <c r="Y1255" s="30" t="s">
        <v>56</v>
      </c>
      <c r="Z1255" s="30" t="s">
        <v>57</v>
      </c>
      <c r="AA1255" s="30" t="s">
        <v>58</v>
      </c>
      <c r="AB1255" s="30" t="s">
        <v>56</v>
      </c>
      <c r="AC1255" s="27"/>
      <c r="AD1255" s="31" t="s">
        <v>57</v>
      </c>
      <c r="AE1255" s="32" t="str">
        <f t="shared" si="97"/>
        <v>✓ OK</v>
      </c>
      <c r="AF1255" s="33" t="s">
        <v>61</v>
      </c>
      <c r="AG1255" s="33" t="s">
        <v>55</v>
      </c>
      <c r="AH1255" s="33" t="s">
        <v>56</v>
      </c>
      <c r="AI1255" s="33" t="s">
        <v>57</v>
      </c>
      <c r="AJ1255" s="33" t="s">
        <v>58</v>
      </c>
      <c r="AK1255" s="33" t="s">
        <v>56</v>
      </c>
      <c r="AL1255" s="27"/>
      <c r="AM1255" s="34" t="s">
        <v>57</v>
      </c>
      <c r="AN1255" s="35" t="str">
        <f t="shared" si="98"/>
        <v>✓ OK</v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3836</v>
      </c>
      <c r="C1256" s="41" t="s">
        <v>3837</v>
      </c>
      <c r="D1256" s="39" t="s">
        <v>3482</v>
      </c>
      <c r="E1256" s="42">
        <v>46129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42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70">
        <v>46248</v>
      </c>
      <c r="X1256" s="30" t="s">
        <v>55</v>
      </c>
      <c r="Y1256" s="30" t="s">
        <v>56</v>
      </c>
      <c r="Z1256" s="30" t="s">
        <v>57</v>
      </c>
      <c r="AA1256" s="30" t="s">
        <v>58</v>
      </c>
      <c r="AB1256" s="30" t="s">
        <v>56</v>
      </c>
      <c r="AC1256" s="27"/>
      <c r="AD1256" s="31" t="s">
        <v>57</v>
      </c>
      <c r="AE1256" s="32" t="str">
        <f t="shared" si="97"/>
        <v>✓ OK</v>
      </c>
      <c r="AF1256" s="33" t="s">
        <v>61</v>
      </c>
      <c r="AG1256" s="33" t="s">
        <v>55</v>
      </c>
      <c r="AH1256" s="33" t="s">
        <v>56</v>
      </c>
      <c r="AI1256" s="33" t="s">
        <v>57</v>
      </c>
      <c r="AJ1256" s="33" t="s">
        <v>58</v>
      </c>
      <c r="AK1256" s="33" t="s">
        <v>56</v>
      </c>
      <c r="AL1256" s="27"/>
      <c r="AM1256" s="34" t="s">
        <v>57</v>
      </c>
      <c r="AN1256" s="35" t="str">
        <f t="shared" si="98"/>
        <v>✓ OK</v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3838</v>
      </c>
      <c r="C1257" s="25" t="s">
        <v>3839</v>
      </c>
      <c r="D1257" s="23" t="s">
        <v>3482</v>
      </c>
      <c r="E1257" s="42">
        <v>46129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42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70">
        <v>46248</v>
      </c>
      <c r="X1257" s="30" t="s">
        <v>55</v>
      </c>
      <c r="Y1257" s="30" t="s">
        <v>56</v>
      </c>
      <c r="Z1257" s="30" t="s">
        <v>57</v>
      </c>
      <c r="AA1257" s="30" t="s">
        <v>58</v>
      </c>
      <c r="AB1257" s="30" t="s">
        <v>56</v>
      </c>
      <c r="AC1257" s="27"/>
      <c r="AD1257" s="31" t="s">
        <v>57</v>
      </c>
      <c r="AE1257" s="32" t="str">
        <f t="shared" si="97"/>
        <v>✓ OK</v>
      </c>
      <c r="AF1257" s="33" t="s">
        <v>61</v>
      </c>
      <c r="AG1257" s="33" t="s">
        <v>55</v>
      </c>
      <c r="AH1257" s="33" t="s">
        <v>56</v>
      </c>
      <c r="AI1257" s="33" t="s">
        <v>57</v>
      </c>
      <c r="AJ1257" s="33" t="s">
        <v>58</v>
      </c>
      <c r="AK1257" s="33" t="s">
        <v>56</v>
      </c>
      <c r="AL1257" s="27"/>
      <c r="AM1257" s="34" t="s">
        <v>57</v>
      </c>
      <c r="AN1257" s="35" t="str">
        <f t="shared" si="98"/>
        <v>✓ OK</v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3840</v>
      </c>
      <c r="C1258" s="41" t="s">
        <v>3841</v>
      </c>
      <c r="D1258" s="39" t="s">
        <v>3482</v>
      </c>
      <c r="E1258" s="42">
        <v>46129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42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70">
        <v>46248</v>
      </c>
      <c r="X1258" s="30" t="s">
        <v>55</v>
      </c>
      <c r="Y1258" s="30" t="s">
        <v>56</v>
      </c>
      <c r="Z1258" s="30" t="s">
        <v>57</v>
      </c>
      <c r="AA1258" s="30" t="s">
        <v>58</v>
      </c>
      <c r="AB1258" s="30" t="s">
        <v>56</v>
      </c>
      <c r="AC1258" s="27"/>
      <c r="AD1258" s="31" t="s">
        <v>57</v>
      </c>
      <c r="AE1258" s="32" t="str">
        <f t="shared" si="97"/>
        <v>✓ OK</v>
      </c>
      <c r="AF1258" s="33" t="s">
        <v>61</v>
      </c>
      <c r="AG1258" s="33" t="s">
        <v>55</v>
      </c>
      <c r="AH1258" s="33" t="s">
        <v>56</v>
      </c>
      <c r="AI1258" s="33" t="s">
        <v>57</v>
      </c>
      <c r="AJ1258" s="33" t="s">
        <v>58</v>
      </c>
      <c r="AK1258" s="33" t="s">
        <v>56</v>
      </c>
      <c r="AL1258" s="27"/>
      <c r="AM1258" s="34" t="s">
        <v>57</v>
      </c>
      <c r="AN1258" s="35" t="str">
        <f t="shared" si="98"/>
        <v>✓ OK</v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3842</v>
      </c>
      <c r="C1259" s="25" t="s">
        <v>3843</v>
      </c>
      <c r="D1259" s="23" t="s">
        <v>3482</v>
      </c>
      <c r="E1259" s="42">
        <v>46129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42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70">
        <v>46248</v>
      </c>
      <c r="X1259" s="30" t="s">
        <v>55</v>
      </c>
      <c r="Y1259" s="30" t="s">
        <v>56</v>
      </c>
      <c r="Z1259" s="30" t="s">
        <v>57</v>
      </c>
      <c r="AA1259" s="30" t="s">
        <v>58</v>
      </c>
      <c r="AB1259" s="30" t="s">
        <v>56</v>
      </c>
      <c r="AC1259" s="27"/>
      <c r="AD1259" s="31" t="s">
        <v>57</v>
      </c>
      <c r="AE1259" s="32" t="str">
        <f t="shared" si="97"/>
        <v>✓ OK</v>
      </c>
      <c r="AF1259" s="33" t="s">
        <v>61</v>
      </c>
      <c r="AG1259" s="33" t="s">
        <v>55</v>
      </c>
      <c r="AH1259" s="33" t="s">
        <v>56</v>
      </c>
      <c r="AI1259" s="33" t="s">
        <v>57</v>
      </c>
      <c r="AJ1259" s="33" t="s">
        <v>58</v>
      </c>
      <c r="AK1259" s="33" t="s">
        <v>56</v>
      </c>
      <c r="AL1259" s="27"/>
      <c r="AM1259" s="34" t="s">
        <v>57</v>
      </c>
      <c r="AN1259" s="35" t="str">
        <f t="shared" si="98"/>
        <v>✓ OK</v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3844</v>
      </c>
      <c r="C1260" s="41" t="s">
        <v>3845</v>
      </c>
      <c r="D1260" s="39" t="s">
        <v>3482</v>
      </c>
      <c r="E1260" s="42">
        <v>46129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42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70">
        <v>46248</v>
      </c>
      <c r="X1260" s="30" t="s">
        <v>55</v>
      </c>
      <c r="Y1260" s="30" t="s">
        <v>56</v>
      </c>
      <c r="Z1260" s="30" t="s">
        <v>57</v>
      </c>
      <c r="AA1260" s="30" t="s">
        <v>58</v>
      </c>
      <c r="AB1260" s="30" t="s">
        <v>56</v>
      </c>
      <c r="AC1260" s="27"/>
      <c r="AD1260" s="31" t="s">
        <v>57</v>
      </c>
      <c r="AE1260" s="32" t="str">
        <f t="shared" si="97"/>
        <v>✓ OK</v>
      </c>
      <c r="AF1260" s="33" t="s">
        <v>61</v>
      </c>
      <c r="AG1260" s="33" t="s">
        <v>55</v>
      </c>
      <c r="AH1260" s="33" t="s">
        <v>56</v>
      </c>
      <c r="AI1260" s="33" t="s">
        <v>57</v>
      </c>
      <c r="AJ1260" s="33" t="s">
        <v>58</v>
      </c>
      <c r="AK1260" s="33" t="s">
        <v>56</v>
      </c>
      <c r="AL1260" s="27"/>
      <c r="AM1260" s="34" t="s">
        <v>57</v>
      </c>
      <c r="AN1260" s="35" t="str">
        <f t="shared" si="98"/>
        <v>✓ OK</v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3846</v>
      </c>
      <c r="C1261" s="25" t="s">
        <v>3847</v>
      </c>
      <c r="D1261" s="23" t="s">
        <v>3482</v>
      </c>
      <c r="E1261" s="42">
        <v>46129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42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70">
        <v>46248</v>
      </c>
      <c r="X1261" s="30" t="s">
        <v>55</v>
      </c>
      <c r="Y1261" s="30" t="s">
        <v>56</v>
      </c>
      <c r="Z1261" s="30" t="s">
        <v>57</v>
      </c>
      <c r="AA1261" s="30" t="s">
        <v>58</v>
      </c>
      <c r="AB1261" s="30" t="s">
        <v>56</v>
      </c>
      <c r="AC1261" s="27"/>
      <c r="AD1261" s="31" t="s">
        <v>57</v>
      </c>
      <c r="AE1261" s="32" t="str">
        <f t="shared" si="97"/>
        <v>✓ OK</v>
      </c>
      <c r="AF1261" s="33" t="s">
        <v>61</v>
      </c>
      <c r="AG1261" s="33" t="s">
        <v>55</v>
      </c>
      <c r="AH1261" s="33" t="s">
        <v>56</v>
      </c>
      <c r="AI1261" s="33" t="s">
        <v>57</v>
      </c>
      <c r="AJ1261" s="33" t="s">
        <v>58</v>
      </c>
      <c r="AK1261" s="33" t="s">
        <v>56</v>
      </c>
      <c r="AL1261" s="27"/>
      <c r="AM1261" s="34" t="s">
        <v>57</v>
      </c>
      <c r="AN1261" s="35" t="str">
        <f t="shared" si="98"/>
        <v>✓ OK</v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3848</v>
      </c>
      <c r="C1262" s="41" t="s">
        <v>3849</v>
      </c>
      <c r="D1262" s="39" t="s">
        <v>3482</v>
      </c>
      <c r="E1262" s="42">
        <v>46129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42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70">
        <v>46248</v>
      </c>
      <c r="X1262" s="30" t="s">
        <v>55</v>
      </c>
      <c r="Y1262" s="30" t="s">
        <v>56</v>
      </c>
      <c r="Z1262" s="30" t="s">
        <v>57</v>
      </c>
      <c r="AA1262" s="30" t="s">
        <v>58</v>
      </c>
      <c r="AB1262" s="30" t="s">
        <v>56</v>
      </c>
      <c r="AC1262" s="27"/>
      <c r="AD1262" s="31" t="s">
        <v>57</v>
      </c>
      <c r="AE1262" s="32" t="str">
        <f t="shared" si="97"/>
        <v>✓ OK</v>
      </c>
      <c r="AF1262" s="33" t="s">
        <v>61</v>
      </c>
      <c r="AG1262" s="33" t="s">
        <v>55</v>
      </c>
      <c r="AH1262" s="33" t="s">
        <v>56</v>
      </c>
      <c r="AI1262" s="33" t="s">
        <v>57</v>
      </c>
      <c r="AJ1262" s="33" t="s">
        <v>58</v>
      </c>
      <c r="AK1262" s="33" t="s">
        <v>56</v>
      </c>
      <c r="AL1262" s="27"/>
      <c r="AM1262" s="34" t="s">
        <v>57</v>
      </c>
      <c r="AN1262" s="35" t="str">
        <f t="shared" si="98"/>
        <v>✓ OK</v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3850</v>
      </c>
      <c r="C1263" s="25" t="s">
        <v>3851</v>
      </c>
      <c r="D1263" s="23" t="s">
        <v>3482</v>
      </c>
      <c r="E1263" s="42">
        <v>46129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42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70">
        <v>46248</v>
      </c>
      <c r="X1263" s="30" t="s">
        <v>55</v>
      </c>
      <c r="Y1263" s="30" t="s">
        <v>56</v>
      </c>
      <c r="Z1263" s="30" t="s">
        <v>57</v>
      </c>
      <c r="AA1263" s="30" t="s">
        <v>58</v>
      </c>
      <c r="AB1263" s="30" t="s">
        <v>56</v>
      </c>
      <c r="AC1263" s="27"/>
      <c r="AD1263" s="31" t="s">
        <v>57</v>
      </c>
      <c r="AE1263" s="32" t="str">
        <f t="shared" si="97"/>
        <v>✓ OK</v>
      </c>
      <c r="AF1263" s="33" t="s">
        <v>61</v>
      </c>
      <c r="AG1263" s="33" t="s">
        <v>55</v>
      </c>
      <c r="AH1263" s="33" t="s">
        <v>56</v>
      </c>
      <c r="AI1263" s="33" t="s">
        <v>57</v>
      </c>
      <c r="AJ1263" s="33" t="s">
        <v>58</v>
      </c>
      <c r="AK1263" s="33" t="s">
        <v>56</v>
      </c>
      <c r="AL1263" s="27"/>
      <c r="AM1263" s="34" t="s">
        <v>57</v>
      </c>
      <c r="AN1263" s="35" t="str">
        <f t="shared" si="98"/>
        <v>✓ OK</v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3852</v>
      </c>
      <c r="C1264" s="41" t="s">
        <v>3853</v>
      </c>
      <c r="D1264" s="39" t="s">
        <v>3482</v>
      </c>
      <c r="E1264" s="42">
        <v>46129</v>
      </c>
      <c r="F1264" s="26" t="s">
        <v>55</v>
      </c>
      <c r="G1264" s="26" t="s">
        <v>56</v>
      </c>
      <c r="H1264" s="26" t="s">
        <v>57</v>
      </c>
      <c r="I1264" s="26" t="s">
        <v>278</v>
      </c>
      <c r="J1264" s="26" t="s">
        <v>57</v>
      </c>
      <c r="K1264" s="27" t="s">
        <v>3833</v>
      </c>
      <c r="L1264" s="28" t="s">
        <v>56</v>
      </c>
      <c r="M1264" s="29" t="str">
        <f t="shared" si="95"/>
        <v>⚠ Check</v>
      </c>
      <c r="N1264" s="42">
        <v>46185</v>
      </c>
      <c r="O1264" s="26" t="s">
        <v>55</v>
      </c>
      <c r="P1264" s="26" t="s">
        <v>56</v>
      </c>
      <c r="Q1264" s="26" t="s">
        <v>57</v>
      </c>
      <c r="R1264" s="26" t="s">
        <v>278</v>
      </c>
      <c r="S1264" s="26" t="s">
        <v>57</v>
      </c>
      <c r="T1264" s="27" t="s">
        <v>3833</v>
      </c>
      <c r="U1264" s="28" t="s">
        <v>56</v>
      </c>
      <c r="V1264" s="29" t="str">
        <f t="shared" si="96"/>
        <v>⚠ Check</v>
      </c>
      <c r="W1264" s="70">
        <v>46248</v>
      </c>
      <c r="X1264" s="30" t="s">
        <v>55</v>
      </c>
      <c r="Y1264" s="30" t="s">
        <v>56</v>
      </c>
      <c r="Z1264" s="30" t="s">
        <v>57</v>
      </c>
      <c r="AA1264" s="30" t="s">
        <v>278</v>
      </c>
      <c r="AB1264" s="30" t="s">
        <v>57</v>
      </c>
      <c r="AC1264" s="27" t="s">
        <v>3833</v>
      </c>
      <c r="AD1264" s="31" t="s">
        <v>56</v>
      </c>
      <c r="AE1264" s="32" t="str">
        <f t="shared" si="97"/>
        <v>⚠ Check</v>
      </c>
      <c r="AF1264" s="33" t="s">
        <v>61</v>
      </c>
      <c r="AG1264" s="33" t="s">
        <v>55</v>
      </c>
      <c r="AH1264" s="33" t="s">
        <v>56</v>
      </c>
      <c r="AI1264" s="33" t="s">
        <v>57</v>
      </c>
      <c r="AJ1264" s="33" t="s">
        <v>58</v>
      </c>
      <c r="AK1264" s="33" t="s">
        <v>56</v>
      </c>
      <c r="AL1264" s="27"/>
      <c r="AM1264" s="34" t="s">
        <v>56</v>
      </c>
      <c r="AN1264" s="35" t="str">
        <f t="shared" si="98"/>
        <v>✓ OK</v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3854</v>
      </c>
      <c r="C1265" s="25" t="s">
        <v>3855</v>
      </c>
      <c r="D1265" s="23" t="s">
        <v>3482</v>
      </c>
      <c r="E1265" s="42">
        <v>46129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42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70">
        <v>46248</v>
      </c>
      <c r="X1265" s="30" t="s">
        <v>55</v>
      </c>
      <c r="Y1265" s="30" t="s">
        <v>56</v>
      </c>
      <c r="Z1265" s="30" t="s">
        <v>57</v>
      </c>
      <c r="AA1265" s="30" t="s">
        <v>58</v>
      </c>
      <c r="AB1265" s="30" t="s">
        <v>56</v>
      </c>
      <c r="AC1265" s="27"/>
      <c r="AD1265" s="31" t="s">
        <v>57</v>
      </c>
      <c r="AE1265" s="32" t="str">
        <f t="shared" si="97"/>
        <v>✓ OK</v>
      </c>
      <c r="AF1265" s="33" t="s">
        <v>61</v>
      </c>
      <c r="AG1265" s="33" t="s">
        <v>55</v>
      </c>
      <c r="AH1265" s="33" t="s">
        <v>56</v>
      </c>
      <c r="AI1265" s="33" t="s">
        <v>57</v>
      </c>
      <c r="AJ1265" s="33" t="s">
        <v>58</v>
      </c>
      <c r="AK1265" s="33" t="s">
        <v>56</v>
      </c>
      <c r="AL1265" s="27"/>
      <c r="AM1265" s="34" t="s">
        <v>57</v>
      </c>
      <c r="AN1265" s="35" t="str">
        <f t="shared" si="98"/>
        <v>✓ OK</v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3856</v>
      </c>
      <c r="C1266" s="41" t="s">
        <v>3857</v>
      </c>
      <c r="D1266" s="39" t="s">
        <v>3482</v>
      </c>
      <c r="E1266" s="42">
        <v>46129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42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70">
        <v>46248</v>
      </c>
      <c r="X1266" s="30" t="s">
        <v>55</v>
      </c>
      <c r="Y1266" s="30" t="s">
        <v>56</v>
      </c>
      <c r="Z1266" s="30" t="s">
        <v>57</v>
      </c>
      <c r="AA1266" s="30" t="s">
        <v>58</v>
      </c>
      <c r="AB1266" s="30" t="s">
        <v>56</v>
      </c>
      <c r="AC1266" s="27"/>
      <c r="AD1266" s="31" t="s">
        <v>57</v>
      </c>
      <c r="AE1266" s="32" t="str">
        <f t="shared" si="97"/>
        <v>✓ OK</v>
      </c>
      <c r="AF1266" s="33" t="s">
        <v>61</v>
      </c>
      <c r="AG1266" s="33" t="s">
        <v>55</v>
      </c>
      <c r="AH1266" s="33" t="s">
        <v>56</v>
      </c>
      <c r="AI1266" s="33" t="s">
        <v>57</v>
      </c>
      <c r="AJ1266" s="33" t="s">
        <v>58</v>
      </c>
      <c r="AK1266" s="33" t="s">
        <v>56</v>
      </c>
      <c r="AL1266" s="27"/>
      <c r="AM1266" s="34" t="s">
        <v>57</v>
      </c>
      <c r="AN1266" s="35" t="str">
        <f t="shared" si="98"/>
        <v>✓ OK</v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3858</v>
      </c>
      <c r="C1267" s="25" t="s">
        <v>3859</v>
      </c>
      <c r="D1267" s="23" t="s">
        <v>3482</v>
      </c>
      <c r="E1267" s="42">
        <v>46129</v>
      </c>
      <c r="F1267" s="26" t="s">
        <v>55</v>
      </c>
      <c r="G1267" s="26" t="s">
        <v>56</v>
      </c>
      <c r="H1267" s="26" t="s">
        <v>57</v>
      </c>
      <c r="I1267" s="26" t="s">
        <v>278</v>
      </c>
      <c r="J1267" s="26" t="s">
        <v>57</v>
      </c>
      <c r="K1267" s="27" t="s">
        <v>3833</v>
      </c>
      <c r="L1267" s="28" t="s">
        <v>56</v>
      </c>
      <c r="M1267" s="29" t="str">
        <f t="shared" si="95"/>
        <v>⚠ Check</v>
      </c>
      <c r="N1267" s="42">
        <v>46185</v>
      </c>
      <c r="O1267" s="26" t="s">
        <v>55</v>
      </c>
      <c r="P1267" s="26" t="s">
        <v>56</v>
      </c>
      <c r="Q1267" s="26" t="s">
        <v>57</v>
      </c>
      <c r="R1267" s="26" t="s">
        <v>278</v>
      </c>
      <c r="S1267" s="26" t="s">
        <v>57</v>
      </c>
      <c r="T1267" s="27" t="s">
        <v>3833</v>
      </c>
      <c r="U1267" s="28" t="s">
        <v>56</v>
      </c>
      <c r="V1267" s="29" t="str">
        <f t="shared" si="96"/>
        <v>⚠ Check</v>
      </c>
      <c r="W1267" s="70">
        <v>46248</v>
      </c>
      <c r="X1267" s="30" t="s">
        <v>55</v>
      </c>
      <c r="Y1267" s="30" t="s">
        <v>56</v>
      </c>
      <c r="Z1267" s="30" t="s">
        <v>57</v>
      </c>
      <c r="AA1267" s="30" t="s">
        <v>278</v>
      </c>
      <c r="AB1267" s="30" t="s">
        <v>57</v>
      </c>
      <c r="AC1267" s="27" t="s">
        <v>3833</v>
      </c>
      <c r="AD1267" s="31" t="s">
        <v>56</v>
      </c>
      <c r="AE1267" s="32" t="str">
        <f t="shared" si="97"/>
        <v>⚠ Check</v>
      </c>
      <c r="AF1267" s="33" t="s">
        <v>61</v>
      </c>
      <c r="AG1267" s="33" t="s">
        <v>55</v>
      </c>
      <c r="AH1267" s="33" t="s">
        <v>56</v>
      </c>
      <c r="AI1267" s="33" t="s">
        <v>57</v>
      </c>
      <c r="AJ1267" s="33" t="s">
        <v>58</v>
      </c>
      <c r="AK1267" s="33" t="s">
        <v>56</v>
      </c>
      <c r="AL1267" s="27"/>
      <c r="AM1267" s="34" t="s">
        <v>56</v>
      </c>
      <c r="AN1267" s="35" t="str">
        <f t="shared" si="98"/>
        <v>✓ OK</v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3860</v>
      </c>
      <c r="C1268" s="41" t="s">
        <v>3861</v>
      </c>
      <c r="D1268" s="39" t="s">
        <v>3482</v>
      </c>
      <c r="E1268" s="42">
        <v>46129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42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70">
        <v>46248</v>
      </c>
      <c r="X1268" s="30" t="s">
        <v>55</v>
      </c>
      <c r="Y1268" s="30" t="s">
        <v>56</v>
      </c>
      <c r="Z1268" s="30" t="s">
        <v>57</v>
      </c>
      <c r="AA1268" s="30" t="s">
        <v>58</v>
      </c>
      <c r="AB1268" s="30" t="s">
        <v>56</v>
      </c>
      <c r="AC1268" s="27"/>
      <c r="AD1268" s="31" t="s">
        <v>57</v>
      </c>
      <c r="AE1268" s="32" t="str">
        <f t="shared" si="97"/>
        <v>✓ OK</v>
      </c>
      <c r="AF1268" s="33" t="s">
        <v>61</v>
      </c>
      <c r="AG1268" s="33" t="s">
        <v>55</v>
      </c>
      <c r="AH1268" s="33" t="s">
        <v>56</v>
      </c>
      <c r="AI1268" s="33" t="s">
        <v>57</v>
      </c>
      <c r="AJ1268" s="33" t="s">
        <v>58</v>
      </c>
      <c r="AK1268" s="33" t="s">
        <v>56</v>
      </c>
      <c r="AL1268" s="27"/>
      <c r="AM1268" s="34" t="s">
        <v>57</v>
      </c>
      <c r="AN1268" s="35" t="str">
        <f t="shared" si="98"/>
        <v>✓ OK</v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3862</v>
      </c>
      <c r="C1269" s="25" t="s">
        <v>3863</v>
      </c>
      <c r="D1269" s="23" t="s">
        <v>3482</v>
      </c>
      <c r="E1269" s="42">
        <v>46129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42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70">
        <v>46248</v>
      </c>
      <c r="X1269" s="30" t="s">
        <v>55</v>
      </c>
      <c r="Y1269" s="30" t="s">
        <v>56</v>
      </c>
      <c r="Z1269" s="30" t="s">
        <v>57</v>
      </c>
      <c r="AA1269" s="30" t="s">
        <v>58</v>
      </c>
      <c r="AB1269" s="30" t="s">
        <v>56</v>
      </c>
      <c r="AC1269" s="27"/>
      <c r="AD1269" s="31" t="s">
        <v>57</v>
      </c>
      <c r="AE1269" s="32" t="str">
        <f t="shared" si="97"/>
        <v>✓ OK</v>
      </c>
      <c r="AF1269" s="33" t="s">
        <v>61</v>
      </c>
      <c r="AG1269" s="33" t="s">
        <v>55</v>
      </c>
      <c r="AH1269" s="33" t="s">
        <v>56</v>
      </c>
      <c r="AI1269" s="33" t="s">
        <v>57</v>
      </c>
      <c r="AJ1269" s="33" t="s">
        <v>58</v>
      </c>
      <c r="AK1269" s="33" t="s">
        <v>56</v>
      </c>
      <c r="AL1269" s="27"/>
      <c r="AM1269" s="34" t="s">
        <v>57</v>
      </c>
      <c r="AN1269" s="35" t="str">
        <f t="shared" si="98"/>
        <v>✓ OK</v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3864</v>
      </c>
      <c r="C1270" s="41" t="s">
        <v>3865</v>
      </c>
      <c r="D1270" s="39" t="s">
        <v>3482</v>
      </c>
      <c r="E1270" s="42">
        <v>46129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42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70">
        <v>46248</v>
      </c>
      <c r="X1270" s="30" t="s">
        <v>55</v>
      </c>
      <c r="Y1270" s="30" t="s">
        <v>56</v>
      </c>
      <c r="Z1270" s="30" t="s">
        <v>57</v>
      </c>
      <c r="AA1270" s="30" t="s">
        <v>58</v>
      </c>
      <c r="AB1270" s="30" t="s">
        <v>56</v>
      </c>
      <c r="AC1270" s="27"/>
      <c r="AD1270" s="31" t="s">
        <v>57</v>
      </c>
      <c r="AE1270" s="32" t="str">
        <f t="shared" si="97"/>
        <v>✓ OK</v>
      </c>
      <c r="AF1270" s="33" t="s">
        <v>61</v>
      </c>
      <c r="AG1270" s="33" t="s">
        <v>55</v>
      </c>
      <c r="AH1270" s="33" t="s">
        <v>56</v>
      </c>
      <c r="AI1270" s="33" t="s">
        <v>57</v>
      </c>
      <c r="AJ1270" s="33" t="s">
        <v>58</v>
      </c>
      <c r="AK1270" s="33" t="s">
        <v>56</v>
      </c>
      <c r="AL1270" s="27"/>
      <c r="AM1270" s="34" t="s">
        <v>57</v>
      </c>
      <c r="AN1270" s="35" t="str">
        <f t="shared" si="98"/>
        <v>✓ OK</v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3866</v>
      </c>
      <c r="C1271" s="25" t="s">
        <v>3867</v>
      </c>
      <c r="D1271" s="23" t="s">
        <v>3482</v>
      </c>
      <c r="E1271" s="42">
        <v>46129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42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70">
        <v>46248</v>
      </c>
      <c r="X1271" s="30" t="s">
        <v>55</v>
      </c>
      <c r="Y1271" s="30" t="s">
        <v>56</v>
      </c>
      <c r="Z1271" s="30" t="s">
        <v>57</v>
      </c>
      <c r="AA1271" s="30" t="s">
        <v>58</v>
      </c>
      <c r="AB1271" s="30" t="s">
        <v>56</v>
      </c>
      <c r="AC1271" s="27"/>
      <c r="AD1271" s="31" t="s">
        <v>57</v>
      </c>
      <c r="AE1271" s="32" t="str">
        <f t="shared" si="97"/>
        <v>✓ OK</v>
      </c>
      <c r="AF1271" s="33" t="s">
        <v>61</v>
      </c>
      <c r="AG1271" s="33" t="s">
        <v>55</v>
      </c>
      <c r="AH1271" s="33" t="s">
        <v>56</v>
      </c>
      <c r="AI1271" s="33" t="s">
        <v>57</v>
      </c>
      <c r="AJ1271" s="33" t="s">
        <v>58</v>
      </c>
      <c r="AK1271" s="33" t="s">
        <v>56</v>
      </c>
      <c r="AL1271" s="27"/>
      <c r="AM1271" s="34" t="s">
        <v>57</v>
      </c>
      <c r="AN1271" s="35" t="str">
        <f t="shared" si="98"/>
        <v>✓ OK</v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3868</v>
      </c>
      <c r="C1272" s="41" t="s">
        <v>3869</v>
      </c>
      <c r="D1272" s="39" t="s">
        <v>3482</v>
      </c>
      <c r="E1272" s="42">
        <v>46129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42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70">
        <v>46248</v>
      </c>
      <c r="X1272" s="30" t="s">
        <v>55</v>
      </c>
      <c r="Y1272" s="30" t="s">
        <v>56</v>
      </c>
      <c r="Z1272" s="30" t="s">
        <v>57</v>
      </c>
      <c r="AA1272" s="30" t="s">
        <v>58</v>
      </c>
      <c r="AB1272" s="30" t="s">
        <v>56</v>
      </c>
      <c r="AC1272" s="27"/>
      <c r="AD1272" s="31" t="s">
        <v>57</v>
      </c>
      <c r="AE1272" s="32" t="str">
        <f t="shared" si="97"/>
        <v>✓ OK</v>
      </c>
      <c r="AF1272" s="33" t="s">
        <v>61</v>
      </c>
      <c r="AG1272" s="33" t="s">
        <v>55</v>
      </c>
      <c r="AH1272" s="33" t="s">
        <v>56</v>
      </c>
      <c r="AI1272" s="33" t="s">
        <v>57</v>
      </c>
      <c r="AJ1272" s="33" t="s">
        <v>58</v>
      </c>
      <c r="AK1272" s="33" t="s">
        <v>56</v>
      </c>
      <c r="AL1272" s="27"/>
      <c r="AM1272" s="34" t="s">
        <v>57</v>
      </c>
      <c r="AN1272" s="35" t="str">
        <f t="shared" si="98"/>
        <v>✓ OK</v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3870</v>
      </c>
      <c r="C1273" s="25" t="s">
        <v>3871</v>
      </c>
      <c r="D1273" s="23" t="s">
        <v>3482</v>
      </c>
      <c r="E1273" s="42">
        <v>46129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42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70">
        <v>46248</v>
      </c>
      <c r="X1273" s="30" t="s">
        <v>55</v>
      </c>
      <c r="Y1273" s="30" t="s">
        <v>56</v>
      </c>
      <c r="Z1273" s="30" t="s">
        <v>57</v>
      </c>
      <c r="AA1273" s="30" t="s">
        <v>58</v>
      </c>
      <c r="AB1273" s="30" t="s">
        <v>56</v>
      </c>
      <c r="AC1273" s="27"/>
      <c r="AD1273" s="31" t="s">
        <v>57</v>
      </c>
      <c r="AE1273" s="32" t="str">
        <f t="shared" si="97"/>
        <v>✓ OK</v>
      </c>
      <c r="AF1273" s="33" t="s">
        <v>61</v>
      </c>
      <c r="AG1273" s="33" t="s">
        <v>55</v>
      </c>
      <c r="AH1273" s="33" t="s">
        <v>56</v>
      </c>
      <c r="AI1273" s="33" t="s">
        <v>57</v>
      </c>
      <c r="AJ1273" s="33" t="s">
        <v>58</v>
      </c>
      <c r="AK1273" s="33" t="s">
        <v>56</v>
      </c>
      <c r="AL1273" s="27"/>
      <c r="AM1273" s="34" t="s">
        <v>57</v>
      </c>
      <c r="AN1273" s="35" t="str">
        <f t="shared" si="98"/>
        <v>✓ OK</v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3872</v>
      </c>
      <c r="C1274" s="41" t="s">
        <v>3873</v>
      </c>
      <c r="D1274" s="39" t="s">
        <v>3482</v>
      </c>
      <c r="E1274" s="42">
        <v>46129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42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70">
        <v>46248</v>
      </c>
      <c r="X1274" s="30" t="s">
        <v>55</v>
      </c>
      <c r="Y1274" s="30" t="s">
        <v>56</v>
      </c>
      <c r="Z1274" s="30" t="s">
        <v>57</v>
      </c>
      <c r="AA1274" s="30" t="s">
        <v>58</v>
      </c>
      <c r="AB1274" s="30" t="s">
        <v>56</v>
      </c>
      <c r="AC1274" s="27"/>
      <c r="AD1274" s="31" t="s">
        <v>57</v>
      </c>
      <c r="AE1274" s="32" t="str">
        <f t="shared" si="97"/>
        <v>✓ OK</v>
      </c>
      <c r="AF1274" s="33" t="s">
        <v>61</v>
      </c>
      <c r="AG1274" s="33" t="s">
        <v>55</v>
      </c>
      <c r="AH1274" s="33" t="s">
        <v>56</v>
      </c>
      <c r="AI1274" s="33" t="s">
        <v>57</v>
      </c>
      <c r="AJ1274" s="33" t="s">
        <v>58</v>
      </c>
      <c r="AK1274" s="33" t="s">
        <v>56</v>
      </c>
      <c r="AL1274" s="27"/>
      <c r="AM1274" s="34" t="s">
        <v>57</v>
      </c>
      <c r="AN1274" s="35" t="str">
        <f t="shared" si="98"/>
        <v>✓ OK</v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3874</v>
      </c>
      <c r="C1275" s="25" t="s">
        <v>3875</v>
      </c>
      <c r="D1275" s="23" t="s">
        <v>3482</v>
      </c>
      <c r="E1275" s="42">
        <v>46129</v>
      </c>
      <c r="F1275" s="26" t="s">
        <v>55</v>
      </c>
      <c r="G1275" s="26" t="s">
        <v>56</v>
      </c>
      <c r="H1275" s="26" t="s">
        <v>57</v>
      </c>
      <c r="I1275" s="26" t="s">
        <v>278</v>
      </c>
      <c r="J1275" s="26" t="s">
        <v>57</v>
      </c>
      <c r="K1275" s="27" t="s">
        <v>3833</v>
      </c>
      <c r="L1275" s="28" t="s">
        <v>56</v>
      </c>
      <c r="M1275" s="29" t="str">
        <f t="shared" si="95"/>
        <v>⚠ Check</v>
      </c>
      <c r="N1275" s="42">
        <v>46185</v>
      </c>
      <c r="O1275" s="26" t="s">
        <v>55</v>
      </c>
      <c r="P1275" s="26" t="s">
        <v>56</v>
      </c>
      <c r="Q1275" s="26" t="s">
        <v>57</v>
      </c>
      <c r="R1275" s="26" t="s">
        <v>278</v>
      </c>
      <c r="S1275" s="26" t="s">
        <v>57</v>
      </c>
      <c r="T1275" s="27" t="s">
        <v>3833</v>
      </c>
      <c r="U1275" s="28" t="s">
        <v>56</v>
      </c>
      <c r="V1275" s="29" t="str">
        <f t="shared" si="96"/>
        <v>⚠ Check</v>
      </c>
      <c r="W1275" s="70">
        <v>46248</v>
      </c>
      <c r="X1275" s="30" t="s">
        <v>55</v>
      </c>
      <c r="Y1275" s="30" t="s">
        <v>56</v>
      </c>
      <c r="Z1275" s="30" t="s">
        <v>57</v>
      </c>
      <c r="AA1275" s="30" t="s">
        <v>278</v>
      </c>
      <c r="AB1275" s="30" t="s">
        <v>57</v>
      </c>
      <c r="AC1275" s="27" t="s">
        <v>3833</v>
      </c>
      <c r="AD1275" s="31" t="s">
        <v>56</v>
      </c>
      <c r="AE1275" s="32" t="str">
        <f t="shared" si="97"/>
        <v>⚠ Check</v>
      </c>
      <c r="AF1275" s="33" t="s">
        <v>61</v>
      </c>
      <c r="AG1275" s="33" t="s">
        <v>55</v>
      </c>
      <c r="AH1275" s="33" t="s">
        <v>56</v>
      </c>
      <c r="AI1275" s="33" t="s">
        <v>57</v>
      </c>
      <c r="AJ1275" s="33" t="s">
        <v>58</v>
      </c>
      <c r="AK1275" s="33" t="s">
        <v>56</v>
      </c>
      <c r="AL1275" s="27"/>
      <c r="AM1275" s="34" t="s">
        <v>56</v>
      </c>
      <c r="AN1275" s="35" t="str">
        <f t="shared" si="98"/>
        <v>✓ OK</v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3876</v>
      </c>
      <c r="C1276" s="41" t="s">
        <v>3877</v>
      </c>
      <c r="D1276" s="39" t="s">
        <v>3482</v>
      </c>
      <c r="E1276" s="42">
        <v>46129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42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70">
        <v>46248</v>
      </c>
      <c r="X1276" s="30" t="s">
        <v>55</v>
      </c>
      <c r="Y1276" s="30" t="s">
        <v>56</v>
      </c>
      <c r="Z1276" s="30" t="s">
        <v>57</v>
      </c>
      <c r="AA1276" s="30" t="s">
        <v>58</v>
      </c>
      <c r="AB1276" s="30" t="s">
        <v>56</v>
      </c>
      <c r="AC1276" s="27"/>
      <c r="AD1276" s="31" t="s">
        <v>57</v>
      </c>
      <c r="AE1276" s="32" t="str">
        <f t="shared" si="97"/>
        <v>✓ OK</v>
      </c>
      <c r="AF1276" s="33" t="s">
        <v>61</v>
      </c>
      <c r="AG1276" s="33" t="s">
        <v>55</v>
      </c>
      <c r="AH1276" s="33" t="s">
        <v>56</v>
      </c>
      <c r="AI1276" s="33" t="s">
        <v>57</v>
      </c>
      <c r="AJ1276" s="33" t="s">
        <v>58</v>
      </c>
      <c r="AK1276" s="33" t="s">
        <v>56</v>
      </c>
      <c r="AL1276" s="27"/>
      <c r="AM1276" s="34" t="s">
        <v>57</v>
      </c>
      <c r="AN1276" s="35" t="str">
        <f t="shared" si="98"/>
        <v>✓ OK</v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3878</v>
      </c>
      <c r="C1277" s="25" t="s">
        <v>3879</v>
      </c>
      <c r="D1277" s="23" t="s">
        <v>3482</v>
      </c>
      <c r="E1277" s="42">
        <v>46129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42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70">
        <v>46248</v>
      </c>
      <c r="X1277" s="30" t="s">
        <v>55</v>
      </c>
      <c r="Y1277" s="30" t="s">
        <v>56</v>
      </c>
      <c r="Z1277" s="30" t="s">
        <v>57</v>
      </c>
      <c r="AA1277" s="30" t="s">
        <v>58</v>
      </c>
      <c r="AB1277" s="30" t="s">
        <v>56</v>
      </c>
      <c r="AC1277" s="27"/>
      <c r="AD1277" s="31" t="s">
        <v>57</v>
      </c>
      <c r="AE1277" s="32" t="str">
        <f t="shared" si="97"/>
        <v>✓ OK</v>
      </c>
      <c r="AF1277" s="33" t="s">
        <v>61</v>
      </c>
      <c r="AG1277" s="33" t="s">
        <v>55</v>
      </c>
      <c r="AH1277" s="33" t="s">
        <v>56</v>
      </c>
      <c r="AI1277" s="33" t="s">
        <v>57</v>
      </c>
      <c r="AJ1277" s="33" t="s">
        <v>58</v>
      </c>
      <c r="AK1277" s="33" t="s">
        <v>56</v>
      </c>
      <c r="AL1277" s="27"/>
      <c r="AM1277" s="34" t="s">
        <v>57</v>
      </c>
      <c r="AN1277" s="35" t="str">
        <f t="shared" si="98"/>
        <v>✓ OK</v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3880</v>
      </c>
      <c r="C1278" s="41" t="s">
        <v>3881</v>
      </c>
      <c r="D1278" s="39" t="s">
        <v>3482</v>
      </c>
      <c r="E1278" s="42">
        <v>46129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42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70">
        <v>46248</v>
      </c>
      <c r="X1278" s="30" t="s">
        <v>55</v>
      </c>
      <c r="Y1278" s="30" t="s">
        <v>56</v>
      </c>
      <c r="Z1278" s="30" t="s">
        <v>57</v>
      </c>
      <c r="AA1278" s="30" t="s">
        <v>58</v>
      </c>
      <c r="AB1278" s="30" t="s">
        <v>56</v>
      </c>
      <c r="AC1278" s="27"/>
      <c r="AD1278" s="31" t="s">
        <v>57</v>
      </c>
      <c r="AE1278" s="32" t="str">
        <f t="shared" si="97"/>
        <v>✓ OK</v>
      </c>
      <c r="AF1278" s="33" t="s">
        <v>61</v>
      </c>
      <c r="AG1278" s="33" t="s">
        <v>55</v>
      </c>
      <c r="AH1278" s="33" t="s">
        <v>56</v>
      </c>
      <c r="AI1278" s="33" t="s">
        <v>57</v>
      </c>
      <c r="AJ1278" s="33" t="s">
        <v>58</v>
      </c>
      <c r="AK1278" s="33" t="s">
        <v>56</v>
      </c>
      <c r="AL1278" s="27"/>
      <c r="AM1278" s="34" t="s">
        <v>57</v>
      </c>
      <c r="AN1278" s="35" t="str">
        <f t="shared" si="98"/>
        <v>✓ OK</v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3882</v>
      </c>
      <c r="C1279" s="25" t="s">
        <v>3883</v>
      </c>
      <c r="D1279" s="23" t="s">
        <v>3482</v>
      </c>
      <c r="E1279" s="42">
        <v>46129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42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70">
        <v>46248</v>
      </c>
      <c r="X1279" s="30" t="s">
        <v>55</v>
      </c>
      <c r="Y1279" s="30" t="s">
        <v>56</v>
      </c>
      <c r="Z1279" s="30" t="s">
        <v>57</v>
      </c>
      <c r="AA1279" s="30" t="s">
        <v>58</v>
      </c>
      <c r="AB1279" s="30" t="s">
        <v>56</v>
      </c>
      <c r="AC1279" s="27"/>
      <c r="AD1279" s="31" t="s">
        <v>57</v>
      </c>
      <c r="AE1279" s="32" t="str">
        <f t="shared" si="97"/>
        <v>✓ OK</v>
      </c>
      <c r="AF1279" s="33" t="s">
        <v>61</v>
      </c>
      <c r="AG1279" s="33" t="s">
        <v>55</v>
      </c>
      <c r="AH1279" s="33" t="s">
        <v>56</v>
      </c>
      <c r="AI1279" s="33" t="s">
        <v>57</v>
      </c>
      <c r="AJ1279" s="33" t="s">
        <v>58</v>
      </c>
      <c r="AK1279" s="33" t="s">
        <v>56</v>
      </c>
      <c r="AL1279" s="27"/>
      <c r="AM1279" s="34" t="s">
        <v>57</v>
      </c>
      <c r="AN1279" s="35" t="str">
        <f t="shared" si="98"/>
        <v>✓ OK</v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3884</v>
      </c>
      <c r="C1280" s="41" t="s">
        <v>3885</v>
      </c>
      <c r="D1280" s="39" t="s">
        <v>3482</v>
      </c>
      <c r="E1280" s="42">
        <v>46129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42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70">
        <v>46248</v>
      </c>
      <c r="X1280" s="30" t="s">
        <v>55</v>
      </c>
      <c r="Y1280" s="30" t="s">
        <v>56</v>
      </c>
      <c r="Z1280" s="30" t="s">
        <v>57</v>
      </c>
      <c r="AA1280" s="30" t="s">
        <v>58</v>
      </c>
      <c r="AB1280" s="30" t="s">
        <v>56</v>
      </c>
      <c r="AC1280" s="27"/>
      <c r="AD1280" s="31" t="s">
        <v>57</v>
      </c>
      <c r="AE1280" s="32" t="str">
        <f t="shared" si="97"/>
        <v>✓ OK</v>
      </c>
      <c r="AF1280" s="33" t="s">
        <v>61</v>
      </c>
      <c r="AG1280" s="33" t="s">
        <v>55</v>
      </c>
      <c r="AH1280" s="33" t="s">
        <v>56</v>
      </c>
      <c r="AI1280" s="33" t="s">
        <v>57</v>
      </c>
      <c r="AJ1280" s="33" t="s">
        <v>58</v>
      </c>
      <c r="AK1280" s="33" t="s">
        <v>56</v>
      </c>
      <c r="AL1280" s="27"/>
      <c r="AM1280" s="34" t="s">
        <v>57</v>
      </c>
      <c r="AN1280" s="35" t="str">
        <f t="shared" si="98"/>
        <v>✓ OK</v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3886</v>
      </c>
      <c r="C1281" s="25" t="s">
        <v>3887</v>
      </c>
      <c r="D1281" s="23" t="s">
        <v>3482</v>
      </c>
      <c r="E1281" s="42">
        <v>46129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42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70">
        <v>46248</v>
      </c>
      <c r="X1281" s="30" t="s">
        <v>55</v>
      </c>
      <c r="Y1281" s="30" t="s">
        <v>56</v>
      </c>
      <c r="Z1281" s="30" t="s">
        <v>57</v>
      </c>
      <c r="AA1281" s="30" t="s">
        <v>58</v>
      </c>
      <c r="AB1281" s="30" t="s">
        <v>56</v>
      </c>
      <c r="AC1281" s="27"/>
      <c r="AD1281" s="31" t="s">
        <v>57</v>
      </c>
      <c r="AE1281" s="32" t="str">
        <f t="shared" si="97"/>
        <v>✓ OK</v>
      </c>
      <c r="AF1281" s="33" t="s">
        <v>61</v>
      </c>
      <c r="AG1281" s="33" t="s">
        <v>55</v>
      </c>
      <c r="AH1281" s="33" t="s">
        <v>56</v>
      </c>
      <c r="AI1281" s="33" t="s">
        <v>57</v>
      </c>
      <c r="AJ1281" s="33" t="s">
        <v>58</v>
      </c>
      <c r="AK1281" s="33" t="s">
        <v>56</v>
      </c>
      <c r="AL1281" s="27"/>
      <c r="AM1281" s="34" t="s">
        <v>57</v>
      </c>
      <c r="AN1281" s="35" t="str">
        <f t="shared" si="98"/>
        <v>✓ OK</v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3888</v>
      </c>
      <c r="C1282" s="41" t="s">
        <v>3889</v>
      </c>
      <c r="D1282" s="39" t="s">
        <v>3482</v>
      </c>
      <c r="E1282" s="42">
        <v>46129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42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70">
        <v>46248</v>
      </c>
      <c r="X1282" s="30" t="s">
        <v>55</v>
      </c>
      <c r="Y1282" s="30" t="s">
        <v>56</v>
      </c>
      <c r="Z1282" s="30" t="s">
        <v>57</v>
      </c>
      <c r="AA1282" s="30" t="s">
        <v>58</v>
      </c>
      <c r="AB1282" s="30" t="s">
        <v>56</v>
      </c>
      <c r="AC1282" s="27"/>
      <c r="AD1282" s="31" t="s">
        <v>57</v>
      </c>
      <c r="AE1282" s="32" t="str">
        <f t="shared" si="97"/>
        <v>✓ OK</v>
      </c>
      <c r="AF1282" s="33" t="s">
        <v>61</v>
      </c>
      <c r="AG1282" s="33" t="s">
        <v>55</v>
      </c>
      <c r="AH1282" s="33" t="s">
        <v>56</v>
      </c>
      <c r="AI1282" s="33" t="s">
        <v>57</v>
      </c>
      <c r="AJ1282" s="33" t="s">
        <v>58</v>
      </c>
      <c r="AK1282" s="33" t="s">
        <v>56</v>
      </c>
      <c r="AL1282" s="27"/>
      <c r="AM1282" s="34" t="s">
        <v>57</v>
      </c>
      <c r="AN1282" s="35" t="str">
        <f t="shared" si="98"/>
        <v>✓ OK</v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3890</v>
      </c>
      <c r="C1283" s="25" t="s">
        <v>3891</v>
      </c>
      <c r="D1283" s="23" t="s">
        <v>3482</v>
      </c>
      <c r="E1283" s="42">
        <v>46129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42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70">
        <v>46248</v>
      </c>
      <c r="X1283" s="30" t="s">
        <v>55</v>
      </c>
      <c r="Y1283" s="30" t="s">
        <v>56</v>
      </c>
      <c r="Z1283" s="30" t="s">
        <v>57</v>
      </c>
      <c r="AA1283" s="30" t="s">
        <v>58</v>
      </c>
      <c r="AB1283" s="30" t="s">
        <v>56</v>
      </c>
      <c r="AC1283" s="27"/>
      <c r="AD1283" s="31" t="s">
        <v>57</v>
      </c>
      <c r="AE1283" s="32" t="str">
        <f t="shared" si="97"/>
        <v>✓ OK</v>
      </c>
      <c r="AF1283" s="33" t="s">
        <v>61</v>
      </c>
      <c r="AG1283" s="33" t="s">
        <v>55</v>
      </c>
      <c r="AH1283" s="33" t="s">
        <v>56</v>
      </c>
      <c r="AI1283" s="33" t="s">
        <v>57</v>
      </c>
      <c r="AJ1283" s="33" t="s">
        <v>58</v>
      </c>
      <c r="AK1283" s="33" t="s">
        <v>56</v>
      </c>
      <c r="AL1283" s="27"/>
      <c r="AM1283" s="34" t="s">
        <v>57</v>
      </c>
      <c r="AN1283" s="35" t="str">
        <f t="shared" si="98"/>
        <v>✓ OK</v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3892</v>
      </c>
      <c r="C1284" s="41" t="s">
        <v>3893</v>
      </c>
      <c r="D1284" s="39" t="s">
        <v>3482</v>
      </c>
      <c r="E1284" s="42">
        <v>46129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42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70">
        <v>46248</v>
      </c>
      <c r="X1284" s="30" t="s">
        <v>55</v>
      </c>
      <c r="Y1284" s="30" t="s">
        <v>56</v>
      </c>
      <c r="Z1284" s="30" t="s">
        <v>57</v>
      </c>
      <c r="AA1284" s="30" t="s">
        <v>58</v>
      </c>
      <c r="AB1284" s="30" t="s">
        <v>56</v>
      </c>
      <c r="AC1284" s="27"/>
      <c r="AD1284" s="31" t="s">
        <v>57</v>
      </c>
      <c r="AE1284" s="32" t="str">
        <f t="shared" si="97"/>
        <v>✓ OK</v>
      </c>
      <c r="AF1284" s="33" t="s">
        <v>61</v>
      </c>
      <c r="AG1284" s="33" t="s">
        <v>55</v>
      </c>
      <c r="AH1284" s="33" t="s">
        <v>56</v>
      </c>
      <c r="AI1284" s="33" t="s">
        <v>57</v>
      </c>
      <c r="AJ1284" s="33" t="s">
        <v>58</v>
      </c>
      <c r="AK1284" s="33" t="s">
        <v>56</v>
      </c>
      <c r="AL1284" s="27"/>
      <c r="AM1284" s="34" t="s">
        <v>57</v>
      </c>
      <c r="AN1284" s="35" t="str">
        <f t="shared" si="98"/>
        <v>✓ OK</v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3894</v>
      </c>
      <c r="C1285" s="25" t="s">
        <v>3895</v>
      </c>
      <c r="D1285" s="23" t="s">
        <v>3482</v>
      </c>
      <c r="E1285" s="42">
        <v>46129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42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70">
        <v>46248</v>
      </c>
      <c r="X1285" s="30" t="s">
        <v>55</v>
      </c>
      <c r="Y1285" s="30" t="s">
        <v>56</v>
      </c>
      <c r="Z1285" s="30" t="s">
        <v>57</v>
      </c>
      <c r="AA1285" s="30" t="s">
        <v>58</v>
      </c>
      <c r="AB1285" s="30" t="s">
        <v>56</v>
      </c>
      <c r="AC1285" s="27"/>
      <c r="AD1285" s="31" t="s">
        <v>57</v>
      </c>
      <c r="AE1285" s="32" t="str">
        <f t="shared" ref="AE1285:AE1348" si="102">IF(W1285="","",IF(Z1285="Yes","❌ Disc",IF(Y1285="No","⚠ Missing",IF(AB1285="Yes","✓ OK","⚠ Check"))))</f>
        <v>✓ OK</v>
      </c>
      <c r="AF1285" s="33" t="s">
        <v>61</v>
      </c>
      <c r="AG1285" s="33" t="s">
        <v>55</v>
      </c>
      <c r="AH1285" s="33" t="s">
        <v>56</v>
      </c>
      <c r="AI1285" s="33" t="s">
        <v>57</v>
      </c>
      <c r="AJ1285" s="33" t="s">
        <v>58</v>
      </c>
      <c r="AK1285" s="33" t="s">
        <v>56</v>
      </c>
      <c r="AL1285" s="27"/>
      <c r="AM1285" s="34" t="s">
        <v>57</v>
      </c>
      <c r="AN1285" s="35" t="str">
        <f t="shared" ref="AN1285:AN1348" si="103">IF(AF1285="","",IF(AI1285="Yes","❌ Disc",IF(AH1285="No","⚠ Missing",IF(AK1285="Yes","✓ OK","⚠ Check"))))</f>
        <v>✓ OK</v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3896</v>
      </c>
      <c r="C1286" s="41" t="s">
        <v>3897</v>
      </c>
      <c r="D1286" s="39" t="s">
        <v>3482</v>
      </c>
      <c r="E1286" s="42">
        <v>46129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42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70">
        <v>46248</v>
      </c>
      <c r="X1286" s="30" t="s">
        <v>55</v>
      </c>
      <c r="Y1286" s="30" t="s">
        <v>56</v>
      </c>
      <c r="Z1286" s="30" t="s">
        <v>57</v>
      </c>
      <c r="AA1286" s="30" t="s">
        <v>58</v>
      </c>
      <c r="AB1286" s="30" t="s">
        <v>56</v>
      </c>
      <c r="AC1286" s="27"/>
      <c r="AD1286" s="31" t="s">
        <v>57</v>
      </c>
      <c r="AE1286" s="32" t="str">
        <f t="shared" si="102"/>
        <v>✓ OK</v>
      </c>
      <c r="AF1286" s="33" t="s">
        <v>61</v>
      </c>
      <c r="AG1286" s="33" t="s">
        <v>55</v>
      </c>
      <c r="AH1286" s="33" t="s">
        <v>56</v>
      </c>
      <c r="AI1286" s="33" t="s">
        <v>57</v>
      </c>
      <c r="AJ1286" s="33" t="s">
        <v>58</v>
      </c>
      <c r="AK1286" s="33" t="s">
        <v>56</v>
      </c>
      <c r="AL1286" s="27"/>
      <c r="AM1286" s="34" t="s">
        <v>57</v>
      </c>
      <c r="AN1286" s="35" t="str">
        <f t="shared" si="103"/>
        <v>✓ OK</v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3898</v>
      </c>
      <c r="C1287" s="25" t="s">
        <v>3899</v>
      </c>
      <c r="D1287" s="23" t="s">
        <v>3482</v>
      </c>
      <c r="E1287" s="42">
        <v>46129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42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70">
        <v>46248</v>
      </c>
      <c r="X1287" s="30" t="s">
        <v>55</v>
      </c>
      <c r="Y1287" s="30" t="s">
        <v>56</v>
      </c>
      <c r="Z1287" s="30" t="s">
        <v>57</v>
      </c>
      <c r="AA1287" s="30" t="s">
        <v>58</v>
      </c>
      <c r="AB1287" s="30" t="s">
        <v>56</v>
      </c>
      <c r="AC1287" s="27"/>
      <c r="AD1287" s="31" t="s">
        <v>57</v>
      </c>
      <c r="AE1287" s="32" t="str">
        <f t="shared" si="102"/>
        <v>✓ OK</v>
      </c>
      <c r="AF1287" s="33" t="s">
        <v>61</v>
      </c>
      <c r="AG1287" s="33" t="s">
        <v>55</v>
      </c>
      <c r="AH1287" s="33" t="s">
        <v>56</v>
      </c>
      <c r="AI1287" s="33" t="s">
        <v>57</v>
      </c>
      <c r="AJ1287" s="33" t="s">
        <v>58</v>
      </c>
      <c r="AK1287" s="33" t="s">
        <v>56</v>
      </c>
      <c r="AL1287" s="27"/>
      <c r="AM1287" s="34" t="s">
        <v>57</v>
      </c>
      <c r="AN1287" s="35" t="str">
        <f t="shared" si="103"/>
        <v>✓ OK</v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3900</v>
      </c>
      <c r="C1288" s="41" t="s">
        <v>3901</v>
      </c>
      <c r="D1288" s="39" t="s">
        <v>3482</v>
      </c>
      <c r="E1288" s="42">
        <v>46129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42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70">
        <v>46248</v>
      </c>
      <c r="X1288" s="30" t="s">
        <v>55</v>
      </c>
      <c r="Y1288" s="30" t="s">
        <v>56</v>
      </c>
      <c r="Z1288" s="30" t="s">
        <v>57</v>
      </c>
      <c r="AA1288" s="30" t="s">
        <v>58</v>
      </c>
      <c r="AB1288" s="30" t="s">
        <v>56</v>
      </c>
      <c r="AC1288" s="27"/>
      <c r="AD1288" s="31" t="s">
        <v>57</v>
      </c>
      <c r="AE1288" s="32" t="str">
        <f t="shared" si="102"/>
        <v>✓ OK</v>
      </c>
      <c r="AF1288" s="33" t="s">
        <v>61</v>
      </c>
      <c r="AG1288" s="33" t="s">
        <v>55</v>
      </c>
      <c r="AH1288" s="33" t="s">
        <v>56</v>
      </c>
      <c r="AI1288" s="33" t="s">
        <v>57</v>
      </c>
      <c r="AJ1288" s="33" t="s">
        <v>58</v>
      </c>
      <c r="AK1288" s="33" t="s">
        <v>56</v>
      </c>
      <c r="AL1288" s="27"/>
      <c r="AM1288" s="34" t="s">
        <v>57</v>
      </c>
      <c r="AN1288" s="35" t="str">
        <f t="shared" si="103"/>
        <v>✓ OK</v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3902</v>
      </c>
      <c r="C1289" s="25" t="s">
        <v>3903</v>
      </c>
      <c r="D1289" s="23" t="s">
        <v>3482</v>
      </c>
      <c r="E1289" s="42">
        <v>46129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42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70">
        <v>46248</v>
      </c>
      <c r="X1289" s="30" t="s">
        <v>55</v>
      </c>
      <c r="Y1289" s="30" t="s">
        <v>56</v>
      </c>
      <c r="Z1289" s="30" t="s">
        <v>57</v>
      </c>
      <c r="AA1289" s="30" t="s">
        <v>58</v>
      </c>
      <c r="AB1289" s="30" t="s">
        <v>56</v>
      </c>
      <c r="AC1289" s="27"/>
      <c r="AD1289" s="31" t="s">
        <v>57</v>
      </c>
      <c r="AE1289" s="32" t="str">
        <f t="shared" si="102"/>
        <v>✓ OK</v>
      </c>
      <c r="AF1289" s="33" t="s">
        <v>61</v>
      </c>
      <c r="AG1289" s="33" t="s">
        <v>55</v>
      </c>
      <c r="AH1289" s="33" t="s">
        <v>56</v>
      </c>
      <c r="AI1289" s="33" t="s">
        <v>57</v>
      </c>
      <c r="AJ1289" s="33" t="s">
        <v>58</v>
      </c>
      <c r="AK1289" s="33" t="s">
        <v>56</v>
      </c>
      <c r="AL1289" s="27"/>
      <c r="AM1289" s="34" t="s">
        <v>57</v>
      </c>
      <c r="AN1289" s="35" t="str">
        <f t="shared" si="103"/>
        <v>✓ OK</v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3904</v>
      </c>
      <c r="C1290" s="41" t="s">
        <v>3905</v>
      </c>
      <c r="D1290" s="39" t="s">
        <v>3482</v>
      </c>
      <c r="E1290" s="42">
        <v>46129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42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70">
        <v>46248</v>
      </c>
      <c r="X1290" s="30" t="s">
        <v>55</v>
      </c>
      <c r="Y1290" s="30" t="s">
        <v>56</v>
      </c>
      <c r="Z1290" s="30" t="s">
        <v>57</v>
      </c>
      <c r="AA1290" s="30" t="s">
        <v>58</v>
      </c>
      <c r="AB1290" s="30" t="s">
        <v>56</v>
      </c>
      <c r="AC1290" s="27"/>
      <c r="AD1290" s="31" t="s">
        <v>57</v>
      </c>
      <c r="AE1290" s="32" t="str">
        <f t="shared" si="102"/>
        <v>✓ OK</v>
      </c>
      <c r="AF1290" s="33" t="s">
        <v>61</v>
      </c>
      <c r="AG1290" s="33" t="s">
        <v>55</v>
      </c>
      <c r="AH1290" s="33" t="s">
        <v>56</v>
      </c>
      <c r="AI1290" s="33" t="s">
        <v>57</v>
      </c>
      <c r="AJ1290" s="33" t="s">
        <v>58</v>
      </c>
      <c r="AK1290" s="33" t="s">
        <v>56</v>
      </c>
      <c r="AL1290" s="27"/>
      <c r="AM1290" s="34" t="s">
        <v>57</v>
      </c>
      <c r="AN1290" s="35" t="str">
        <f t="shared" si="103"/>
        <v>✓ OK</v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3906</v>
      </c>
      <c r="C1291" s="25" t="s">
        <v>3907</v>
      </c>
      <c r="D1291" s="23" t="s">
        <v>3482</v>
      </c>
      <c r="E1291" s="42">
        <v>46129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42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70">
        <v>46248</v>
      </c>
      <c r="X1291" s="30" t="s">
        <v>55</v>
      </c>
      <c r="Y1291" s="30" t="s">
        <v>56</v>
      </c>
      <c r="Z1291" s="30" t="s">
        <v>57</v>
      </c>
      <c r="AA1291" s="30" t="s">
        <v>58</v>
      </c>
      <c r="AB1291" s="30" t="s">
        <v>56</v>
      </c>
      <c r="AC1291" s="27"/>
      <c r="AD1291" s="31" t="s">
        <v>57</v>
      </c>
      <c r="AE1291" s="32" t="str">
        <f t="shared" si="102"/>
        <v>✓ OK</v>
      </c>
      <c r="AF1291" s="33" t="s">
        <v>61</v>
      </c>
      <c r="AG1291" s="33" t="s">
        <v>55</v>
      </c>
      <c r="AH1291" s="33" t="s">
        <v>56</v>
      </c>
      <c r="AI1291" s="33" t="s">
        <v>57</v>
      </c>
      <c r="AJ1291" s="33" t="s">
        <v>58</v>
      </c>
      <c r="AK1291" s="33" t="s">
        <v>56</v>
      </c>
      <c r="AL1291" s="27"/>
      <c r="AM1291" s="34" t="s">
        <v>57</v>
      </c>
      <c r="AN1291" s="35" t="str">
        <f t="shared" si="103"/>
        <v>✓ OK</v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3908</v>
      </c>
      <c r="C1292" s="41" t="s">
        <v>3909</v>
      </c>
      <c r="D1292" s="39" t="s">
        <v>3482</v>
      </c>
      <c r="E1292" s="42">
        <v>46129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42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70">
        <v>46248</v>
      </c>
      <c r="X1292" s="30" t="s">
        <v>55</v>
      </c>
      <c r="Y1292" s="30" t="s">
        <v>56</v>
      </c>
      <c r="Z1292" s="30" t="s">
        <v>57</v>
      </c>
      <c r="AA1292" s="30" t="s">
        <v>58</v>
      </c>
      <c r="AB1292" s="30" t="s">
        <v>56</v>
      </c>
      <c r="AC1292" s="27"/>
      <c r="AD1292" s="31" t="s">
        <v>57</v>
      </c>
      <c r="AE1292" s="32" t="str">
        <f t="shared" si="102"/>
        <v>✓ OK</v>
      </c>
      <c r="AF1292" s="33" t="s">
        <v>61</v>
      </c>
      <c r="AG1292" s="33" t="s">
        <v>55</v>
      </c>
      <c r="AH1292" s="33" t="s">
        <v>56</v>
      </c>
      <c r="AI1292" s="33" t="s">
        <v>57</v>
      </c>
      <c r="AJ1292" s="33" t="s">
        <v>58</v>
      </c>
      <c r="AK1292" s="33" t="s">
        <v>56</v>
      </c>
      <c r="AL1292" s="27"/>
      <c r="AM1292" s="34" t="s">
        <v>57</v>
      </c>
      <c r="AN1292" s="35" t="str">
        <f t="shared" si="103"/>
        <v>✓ OK</v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3910</v>
      </c>
      <c r="C1293" s="25" t="s">
        <v>3911</v>
      </c>
      <c r="D1293" s="23" t="s">
        <v>3482</v>
      </c>
      <c r="E1293" s="42">
        <v>46129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42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70">
        <v>46248</v>
      </c>
      <c r="X1293" s="30" t="s">
        <v>55</v>
      </c>
      <c r="Y1293" s="30" t="s">
        <v>56</v>
      </c>
      <c r="Z1293" s="30" t="s">
        <v>57</v>
      </c>
      <c r="AA1293" s="30" t="s">
        <v>58</v>
      </c>
      <c r="AB1293" s="30" t="s">
        <v>56</v>
      </c>
      <c r="AC1293" s="27"/>
      <c r="AD1293" s="31" t="s">
        <v>57</v>
      </c>
      <c r="AE1293" s="32" t="str">
        <f t="shared" si="102"/>
        <v>✓ OK</v>
      </c>
      <c r="AF1293" s="33" t="s">
        <v>61</v>
      </c>
      <c r="AG1293" s="33" t="s">
        <v>55</v>
      </c>
      <c r="AH1293" s="33" t="s">
        <v>56</v>
      </c>
      <c r="AI1293" s="33" t="s">
        <v>57</v>
      </c>
      <c r="AJ1293" s="33" t="s">
        <v>58</v>
      </c>
      <c r="AK1293" s="33" t="s">
        <v>56</v>
      </c>
      <c r="AL1293" s="27"/>
      <c r="AM1293" s="34" t="s">
        <v>57</v>
      </c>
      <c r="AN1293" s="35" t="str">
        <f t="shared" si="103"/>
        <v>✓ OK</v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3912</v>
      </c>
      <c r="C1294" s="41" t="s">
        <v>3913</v>
      </c>
      <c r="D1294" s="39" t="s">
        <v>3482</v>
      </c>
      <c r="E1294" s="42">
        <v>46129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42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70">
        <v>46248</v>
      </c>
      <c r="X1294" s="30" t="s">
        <v>55</v>
      </c>
      <c r="Y1294" s="30" t="s">
        <v>56</v>
      </c>
      <c r="Z1294" s="30" t="s">
        <v>57</v>
      </c>
      <c r="AA1294" s="30" t="s">
        <v>58</v>
      </c>
      <c r="AB1294" s="30" t="s">
        <v>56</v>
      </c>
      <c r="AC1294" s="27"/>
      <c r="AD1294" s="31" t="s">
        <v>57</v>
      </c>
      <c r="AE1294" s="32" t="str">
        <f t="shared" si="102"/>
        <v>✓ OK</v>
      </c>
      <c r="AF1294" s="33" t="s">
        <v>61</v>
      </c>
      <c r="AG1294" s="33" t="s">
        <v>55</v>
      </c>
      <c r="AH1294" s="33" t="s">
        <v>56</v>
      </c>
      <c r="AI1294" s="33" t="s">
        <v>57</v>
      </c>
      <c r="AJ1294" s="33" t="s">
        <v>58</v>
      </c>
      <c r="AK1294" s="33" t="s">
        <v>56</v>
      </c>
      <c r="AL1294" s="27"/>
      <c r="AM1294" s="34" t="s">
        <v>57</v>
      </c>
      <c r="AN1294" s="35" t="str">
        <f t="shared" si="103"/>
        <v>✓ OK</v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3914</v>
      </c>
      <c r="C1295" s="25" t="s">
        <v>3915</v>
      </c>
      <c r="D1295" s="23" t="s">
        <v>3482</v>
      </c>
      <c r="E1295" s="42">
        <v>46129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42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70">
        <v>46248</v>
      </c>
      <c r="X1295" s="30" t="s">
        <v>55</v>
      </c>
      <c r="Y1295" s="30" t="s">
        <v>56</v>
      </c>
      <c r="Z1295" s="30" t="s">
        <v>57</v>
      </c>
      <c r="AA1295" s="30" t="s">
        <v>58</v>
      </c>
      <c r="AB1295" s="30" t="s">
        <v>56</v>
      </c>
      <c r="AC1295" s="27"/>
      <c r="AD1295" s="31" t="s">
        <v>57</v>
      </c>
      <c r="AE1295" s="32" t="str">
        <f t="shared" si="102"/>
        <v>✓ OK</v>
      </c>
      <c r="AF1295" s="33" t="s">
        <v>61</v>
      </c>
      <c r="AG1295" s="33" t="s">
        <v>55</v>
      </c>
      <c r="AH1295" s="33" t="s">
        <v>56</v>
      </c>
      <c r="AI1295" s="33" t="s">
        <v>57</v>
      </c>
      <c r="AJ1295" s="33" t="s">
        <v>58</v>
      </c>
      <c r="AK1295" s="33" t="s">
        <v>56</v>
      </c>
      <c r="AL1295" s="27"/>
      <c r="AM1295" s="34" t="s">
        <v>57</v>
      </c>
      <c r="AN1295" s="35" t="str">
        <f t="shared" si="103"/>
        <v>✓ OK</v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3916</v>
      </c>
      <c r="C1296" s="41" t="s">
        <v>3917</v>
      </c>
      <c r="D1296" s="39" t="s">
        <v>3482</v>
      </c>
      <c r="E1296" s="42">
        <v>46129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42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70">
        <v>46248</v>
      </c>
      <c r="X1296" s="30" t="s">
        <v>55</v>
      </c>
      <c r="Y1296" s="30" t="s">
        <v>56</v>
      </c>
      <c r="Z1296" s="30" t="s">
        <v>57</v>
      </c>
      <c r="AA1296" s="30" t="s">
        <v>58</v>
      </c>
      <c r="AB1296" s="30" t="s">
        <v>56</v>
      </c>
      <c r="AC1296" s="27"/>
      <c r="AD1296" s="31" t="s">
        <v>57</v>
      </c>
      <c r="AE1296" s="32" t="str">
        <f t="shared" si="102"/>
        <v>✓ OK</v>
      </c>
      <c r="AF1296" s="33" t="s">
        <v>61</v>
      </c>
      <c r="AG1296" s="33" t="s">
        <v>55</v>
      </c>
      <c r="AH1296" s="33" t="s">
        <v>56</v>
      </c>
      <c r="AI1296" s="33" t="s">
        <v>57</v>
      </c>
      <c r="AJ1296" s="33" t="s">
        <v>58</v>
      </c>
      <c r="AK1296" s="33" t="s">
        <v>56</v>
      </c>
      <c r="AL1296" s="27"/>
      <c r="AM1296" s="34" t="s">
        <v>57</v>
      </c>
      <c r="AN1296" s="35" t="str">
        <f t="shared" si="103"/>
        <v>✓ OK</v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3918</v>
      </c>
      <c r="C1297" s="25" t="s">
        <v>3919</v>
      </c>
      <c r="D1297" s="23" t="s">
        <v>3482</v>
      </c>
      <c r="E1297" s="42">
        <v>46129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42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70">
        <v>46248</v>
      </c>
      <c r="X1297" s="30" t="s">
        <v>55</v>
      </c>
      <c r="Y1297" s="30" t="s">
        <v>56</v>
      </c>
      <c r="Z1297" s="30" t="s">
        <v>57</v>
      </c>
      <c r="AA1297" s="30" t="s">
        <v>58</v>
      </c>
      <c r="AB1297" s="30" t="s">
        <v>56</v>
      </c>
      <c r="AC1297" s="27"/>
      <c r="AD1297" s="31" t="s">
        <v>57</v>
      </c>
      <c r="AE1297" s="32" t="str">
        <f t="shared" si="102"/>
        <v>✓ OK</v>
      </c>
      <c r="AF1297" s="33" t="s">
        <v>61</v>
      </c>
      <c r="AG1297" s="33" t="s">
        <v>55</v>
      </c>
      <c r="AH1297" s="33" t="s">
        <v>56</v>
      </c>
      <c r="AI1297" s="33" t="s">
        <v>57</v>
      </c>
      <c r="AJ1297" s="33" t="s">
        <v>58</v>
      </c>
      <c r="AK1297" s="33" t="s">
        <v>56</v>
      </c>
      <c r="AL1297" s="27"/>
      <c r="AM1297" s="34" t="s">
        <v>57</v>
      </c>
      <c r="AN1297" s="35" t="str">
        <f t="shared" si="103"/>
        <v>✓ OK</v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3920</v>
      </c>
      <c r="C1298" s="41" t="s">
        <v>3921</v>
      </c>
      <c r="D1298" s="39" t="s">
        <v>3482</v>
      </c>
      <c r="E1298" s="42">
        <v>46129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42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70">
        <v>46248</v>
      </c>
      <c r="X1298" s="30" t="s">
        <v>55</v>
      </c>
      <c r="Y1298" s="30" t="s">
        <v>56</v>
      </c>
      <c r="Z1298" s="30" t="s">
        <v>57</v>
      </c>
      <c r="AA1298" s="30" t="s">
        <v>58</v>
      </c>
      <c r="AB1298" s="30" t="s">
        <v>56</v>
      </c>
      <c r="AC1298" s="27"/>
      <c r="AD1298" s="31" t="s">
        <v>57</v>
      </c>
      <c r="AE1298" s="32" t="str">
        <f t="shared" si="102"/>
        <v>✓ OK</v>
      </c>
      <c r="AF1298" s="33" t="s">
        <v>61</v>
      </c>
      <c r="AG1298" s="33" t="s">
        <v>55</v>
      </c>
      <c r="AH1298" s="33" t="s">
        <v>56</v>
      </c>
      <c r="AI1298" s="33" t="s">
        <v>57</v>
      </c>
      <c r="AJ1298" s="33" t="s">
        <v>58</v>
      </c>
      <c r="AK1298" s="33" t="s">
        <v>56</v>
      </c>
      <c r="AL1298" s="27"/>
      <c r="AM1298" s="34" t="s">
        <v>57</v>
      </c>
      <c r="AN1298" s="35" t="str">
        <f t="shared" si="103"/>
        <v>✓ OK</v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3922</v>
      </c>
      <c r="C1299" s="25" t="s">
        <v>3923</v>
      </c>
      <c r="D1299" s="23" t="s">
        <v>3482</v>
      </c>
      <c r="E1299" s="42">
        <v>46129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42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70">
        <v>46248</v>
      </c>
      <c r="X1299" s="30" t="s">
        <v>55</v>
      </c>
      <c r="Y1299" s="30" t="s">
        <v>56</v>
      </c>
      <c r="Z1299" s="30" t="s">
        <v>57</v>
      </c>
      <c r="AA1299" s="30" t="s">
        <v>58</v>
      </c>
      <c r="AB1299" s="30" t="s">
        <v>56</v>
      </c>
      <c r="AC1299" s="27"/>
      <c r="AD1299" s="31" t="s">
        <v>57</v>
      </c>
      <c r="AE1299" s="32" t="str">
        <f t="shared" si="102"/>
        <v>✓ OK</v>
      </c>
      <c r="AF1299" s="33" t="s">
        <v>61</v>
      </c>
      <c r="AG1299" s="33" t="s">
        <v>55</v>
      </c>
      <c r="AH1299" s="33" t="s">
        <v>56</v>
      </c>
      <c r="AI1299" s="33" t="s">
        <v>57</v>
      </c>
      <c r="AJ1299" s="33" t="s">
        <v>58</v>
      </c>
      <c r="AK1299" s="33" t="s">
        <v>56</v>
      </c>
      <c r="AL1299" s="27"/>
      <c r="AM1299" s="34" t="s">
        <v>57</v>
      </c>
      <c r="AN1299" s="35" t="str">
        <f t="shared" si="103"/>
        <v>✓ OK</v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3924</v>
      </c>
      <c r="C1300" s="41" t="s">
        <v>3925</v>
      </c>
      <c r="D1300" s="39" t="s">
        <v>3482</v>
      </c>
      <c r="E1300" s="42">
        <v>46129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42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70">
        <v>46248</v>
      </c>
      <c r="X1300" s="30" t="s">
        <v>55</v>
      </c>
      <c r="Y1300" s="30" t="s">
        <v>56</v>
      </c>
      <c r="Z1300" s="30" t="s">
        <v>57</v>
      </c>
      <c r="AA1300" s="30" t="s">
        <v>58</v>
      </c>
      <c r="AB1300" s="30" t="s">
        <v>56</v>
      </c>
      <c r="AC1300" s="27"/>
      <c r="AD1300" s="31" t="s">
        <v>57</v>
      </c>
      <c r="AE1300" s="32" t="str">
        <f t="shared" si="102"/>
        <v>✓ OK</v>
      </c>
      <c r="AF1300" s="33" t="s">
        <v>61</v>
      </c>
      <c r="AG1300" s="33" t="s">
        <v>55</v>
      </c>
      <c r="AH1300" s="33" t="s">
        <v>56</v>
      </c>
      <c r="AI1300" s="33" t="s">
        <v>57</v>
      </c>
      <c r="AJ1300" s="33" t="s">
        <v>58</v>
      </c>
      <c r="AK1300" s="33" t="s">
        <v>56</v>
      </c>
      <c r="AL1300" s="27"/>
      <c r="AM1300" s="34" t="s">
        <v>57</v>
      </c>
      <c r="AN1300" s="35" t="str">
        <f t="shared" si="103"/>
        <v>✓ OK</v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3926</v>
      </c>
      <c r="C1301" s="25" t="s">
        <v>3927</v>
      </c>
      <c r="D1301" s="23" t="s">
        <v>3482</v>
      </c>
      <c r="E1301" s="42">
        <v>46129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42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70">
        <v>46248</v>
      </c>
      <c r="X1301" s="30" t="s">
        <v>55</v>
      </c>
      <c r="Y1301" s="30" t="s">
        <v>56</v>
      </c>
      <c r="Z1301" s="30" t="s">
        <v>57</v>
      </c>
      <c r="AA1301" s="30" t="s">
        <v>58</v>
      </c>
      <c r="AB1301" s="30" t="s">
        <v>56</v>
      </c>
      <c r="AC1301" s="27"/>
      <c r="AD1301" s="31" t="s">
        <v>57</v>
      </c>
      <c r="AE1301" s="32" t="str">
        <f t="shared" si="102"/>
        <v>✓ OK</v>
      </c>
      <c r="AF1301" s="33" t="s">
        <v>61</v>
      </c>
      <c r="AG1301" s="33" t="s">
        <v>55</v>
      </c>
      <c r="AH1301" s="33" t="s">
        <v>56</v>
      </c>
      <c r="AI1301" s="33" t="s">
        <v>57</v>
      </c>
      <c r="AJ1301" s="33" t="s">
        <v>58</v>
      </c>
      <c r="AK1301" s="33" t="s">
        <v>56</v>
      </c>
      <c r="AL1301" s="27"/>
      <c r="AM1301" s="34" t="s">
        <v>57</v>
      </c>
      <c r="AN1301" s="35" t="str">
        <f t="shared" si="103"/>
        <v>✓ OK</v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3928</v>
      </c>
      <c r="C1302" s="41" t="s">
        <v>3929</v>
      </c>
      <c r="D1302" s="39" t="s">
        <v>3482</v>
      </c>
      <c r="E1302" s="42">
        <v>46129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42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70">
        <v>46248</v>
      </c>
      <c r="X1302" s="30" t="s">
        <v>55</v>
      </c>
      <c r="Y1302" s="30" t="s">
        <v>56</v>
      </c>
      <c r="Z1302" s="30" t="s">
        <v>57</v>
      </c>
      <c r="AA1302" s="30" t="s">
        <v>58</v>
      </c>
      <c r="AB1302" s="30" t="s">
        <v>56</v>
      </c>
      <c r="AC1302" s="27"/>
      <c r="AD1302" s="31" t="s">
        <v>57</v>
      </c>
      <c r="AE1302" s="32" t="str">
        <f t="shared" si="102"/>
        <v>✓ OK</v>
      </c>
      <c r="AF1302" s="33" t="s">
        <v>61</v>
      </c>
      <c r="AG1302" s="33" t="s">
        <v>55</v>
      </c>
      <c r="AH1302" s="33" t="s">
        <v>56</v>
      </c>
      <c r="AI1302" s="33" t="s">
        <v>57</v>
      </c>
      <c r="AJ1302" s="33" t="s">
        <v>58</v>
      </c>
      <c r="AK1302" s="33" t="s">
        <v>56</v>
      </c>
      <c r="AL1302" s="27"/>
      <c r="AM1302" s="34" t="s">
        <v>57</v>
      </c>
      <c r="AN1302" s="35" t="str">
        <f t="shared" si="103"/>
        <v>✓ OK</v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3930</v>
      </c>
      <c r="C1303" s="25" t="s">
        <v>3931</v>
      </c>
      <c r="D1303" s="23" t="s">
        <v>3482</v>
      </c>
      <c r="E1303" s="42">
        <v>46129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42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70">
        <v>46248</v>
      </c>
      <c r="X1303" s="30" t="s">
        <v>55</v>
      </c>
      <c r="Y1303" s="30" t="s">
        <v>56</v>
      </c>
      <c r="Z1303" s="30" t="s">
        <v>57</v>
      </c>
      <c r="AA1303" s="30" t="s">
        <v>58</v>
      </c>
      <c r="AB1303" s="30" t="s">
        <v>56</v>
      </c>
      <c r="AC1303" s="27"/>
      <c r="AD1303" s="31" t="s">
        <v>57</v>
      </c>
      <c r="AE1303" s="32" t="str">
        <f t="shared" si="102"/>
        <v>✓ OK</v>
      </c>
      <c r="AF1303" s="33" t="s">
        <v>61</v>
      </c>
      <c r="AG1303" s="33" t="s">
        <v>55</v>
      </c>
      <c r="AH1303" s="33" t="s">
        <v>56</v>
      </c>
      <c r="AI1303" s="33" t="s">
        <v>57</v>
      </c>
      <c r="AJ1303" s="33" t="s">
        <v>58</v>
      </c>
      <c r="AK1303" s="33" t="s">
        <v>56</v>
      </c>
      <c r="AL1303" s="27"/>
      <c r="AM1303" s="34" t="s">
        <v>57</v>
      </c>
      <c r="AN1303" s="35" t="str">
        <f t="shared" si="103"/>
        <v>✓ OK</v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3932</v>
      </c>
      <c r="C1304" s="41" t="s">
        <v>3933</v>
      </c>
      <c r="D1304" s="39" t="s">
        <v>3482</v>
      </c>
      <c r="E1304" s="42">
        <v>46129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42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70">
        <v>46248</v>
      </c>
      <c r="X1304" s="30" t="s">
        <v>55</v>
      </c>
      <c r="Y1304" s="30" t="s">
        <v>56</v>
      </c>
      <c r="Z1304" s="30" t="s">
        <v>57</v>
      </c>
      <c r="AA1304" s="30" t="s">
        <v>58</v>
      </c>
      <c r="AB1304" s="30" t="s">
        <v>56</v>
      </c>
      <c r="AC1304" s="27"/>
      <c r="AD1304" s="31" t="s">
        <v>57</v>
      </c>
      <c r="AE1304" s="32" t="str">
        <f t="shared" si="102"/>
        <v>✓ OK</v>
      </c>
      <c r="AF1304" s="33" t="s">
        <v>61</v>
      </c>
      <c r="AG1304" s="33" t="s">
        <v>55</v>
      </c>
      <c r="AH1304" s="33" t="s">
        <v>56</v>
      </c>
      <c r="AI1304" s="33" t="s">
        <v>57</v>
      </c>
      <c r="AJ1304" s="33" t="s">
        <v>58</v>
      </c>
      <c r="AK1304" s="33" t="s">
        <v>56</v>
      </c>
      <c r="AL1304" s="27"/>
      <c r="AM1304" s="34" t="s">
        <v>57</v>
      </c>
      <c r="AN1304" s="35" t="str">
        <f t="shared" si="103"/>
        <v>✓ OK</v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3934</v>
      </c>
      <c r="C1305" s="25" t="s">
        <v>3935</v>
      </c>
      <c r="D1305" s="23" t="s">
        <v>3482</v>
      </c>
      <c r="E1305" s="42">
        <v>46129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42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70">
        <v>46248</v>
      </c>
      <c r="X1305" s="30" t="s">
        <v>55</v>
      </c>
      <c r="Y1305" s="30" t="s">
        <v>56</v>
      </c>
      <c r="Z1305" s="30" t="s">
        <v>57</v>
      </c>
      <c r="AA1305" s="30" t="s">
        <v>58</v>
      </c>
      <c r="AB1305" s="30" t="s">
        <v>56</v>
      </c>
      <c r="AC1305" s="27"/>
      <c r="AD1305" s="31" t="s">
        <v>57</v>
      </c>
      <c r="AE1305" s="32" t="str">
        <f t="shared" si="102"/>
        <v>✓ OK</v>
      </c>
      <c r="AF1305" s="33" t="s">
        <v>61</v>
      </c>
      <c r="AG1305" s="33" t="s">
        <v>55</v>
      </c>
      <c r="AH1305" s="33" t="s">
        <v>56</v>
      </c>
      <c r="AI1305" s="33" t="s">
        <v>57</v>
      </c>
      <c r="AJ1305" s="33" t="s">
        <v>58</v>
      </c>
      <c r="AK1305" s="33" t="s">
        <v>56</v>
      </c>
      <c r="AL1305" s="27"/>
      <c r="AM1305" s="34" t="s">
        <v>57</v>
      </c>
      <c r="AN1305" s="35" t="str">
        <f t="shared" si="103"/>
        <v>✓ OK</v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3936</v>
      </c>
      <c r="C1306" s="41" t="s">
        <v>3937</v>
      </c>
      <c r="D1306" s="39" t="s">
        <v>3482</v>
      </c>
      <c r="E1306" s="42">
        <v>46129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42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70">
        <v>46248</v>
      </c>
      <c r="X1306" s="30" t="s">
        <v>55</v>
      </c>
      <c r="Y1306" s="30" t="s">
        <v>56</v>
      </c>
      <c r="Z1306" s="30" t="s">
        <v>57</v>
      </c>
      <c r="AA1306" s="30" t="s">
        <v>58</v>
      </c>
      <c r="AB1306" s="30" t="s">
        <v>56</v>
      </c>
      <c r="AC1306" s="27"/>
      <c r="AD1306" s="31" t="s">
        <v>57</v>
      </c>
      <c r="AE1306" s="32" t="str">
        <f t="shared" si="102"/>
        <v>✓ OK</v>
      </c>
      <c r="AF1306" s="33" t="s">
        <v>61</v>
      </c>
      <c r="AG1306" s="33" t="s">
        <v>55</v>
      </c>
      <c r="AH1306" s="33" t="s">
        <v>56</v>
      </c>
      <c r="AI1306" s="33" t="s">
        <v>57</v>
      </c>
      <c r="AJ1306" s="33" t="s">
        <v>58</v>
      </c>
      <c r="AK1306" s="33" t="s">
        <v>56</v>
      </c>
      <c r="AL1306" s="27"/>
      <c r="AM1306" s="34" t="s">
        <v>57</v>
      </c>
      <c r="AN1306" s="35" t="str">
        <f t="shared" si="103"/>
        <v>✓ OK</v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3938</v>
      </c>
      <c r="C1307" s="25" t="s">
        <v>3939</v>
      </c>
      <c r="D1307" s="23" t="s">
        <v>3482</v>
      </c>
      <c r="E1307" s="42">
        <v>46129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42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70">
        <v>46248</v>
      </c>
      <c r="X1307" s="30" t="s">
        <v>55</v>
      </c>
      <c r="Y1307" s="30" t="s">
        <v>56</v>
      </c>
      <c r="Z1307" s="30" t="s">
        <v>57</v>
      </c>
      <c r="AA1307" s="30" t="s">
        <v>58</v>
      </c>
      <c r="AB1307" s="30" t="s">
        <v>56</v>
      </c>
      <c r="AC1307" s="27"/>
      <c r="AD1307" s="31" t="s">
        <v>57</v>
      </c>
      <c r="AE1307" s="32" t="str">
        <f t="shared" si="102"/>
        <v>✓ OK</v>
      </c>
      <c r="AF1307" s="33" t="s">
        <v>61</v>
      </c>
      <c r="AG1307" s="33" t="s">
        <v>55</v>
      </c>
      <c r="AH1307" s="33" t="s">
        <v>56</v>
      </c>
      <c r="AI1307" s="33" t="s">
        <v>57</v>
      </c>
      <c r="AJ1307" s="33" t="s">
        <v>58</v>
      </c>
      <c r="AK1307" s="33" t="s">
        <v>56</v>
      </c>
      <c r="AL1307" s="27"/>
      <c r="AM1307" s="34" t="s">
        <v>57</v>
      </c>
      <c r="AN1307" s="35" t="str">
        <f t="shared" si="103"/>
        <v>✓ OK</v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3940</v>
      </c>
      <c r="C1308" s="41" t="s">
        <v>3941</v>
      </c>
      <c r="D1308" s="39" t="s">
        <v>3482</v>
      </c>
      <c r="E1308" s="42">
        <v>46129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42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70">
        <v>46248</v>
      </c>
      <c r="X1308" s="30" t="s">
        <v>55</v>
      </c>
      <c r="Y1308" s="30" t="s">
        <v>56</v>
      </c>
      <c r="Z1308" s="30" t="s">
        <v>57</v>
      </c>
      <c r="AA1308" s="30" t="s">
        <v>58</v>
      </c>
      <c r="AB1308" s="30" t="s">
        <v>56</v>
      </c>
      <c r="AC1308" s="27"/>
      <c r="AD1308" s="31" t="s">
        <v>57</v>
      </c>
      <c r="AE1308" s="32" t="str">
        <f t="shared" si="102"/>
        <v>✓ OK</v>
      </c>
      <c r="AF1308" s="33" t="s">
        <v>61</v>
      </c>
      <c r="AG1308" s="33" t="s">
        <v>55</v>
      </c>
      <c r="AH1308" s="33" t="s">
        <v>56</v>
      </c>
      <c r="AI1308" s="33" t="s">
        <v>57</v>
      </c>
      <c r="AJ1308" s="33" t="s">
        <v>58</v>
      </c>
      <c r="AK1308" s="33" t="s">
        <v>56</v>
      </c>
      <c r="AL1308" s="27"/>
      <c r="AM1308" s="34" t="s">
        <v>57</v>
      </c>
      <c r="AN1308" s="35" t="str">
        <f t="shared" si="103"/>
        <v>✓ OK</v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3942</v>
      </c>
      <c r="C1309" s="25" t="s">
        <v>3943</v>
      </c>
      <c r="D1309" s="23" t="s">
        <v>3482</v>
      </c>
      <c r="E1309" s="42">
        <v>46129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42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70">
        <v>46248</v>
      </c>
      <c r="X1309" s="30" t="s">
        <v>55</v>
      </c>
      <c r="Y1309" s="30" t="s">
        <v>56</v>
      </c>
      <c r="Z1309" s="30" t="s">
        <v>57</v>
      </c>
      <c r="AA1309" s="30" t="s">
        <v>58</v>
      </c>
      <c r="AB1309" s="30" t="s">
        <v>56</v>
      </c>
      <c r="AC1309" s="27"/>
      <c r="AD1309" s="31" t="s">
        <v>57</v>
      </c>
      <c r="AE1309" s="32" t="str">
        <f t="shared" si="102"/>
        <v>✓ OK</v>
      </c>
      <c r="AF1309" s="33" t="s">
        <v>61</v>
      </c>
      <c r="AG1309" s="33" t="s">
        <v>55</v>
      </c>
      <c r="AH1309" s="33" t="s">
        <v>56</v>
      </c>
      <c r="AI1309" s="33" t="s">
        <v>57</v>
      </c>
      <c r="AJ1309" s="33" t="s">
        <v>58</v>
      </c>
      <c r="AK1309" s="33" t="s">
        <v>56</v>
      </c>
      <c r="AL1309" s="27"/>
      <c r="AM1309" s="34" t="s">
        <v>57</v>
      </c>
      <c r="AN1309" s="35" t="str">
        <f t="shared" si="103"/>
        <v>✓ OK</v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3944</v>
      </c>
      <c r="C1310" s="41" t="s">
        <v>3945</v>
      </c>
      <c r="D1310" s="39" t="s">
        <v>3482</v>
      </c>
      <c r="E1310" s="42">
        <v>46129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42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70">
        <v>46248</v>
      </c>
      <c r="X1310" s="30" t="s">
        <v>55</v>
      </c>
      <c r="Y1310" s="30" t="s">
        <v>56</v>
      </c>
      <c r="Z1310" s="30" t="s">
        <v>57</v>
      </c>
      <c r="AA1310" s="30" t="s">
        <v>58</v>
      </c>
      <c r="AB1310" s="30" t="s">
        <v>56</v>
      </c>
      <c r="AC1310" s="27"/>
      <c r="AD1310" s="31" t="s">
        <v>57</v>
      </c>
      <c r="AE1310" s="32" t="str">
        <f t="shared" si="102"/>
        <v>✓ OK</v>
      </c>
      <c r="AF1310" s="33" t="s">
        <v>61</v>
      </c>
      <c r="AG1310" s="33" t="s">
        <v>55</v>
      </c>
      <c r="AH1310" s="33" t="s">
        <v>56</v>
      </c>
      <c r="AI1310" s="33" t="s">
        <v>57</v>
      </c>
      <c r="AJ1310" s="33" t="s">
        <v>58</v>
      </c>
      <c r="AK1310" s="33" t="s">
        <v>56</v>
      </c>
      <c r="AL1310" s="27"/>
      <c r="AM1310" s="34" t="s">
        <v>57</v>
      </c>
      <c r="AN1310" s="35" t="str">
        <f t="shared" si="103"/>
        <v>✓ OK</v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3946</v>
      </c>
      <c r="C1311" s="25" t="s">
        <v>3947</v>
      </c>
      <c r="D1311" s="23" t="s">
        <v>3482</v>
      </c>
      <c r="E1311" s="42">
        <v>46129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42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70">
        <v>46248</v>
      </c>
      <c r="X1311" s="30" t="s">
        <v>55</v>
      </c>
      <c r="Y1311" s="30" t="s">
        <v>56</v>
      </c>
      <c r="Z1311" s="30" t="s">
        <v>57</v>
      </c>
      <c r="AA1311" s="30" t="s">
        <v>58</v>
      </c>
      <c r="AB1311" s="30" t="s">
        <v>56</v>
      </c>
      <c r="AC1311" s="27"/>
      <c r="AD1311" s="31" t="s">
        <v>57</v>
      </c>
      <c r="AE1311" s="32" t="str">
        <f t="shared" si="102"/>
        <v>✓ OK</v>
      </c>
      <c r="AF1311" s="33" t="s">
        <v>61</v>
      </c>
      <c r="AG1311" s="33" t="s">
        <v>55</v>
      </c>
      <c r="AH1311" s="33" t="s">
        <v>56</v>
      </c>
      <c r="AI1311" s="33" t="s">
        <v>57</v>
      </c>
      <c r="AJ1311" s="33" t="s">
        <v>58</v>
      </c>
      <c r="AK1311" s="33" t="s">
        <v>56</v>
      </c>
      <c r="AL1311" s="27"/>
      <c r="AM1311" s="34" t="s">
        <v>57</v>
      </c>
      <c r="AN1311" s="35" t="str">
        <f t="shared" si="103"/>
        <v>✓ OK</v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3948</v>
      </c>
      <c r="C1312" s="41" t="s">
        <v>3949</v>
      </c>
      <c r="D1312" s="39" t="s">
        <v>3482</v>
      </c>
      <c r="E1312" s="42">
        <v>46129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42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70">
        <v>46248</v>
      </c>
      <c r="X1312" s="30" t="s">
        <v>55</v>
      </c>
      <c r="Y1312" s="30" t="s">
        <v>56</v>
      </c>
      <c r="Z1312" s="30" t="s">
        <v>57</v>
      </c>
      <c r="AA1312" s="30" t="s">
        <v>58</v>
      </c>
      <c r="AB1312" s="30" t="s">
        <v>56</v>
      </c>
      <c r="AC1312" s="27"/>
      <c r="AD1312" s="31" t="s">
        <v>57</v>
      </c>
      <c r="AE1312" s="32" t="str">
        <f t="shared" si="102"/>
        <v>✓ OK</v>
      </c>
      <c r="AF1312" s="33" t="s">
        <v>61</v>
      </c>
      <c r="AG1312" s="33" t="s">
        <v>55</v>
      </c>
      <c r="AH1312" s="33" t="s">
        <v>56</v>
      </c>
      <c r="AI1312" s="33" t="s">
        <v>57</v>
      </c>
      <c r="AJ1312" s="33" t="s">
        <v>58</v>
      </c>
      <c r="AK1312" s="33" t="s">
        <v>56</v>
      </c>
      <c r="AL1312" s="27"/>
      <c r="AM1312" s="34" t="s">
        <v>57</v>
      </c>
      <c r="AN1312" s="35" t="str">
        <f t="shared" si="103"/>
        <v>✓ OK</v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3950</v>
      </c>
      <c r="C1313" s="25" t="s">
        <v>3951</v>
      </c>
      <c r="D1313" s="23" t="s">
        <v>3482</v>
      </c>
      <c r="E1313" s="42">
        <v>46129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42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70">
        <v>46248</v>
      </c>
      <c r="X1313" s="30" t="s">
        <v>55</v>
      </c>
      <c r="Y1313" s="30" t="s">
        <v>56</v>
      </c>
      <c r="Z1313" s="30" t="s">
        <v>57</v>
      </c>
      <c r="AA1313" s="30" t="s">
        <v>58</v>
      </c>
      <c r="AB1313" s="30" t="s">
        <v>56</v>
      </c>
      <c r="AC1313" s="27"/>
      <c r="AD1313" s="31" t="s">
        <v>57</v>
      </c>
      <c r="AE1313" s="32" t="str">
        <f t="shared" si="102"/>
        <v>✓ OK</v>
      </c>
      <c r="AF1313" s="33" t="s">
        <v>61</v>
      </c>
      <c r="AG1313" s="33" t="s">
        <v>55</v>
      </c>
      <c r="AH1313" s="33" t="s">
        <v>56</v>
      </c>
      <c r="AI1313" s="33" t="s">
        <v>57</v>
      </c>
      <c r="AJ1313" s="33" t="s">
        <v>58</v>
      </c>
      <c r="AK1313" s="33" t="s">
        <v>56</v>
      </c>
      <c r="AL1313" s="27"/>
      <c r="AM1313" s="34" t="s">
        <v>57</v>
      </c>
      <c r="AN1313" s="35" t="str">
        <f t="shared" si="103"/>
        <v>✓ OK</v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3952</v>
      </c>
      <c r="C1314" s="41" t="s">
        <v>3953</v>
      </c>
      <c r="D1314" s="39" t="s">
        <v>3482</v>
      </c>
      <c r="E1314" s="42">
        <v>46129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42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70">
        <v>46248</v>
      </c>
      <c r="X1314" s="30" t="s">
        <v>55</v>
      </c>
      <c r="Y1314" s="30" t="s">
        <v>56</v>
      </c>
      <c r="Z1314" s="30" t="s">
        <v>57</v>
      </c>
      <c r="AA1314" s="30" t="s">
        <v>58</v>
      </c>
      <c r="AB1314" s="30" t="s">
        <v>56</v>
      </c>
      <c r="AC1314" s="27"/>
      <c r="AD1314" s="31" t="s">
        <v>57</v>
      </c>
      <c r="AE1314" s="32" t="str">
        <f t="shared" si="102"/>
        <v>✓ OK</v>
      </c>
      <c r="AF1314" s="33" t="s">
        <v>61</v>
      </c>
      <c r="AG1314" s="33" t="s">
        <v>55</v>
      </c>
      <c r="AH1314" s="33" t="s">
        <v>56</v>
      </c>
      <c r="AI1314" s="33" t="s">
        <v>57</v>
      </c>
      <c r="AJ1314" s="33" t="s">
        <v>58</v>
      </c>
      <c r="AK1314" s="33" t="s">
        <v>56</v>
      </c>
      <c r="AL1314" s="27"/>
      <c r="AM1314" s="34" t="s">
        <v>57</v>
      </c>
      <c r="AN1314" s="35" t="str">
        <f t="shared" si="103"/>
        <v>✓ OK</v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3954</v>
      </c>
      <c r="C1315" s="25" t="s">
        <v>3955</v>
      </c>
      <c r="D1315" s="23" t="s">
        <v>3482</v>
      </c>
      <c r="E1315" s="42">
        <v>46129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42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70">
        <v>46248</v>
      </c>
      <c r="X1315" s="30" t="s">
        <v>55</v>
      </c>
      <c r="Y1315" s="30" t="s">
        <v>56</v>
      </c>
      <c r="Z1315" s="30" t="s">
        <v>57</v>
      </c>
      <c r="AA1315" s="30" t="s">
        <v>58</v>
      </c>
      <c r="AB1315" s="30" t="s">
        <v>56</v>
      </c>
      <c r="AC1315" s="27"/>
      <c r="AD1315" s="31" t="s">
        <v>57</v>
      </c>
      <c r="AE1315" s="32" t="str">
        <f t="shared" si="102"/>
        <v>✓ OK</v>
      </c>
      <c r="AF1315" s="33" t="s">
        <v>61</v>
      </c>
      <c r="AG1315" s="33" t="s">
        <v>55</v>
      </c>
      <c r="AH1315" s="33" t="s">
        <v>56</v>
      </c>
      <c r="AI1315" s="33" t="s">
        <v>57</v>
      </c>
      <c r="AJ1315" s="33" t="s">
        <v>58</v>
      </c>
      <c r="AK1315" s="33" t="s">
        <v>56</v>
      </c>
      <c r="AL1315" s="27"/>
      <c r="AM1315" s="34" t="s">
        <v>57</v>
      </c>
      <c r="AN1315" s="35" t="str">
        <f t="shared" si="103"/>
        <v>✓ OK</v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3956</v>
      </c>
      <c r="C1316" s="41" t="s">
        <v>3957</v>
      </c>
      <c r="D1316" s="39" t="s">
        <v>3482</v>
      </c>
      <c r="E1316" s="42">
        <v>46129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42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70">
        <v>46248</v>
      </c>
      <c r="X1316" s="30" t="s">
        <v>55</v>
      </c>
      <c r="Y1316" s="30" t="s">
        <v>56</v>
      </c>
      <c r="Z1316" s="30" t="s">
        <v>57</v>
      </c>
      <c r="AA1316" s="30" t="s">
        <v>58</v>
      </c>
      <c r="AB1316" s="30" t="s">
        <v>56</v>
      </c>
      <c r="AC1316" s="27"/>
      <c r="AD1316" s="31" t="s">
        <v>57</v>
      </c>
      <c r="AE1316" s="32" t="str">
        <f t="shared" si="102"/>
        <v>✓ OK</v>
      </c>
      <c r="AF1316" s="33" t="s">
        <v>61</v>
      </c>
      <c r="AG1316" s="33" t="s">
        <v>55</v>
      </c>
      <c r="AH1316" s="33" t="s">
        <v>56</v>
      </c>
      <c r="AI1316" s="33" t="s">
        <v>57</v>
      </c>
      <c r="AJ1316" s="33" t="s">
        <v>58</v>
      </c>
      <c r="AK1316" s="33" t="s">
        <v>56</v>
      </c>
      <c r="AL1316" s="27"/>
      <c r="AM1316" s="34" t="s">
        <v>57</v>
      </c>
      <c r="AN1316" s="35" t="str">
        <f t="shared" si="103"/>
        <v>✓ OK</v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3958</v>
      </c>
      <c r="C1317" s="25" t="s">
        <v>3959</v>
      </c>
      <c r="D1317" s="23" t="s">
        <v>3482</v>
      </c>
      <c r="E1317" s="42">
        <v>46129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42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70">
        <v>46248</v>
      </c>
      <c r="X1317" s="30" t="s">
        <v>55</v>
      </c>
      <c r="Y1317" s="30" t="s">
        <v>56</v>
      </c>
      <c r="Z1317" s="30" t="s">
        <v>57</v>
      </c>
      <c r="AA1317" s="30" t="s">
        <v>58</v>
      </c>
      <c r="AB1317" s="30" t="s">
        <v>56</v>
      </c>
      <c r="AC1317" s="27"/>
      <c r="AD1317" s="31" t="s">
        <v>57</v>
      </c>
      <c r="AE1317" s="32" t="str">
        <f t="shared" si="102"/>
        <v>✓ OK</v>
      </c>
      <c r="AF1317" s="33" t="s">
        <v>61</v>
      </c>
      <c r="AG1317" s="33" t="s">
        <v>55</v>
      </c>
      <c r="AH1317" s="33" t="s">
        <v>56</v>
      </c>
      <c r="AI1317" s="33" t="s">
        <v>57</v>
      </c>
      <c r="AJ1317" s="33" t="s">
        <v>58</v>
      </c>
      <c r="AK1317" s="33" t="s">
        <v>56</v>
      </c>
      <c r="AL1317" s="27"/>
      <c r="AM1317" s="34" t="s">
        <v>57</v>
      </c>
      <c r="AN1317" s="35" t="str">
        <f t="shared" si="103"/>
        <v>✓ OK</v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3960</v>
      </c>
      <c r="C1318" s="41" t="s">
        <v>3961</v>
      </c>
      <c r="D1318" s="39" t="s">
        <v>3482</v>
      </c>
      <c r="E1318" s="42">
        <v>46129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42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70">
        <v>46248</v>
      </c>
      <c r="X1318" s="30" t="s">
        <v>55</v>
      </c>
      <c r="Y1318" s="30" t="s">
        <v>56</v>
      </c>
      <c r="Z1318" s="30" t="s">
        <v>57</v>
      </c>
      <c r="AA1318" s="30" t="s">
        <v>58</v>
      </c>
      <c r="AB1318" s="30" t="s">
        <v>56</v>
      </c>
      <c r="AC1318" s="27"/>
      <c r="AD1318" s="31" t="s">
        <v>57</v>
      </c>
      <c r="AE1318" s="32" t="str">
        <f t="shared" si="102"/>
        <v>✓ OK</v>
      </c>
      <c r="AF1318" s="33" t="s">
        <v>61</v>
      </c>
      <c r="AG1318" s="33" t="s">
        <v>55</v>
      </c>
      <c r="AH1318" s="33" t="s">
        <v>56</v>
      </c>
      <c r="AI1318" s="33" t="s">
        <v>57</v>
      </c>
      <c r="AJ1318" s="33" t="s">
        <v>58</v>
      </c>
      <c r="AK1318" s="33" t="s">
        <v>56</v>
      </c>
      <c r="AL1318" s="27"/>
      <c r="AM1318" s="34" t="s">
        <v>57</v>
      </c>
      <c r="AN1318" s="35" t="str">
        <f t="shared" si="103"/>
        <v>✓ OK</v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3962</v>
      </c>
      <c r="C1319" s="25" t="s">
        <v>3963</v>
      </c>
      <c r="D1319" s="23" t="s">
        <v>3482</v>
      </c>
      <c r="E1319" s="42">
        <v>46129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42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70">
        <v>46248</v>
      </c>
      <c r="X1319" s="30" t="s">
        <v>55</v>
      </c>
      <c r="Y1319" s="30" t="s">
        <v>56</v>
      </c>
      <c r="Z1319" s="30" t="s">
        <v>57</v>
      </c>
      <c r="AA1319" s="30" t="s">
        <v>58</v>
      </c>
      <c r="AB1319" s="30" t="s">
        <v>56</v>
      </c>
      <c r="AC1319" s="27"/>
      <c r="AD1319" s="31" t="s">
        <v>57</v>
      </c>
      <c r="AE1319" s="32" t="str">
        <f t="shared" si="102"/>
        <v>✓ OK</v>
      </c>
      <c r="AF1319" s="33" t="s">
        <v>61</v>
      </c>
      <c r="AG1319" s="33" t="s">
        <v>55</v>
      </c>
      <c r="AH1319" s="33" t="s">
        <v>56</v>
      </c>
      <c r="AI1319" s="33" t="s">
        <v>57</v>
      </c>
      <c r="AJ1319" s="33" t="s">
        <v>58</v>
      </c>
      <c r="AK1319" s="33" t="s">
        <v>56</v>
      </c>
      <c r="AL1319" s="27"/>
      <c r="AM1319" s="34" t="s">
        <v>57</v>
      </c>
      <c r="AN1319" s="35" t="str">
        <f t="shared" si="103"/>
        <v>✓ OK</v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3964</v>
      </c>
      <c r="C1320" s="41" t="s">
        <v>3965</v>
      </c>
      <c r="D1320" s="39" t="s">
        <v>3482</v>
      </c>
      <c r="E1320" s="42">
        <v>46129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42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70">
        <v>46248</v>
      </c>
      <c r="X1320" s="30" t="s">
        <v>55</v>
      </c>
      <c r="Y1320" s="30" t="s">
        <v>56</v>
      </c>
      <c r="Z1320" s="30" t="s">
        <v>57</v>
      </c>
      <c r="AA1320" s="30" t="s">
        <v>58</v>
      </c>
      <c r="AB1320" s="30" t="s">
        <v>56</v>
      </c>
      <c r="AC1320" s="27"/>
      <c r="AD1320" s="31" t="s">
        <v>57</v>
      </c>
      <c r="AE1320" s="32" t="str">
        <f t="shared" si="102"/>
        <v>✓ OK</v>
      </c>
      <c r="AF1320" s="33" t="s">
        <v>61</v>
      </c>
      <c r="AG1320" s="33" t="s">
        <v>55</v>
      </c>
      <c r="AH1320" s="33" t="s">
        <v>56</v>
      </c>
      <c r="AI1320" s="33" t="s">
        <v>57</v>
      </c>
      <c r="AJ1320" s="33" t="s">
        <v>58</v>
      </c>
      <c r="AK1320" s="33" t="s">
        <v>56</v>
      </c>
      <c r="AL1320" s="27"/>
      <c r="AM1320" s="34" t="s">
        <v>57</v>
      </c>
      <c r="AN1320" s="35" t="str">
        <f t="shared" si="103"/>
        <v>✓ OK</v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3966</v>
      </c>
      <c r="C1321" s="25" t="s">
        <v>3967</v>
      </c>
      <c r="D1321" s="23" t="s">
        <v>3482</v>
      </c>
      <c r="E1321" s="42">
        <v>46129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42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70">
        <v>46248</v>
      </c>
      <c r="X1321" s="30" t="s">
        <v>55</v>
      </c>
      <c r="Y1321" s="30" t="s">
        <v>56</v>
      </c>
      <c r="Z1321" s="30" t="s">
        <v>57</v>
      </c>
      <c r="AA1321" s="30" t="s">
        <v>58</v>
      </c>
      <c r="AB1321" s="30" t="s">
        <v>56</v>
      </c>
      <c r="AC1321" s="27"/>
      <c r="AD1321" s="31" t="s">
        <v>57</v>
      </c>
      <c r="AE1321" s="32" t="str">
        <f t="shared" si="102"/>
        <v>✓ OK</v>
      </c>
      <c r="AF1321" s="33" t="s">
        <v>61</v>
      </c>
      <c r="AG1321" s="33" t="s">
        <v>55</v>
      </c>
      <c r="AH1321" s="33" t="s">
        <v>56</v>
      </c>
      <c r="AI1321" s="33" t="s">
        <v>57</v>
      </c>
      <c r="AJ1321" s="33" t="s">
        <v>58</v>
      </c>
      <c r="AK1321" s="33" t="s">
        <v>56</v>
      </c>
      <c r="AL1321" s="27"/>
      <c r="AM1321" s="34" t="s">
        <v>57</v>
      </c>
      <c r="AN1321" s="35" t="str">
        <f t="shared" si="103"/>
        <v>✓ OK</v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3968</v>
      </c>
      <c r="C1322" s="41" t="s">
        <v>3969</v>
      </c>
      <c r="D1322" s="39" t="s">
        <v>3482</v>
      </c>
      <c r="E1322" s="42">
        <v>46129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42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70">
        <v>46248</v>
      </c>
      <c r="X1322" s="30" t="s">
        <v>55</v>
      </c>
      <c r="Y1322" s="30" t="s">
        <v>56</v>
      </c>
      <c r="Z1322" s="30" t="s">
        <v>57</v>
      </c>
      <c r="AA1322" s="30" t="s">
        <v>58</v>
      </c>
      <c r="AB1322" s="30" t="s">
        <v>56</v>
      </c>
      <c r="AC1322" s="27"/>
      <c r="AD1322" s="31" t="s">
        <v>57</v>
      </c>
      <c r="AE1322" s="32" t="str">
        <f t="shared" si="102"/>
        <v>✓ OK</v>
      </c>
      <c r="AF1322" s="33" t="s">
        <v>61</v>
      </c>
      <c r="AG1322" s="33" t="s">
        <v>55</v>
      </c>
      <c r="AH1322" s="33" t="s">
        <v>56</v>
      </c>
      <c r="AI1322" s="33" t="s">
        <v>57</v>
      </c>
      <c r="AJ1322" s="33" t="s">
        <v>58</v>
      </c>
      <c r="AK1322" s="33" t="s">
        <v>56</v>
      </c>
      <c r="AL1322" s="27"/>
      <c r="AM1322" s="34" t="s">
        <v>57</v>
      </c>
      <c r="AN1322" s="35" t="str">
        <f t="shared" si="103"/>
        <v>✓ OK</v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3970</v>
      </c>
      <c r="C1323" s="25" t="s">
        <v>3971</v>
      </c>
      <c r="D1323" s="23" t="s">
        <v>3482</v>
      </c>
      <c r="E1323" s="42">
        <v>46129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42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70">
        <v>46248</v>
      </c>
      <c r="X1323" s="30" t="s">
        <v>55</v>
      </c>
      <c r="Y1323" s="30" t="s">
        <v>56</v>
      </c>
      <c r="Z1323" s="30" t="s">
        <v>57</v>
      </c>
      <c r="AA1323" s="30" t="s">
        <v>58</v>
      </c>
      <c r="AB1323" s="30" t="s">
        <v>56</v>
      </c>
      <c r="AC1323" s="27"/>
      <c r="AD1323" s="31" t="s">
        <v>57</v>
      </c>
      <c r="AE1323" s="32" t="str">
        <f t="shared" si="102"/>
        <v>✓ OK</v>
      </c>
      <c r="AF1323" s="33" t="s">
        <v>61</v>
      </c>
      <c r="AG1323" s="33" t="s">
        <v>55</v>
      </c>
      <c r="AH1323" s="33" t="s">
        <v>56</v>
      </c>
      <c r="AI1323" s="33" t="s">
        <v>57</v>
      </c>
      <c r="AJ1323" s="33" t="s">
        <v>58</v>
      </c>
      <c r="AK1323" s="33" t="s">
        <v>56</v>
      </c>
      <c r="AL1323" s="27"/>
      <c r="AM1323" s="34" t="s">
        <v>57</v>
      </c>
      <c r="AN1323" s="35" t="str">
        <f t="shared" si="103"/>
        <v>✓ OK</v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3972</v>
      </c>
      <c r="C1324" s="41" t="s">
        <v>3973</v>
      </c>
      <c r="D1324" s="39" t="s">
        <v>3482</v>
      </c>
      <c r="E1324" s="42">
        <v>46129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42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70">
        <v>46248</v>
      </c>
      <c r="X1324" s="30" t="s">
        <v>55</v>
      </c>
      <c r="Y1324" s="30" t="s">
        <v>56</v>
      </c>
      <c r="Z1324" s="30" t="s">
        <v>57</v>
      </c>
      <c r="AA1324" s="30" t="s">
        <v>58</v>
      </c>
      <c r="AB1324" s="30" t="s">
        <v>56</v>
      </c>
      <c r="AC1324" s="27"/>
      <c r="AD1324" s="31" t="s">
        <v>57</v>
      </c>
      <c r="AE1324" s="32" t="str">
        <f t="shared" si="102"/>
        <v>✓ OK</v>
      </c>
      <c r="AF1324" s="33" t="s">
        <v>61</v>
      </c>
      <c r="AG1324" s="33" t="s">
        <v>55</v>
      </c>
      <c r="AH1324" s="33" t="s">
        <v>56</v>
      </c>
      <c r="AI1324" s="33" t="s">
        <v>57</v>
      </c>
      <c r="AJ1324" s="33" t="s">
        <v>58</v>
      </c>
      <c r="AK1324" s="33" t="s">
        <v>56</v>
      </c>
      <c r="AL1324" s="27"/>
      <c r="AM1324" s="34" t="s">
        <v>57</v>
      </c>
      <c r="AN1324" s="35" t="str">
        <f t="shared" si="103"/>
        <v>✓ OK</v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3974</v>
      </c>
      <c r="C1325" s="25" t="s">
        <v>3975</v>
      </c>
      <c r="D1325" s="23" t="s">
        <v>3482</v>
      </c>
      <c r="E1325" s="42">
        <v>46129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42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70">
        <v>46248</v>
      </c>
      <c r="X1325" s="30" t="s">
        <v>55</v>
      </c>
      <c r="Y1325" s="30" t="s">
        <v>56</v>
      </c>
      <c r="Z1325" s="30" t="s">
        <v>57</v>
      </c>
      <c r="AA1325" s="30" t="s">
        <v>58</v>
      </c>
      <c r="AB1325" s="30" t="s">
        <v>56</v>
      </c>
      <c r="AC1325" s="27"/>
      <c r="AD1325" s="31" t="s">
        <v>57</v>
      </c>
      <c r="AE1325" s="32" t="str">
        <f t="shared" si="102"/>
        <v>✓ OK</v>
      </c>
      <c r="AF1325" s="33" t="s">
        <v>61</v>
      </c>
      <c r="AG1325" s="33" t="s">
        <v>55</v>
      </c>
      <c r="AH1325" s="33" t="s">
        <v>56</v>
      </c>
      <c r="AI1325" s="33" t="s">
        <v>57</v>
      </c>
      <c r="AJ1325" s="33" t="s">
        <v>58</v>
      </c>
      <c r="AK1325" s="33" t="s">
        <v>56</v>
      </c>
      <c r="AL1325" s="27"/>
      <c r="AM1325" s="34" t="s">
        <v>57</v>
      </c>
      <c r="AN1325" s="35" t="str">
        <f t="shared" si="103"/>
        <v>✓ OK</v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3976</v>
      </c>
      <c r="C1326" s="41" t="s">
        <v>3977</v>
      </c>
      <c r="D1326" s="39" t="s">
        <v>3482</v>
      </c>
      <c r="E1326" s="42">
        <v>46129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42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70">
        <v>46248</v>
      </c>
      <c r="X1326" s="30" t="s">
        <v>55</v>
      </c>
      <c r="Y1326" s="30" t="s">
        <v>56</v>
      </c>
      <c r="Z1326" s="30" t="s">
        <v>57</v>
      </c>
      <c r="AA1326" s="30" t="s">
        <v>58</v>
      </c>
      <c r="AB1326" s="30" t="s">
        <v>56</v>
      </c>
      <c r="AC1326" s="27"/>
      <c r="AD1326" s="31" t="s">
        <v>57</v>
      </c>
      <c r="AE1326" s="32" t="str">
        <f t="shared" si="102"/>
        <v>✓ OK</v>
      </c>
      <c r="AF1326" s="33" t="s">
        <v>61</v>
      </c>
      <c r="AG1326" s="33" t="s">
        <v>55</v>
      </c>
      <c r="AH1326" s="33" t="s">
        <v>56</v>
      </c>
      <c r="AI1326" s="33" t="s">
        <v>57</v>
      </c>
      <c r="AJ1326" s="33" t="s">
        <v>58</v>
      </c>
      <c r="AK1326" s="33" t="s">
        <v>56</v>
      </c>
      <c r="AL1326" s="27"/>
      <c r="AM1326" s="34" t="s">
        <v>57</v>
      </c>
      <c r="AN1326" s="35" t="str">
        <f t="shared" si="103"/>
        <v>✓ OK</v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3978</v>
      </c>
      <c r="C1327" s="25" t="s">
        <v>3979</v>
      </c>
      <c r="D1327" s="23" t="s">
        <v>3482</v>
      </c>
      <c r="E1327" s="42">
        <v>46129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42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70">
        <v>46248</v>
      </c>
      <c r="X1327" s="30" t="s">
        <v>55</v>
      </c>
      <c r="Y1327" s="30" t="s">
        <v>56</v>
      </c>
      <c r="Z1327" s="30" t="s">
        <v>57</v>
      </c>
      <c r="AA1327" s="30" t="s">
        <v>58</v>
      </c>
      <c r="AB1327" s="30" t="s">
        <v>56</v>
      </c>
      <c r="AC1327" s="27"/>
      <c r="AD1327" s="31" t="s">
        <v>57</v>
      </c>
      <c r="AE1327" s="32" t="str">
        <f t="shared" si="102"/>
        <v>✓ OK</v>
      </c>
      <c r="AF1327" s="33" t="s">
        <v>61</v>
      </c>
      <c r="AG1327" s="33" t="s">
        <v>55</v>
      </c>
      <c r="AH1327" s="33" t="s">
        <v>56</v>
      </c>
      <c r="AI1327" s="33" t="s">
        <v>57</v>
      </c>
      <c r="AJ1327" s="33" t="s">
        <v>58</v>
      </c>
      <c r="AK1327" s="33" t="s">
        <v>56</v>
      </c>
      <c r="AL1327" s="27"/>
      <c r="AM1327" s="34" t="s">
        <v>57</v>
      </c>
      <c r="AN1327" s="35" t="str">
        <f t="shared" si="103"/>
        <v>✓ OK</v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3980</v>
      </c>
      <c r="C1328" s="41" t="s">
        <v>3981</v>
      </c>
      <c r="D1328" s="39" t="s">
        <v>3482</v>
      </c>
      <c r="E1328" s="42">
        <v>46129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42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70">
        <v>46248</v>
      </c>
      <c r="X1328" s="30" t="s">
        <v>55</v>
      </c>
      <c r="Y1328" s="30" t="s">
        <v>56</v>
      </c>
      <c r="Z1328" s="30" t="s">
        <v>57</v>
      </c>
      <c r="AA1328" s="30" t="s">
        <v>58</v>
      </c>
      <c r="AB1328" s="30" t="s">
        <v>56</v>
      </c>
      <c r="AC1328" s="27"/>
      <c r="AD1328" s="31" t="s">
        <v>57</v>
      </c>
      <c r="AE1328" s="32" t="str">
        <f t="shared" si="102"/>
        <v>✓ OK</v>
      </c>
      <c r="AF1328" s="33" t="s">
        <v>61</v>
      </c>
      <c r="AG1328" s="33" t="s">
        <v>55</v>
      </c>
      <c r="AH1328" s="33" t="s">
        <v>56</v>
      </c>
      <c r="AI1328" s="33" t="s">
        <v>57</v>
      </c>
      <c r="AJ1328" s="33" t="s">
        <v>58</v>
      </c>
      <c r="AK1328" s="33" t="s">
        <v>56</v>
      </c>
      <c r="AL1328" s="27"/>
      <c r="AM1328" s="34" t="s">
        <v>57</v>
      </c>
      <c r="AN1328" s="35" t="str">
        <f t="shared" si="103"/>
        <v>✓ OK</v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3982</v>
      </c>
      <c r="C1329" s="25" t="s">
        <v>3983</v>
      </c>
      <c r="D1329" s="23" t="s">
        <v>3482</v>
      </c>
      <c r="E1329" s="42">
        <v>46129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42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70">
        <v>46248</v>
      </c>
      <c r="X1329" s="30" t="s">
        <v>55</v>
      </c>
      <c r="Y1329" s="30" t="s">
        <v>56</v>
      </c>
      <c r="Z1329" s="30" t="s">
        <v>57</v>
      </c>
      <c r="AA1329" s="30" t="s">
        <v>58</v>
      </c>
      <c r="AB1329" s="30" t="s">
        <v>56</v>
      </c>
      <c r="AC1329" s="27"/>
      <c r="AD1329" s="31" t="s">
        <v>57</v>
      </c>
      <c r="AE1329" s="32" t="str">
        <f t="shared" si="102"/>
        <v>✓ OK</v>
      </c>
      <c r="AF1329" s="33" t="s">
        <v>61</v>
      </c>
      <c r="AG1329" s="33" t="s">
        <v>55</v>
      </c>
      <c r="AH1329" s="33" t="s">
        <v>56</v>
      </c>
      <c r="AI1329" s="33" t="s">
        <v>57</v>
      </c>
      <c r="AJ1329" s="33" t="s">
        <v>58</v>
      </c>
      <c r="AK1329" s="33" t="s">
        <v>56</v>
      </c>
      <c r="AL1329" s="27"/>
      <c r="AM1329" s="34" t="s">
        <v>57</v>
      </c>
      <c r="AN1329" s="35" t="str">
        <f t="shared" si="103"/>
        <v>✓ OK</v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3984</v>
      </c>
      <c r="C1330" s="41" t="s">
        <v>3985</v>
      </c>
      <c r="D1330" s="39" t="s">
        <v>3482</v>
      </c>
      <c r="E1330" s="42">
        <v>46129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42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70">
        <v>46248</v>
      </c>
      <c r="X1330" s="30" t="s">
        <v>55</v>
      </c>
      <c r="Y1330" s="30" t="s">
        <v>56</v>
      </c>
      <c r="Z1330" s="30" t="s">
        <v>57</v>
      </c>
      <c r="AA1330" s="30" t="s">
        <v>58</v>
      </c>
      <c r="AB1330" s="30" t="s">
        <v>56</v>
      </c>
      <c r="AC1330" s="27"/>
      <c r="AD1330" s="31" t="s">
        <v>57</v>
      </c>
      <c r="AE1330" s="32" t="str">
        <f t="shared" si="102"/>
        <v>✓ OK</v>
      </c>
      <c r="AF1330" s="33" t="s">
        <v>61</v>
      </c>
      <c r="AG1330" s="33" t="s">
        <v>55</v>
      </c>
      <c r="AH1330" s="33" t="s">
        <v>56</v>
      </c>
      <c r="AI1330" s="33" t="s">
        <v>57</v>
      </c>
      <c r="AJ1330" s="33" t="s">
        <v>58</v>
      </c>
      <c r="AK1330" s="33" t="s">
        <v>56</v>
      </c>
      <c r="AL1330" s="27"/>
      <c r="AM1330" s="34" t="s">
        <v>57</v>
      </c>
      <c r="AN1330" s="35" t="str">
        <f t="shared" si="103"/>
        <v>✓ OK</v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3986</v>
      </c>
      <c r="C1331" s="25" t="s">
        <v>3987</v>
      </c>
      <c r="D1331" s="23" t="s">
        <v>3482</v>
      </c>
      <c r="E1331" s="42">
        <v>46129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42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70">
        <v>46248</v>
      </c>
      <c r="X1331" s="30" t="s">
        <v>55</v>
      </c>
      <c r="Y1331" s="30" t="s">
        <v>56</v>
      </c>
      <c r="Z1331" s="30" t="s">
        <v>57</v>
      </c>
      <c r="AA1331" s="30" t="s">
        <v>58</v>
      </c>
      <c r="AB1331" s="30" t="s">
        <v>56</v>
      </c>
      <c r="AC1331" s="27"/>
      <c r="AD1331" s="31" t="s">
        <v>57</v>
      </c>
      <c r="AE1331" s="32" t="str">
        <f t="shared" si="102"/>
        <v>✓ OK</v>
      </c>
      <c r="AF1331" s="33" t="s">
        <v>61</v>
      </c>
      <c r="AG1331" s="33" t="s">
        <v>55</v>
      </c>
      <c r="AH1331" s="33" t="s">
        <v>56</v>
      </c>
      <c r="AI1331" s="33" t="s">
        <v>57</v>
      </c>
      <c r="AJ1331" s="33" t="s">
        <v>58</v>
      </c>
      <c r="AK1331" s="33" t="s">
        <v>56</v>
      </c>
      <c r="AL1331" s="27"/>
      <c r="AM1331" s="34" t="s">
        <v>57</v>
      </c>
      <c r="AN1331" s="35" t="str">
        <f t="shared" si="103"/>
        <v>✓ OK</v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3988</v>
      </c>
      <c r="C1332" s="41" t="s">
        <v>3989</v>
      </c>
      <c r="D1332" s="39" t="s">
        <v>3482</v>
      </c>
      <c r="E1332" s="42">
        <v>46129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42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70">
        <v>46248</v>
      </c>
      <c r="X1332" s="30" t="s">
        <v>55</v>
      </c>
      <c r="Y1332" s="30" t="s">
        <v>56</v>
      </c>
      <c r="Z1332" s="30" t="s">
        <v>57</v>
      </c>
      <c r="AA1332" s="30" t="s">
        <v>58</v>
      </c>
      <c r="AB1332" s="30" t="s">
        <v>56</v>
      </c>
      <c r="AC1332" s="27"/>
      <c r="AD1332" s="31" t="s">
        <v>57</v>
      </c>
      <c r="AE1332" s="32" t="str">
        <f t="shared" si="102"/>
        <v>✓ OK</v>
      </c>
      <c r="AF1332" s="33" t="s">
        <v>61</v>
      </c>
      <c r="AG1332" s="33" t="s">
        <v>55</v>
      </c>
      <c r="AH1332" s="33" t="s">
        <v>56</v>
      </c>
      <c r="AI1332" s="33" t="s">
        <v>57</v>
      </c>
      <c r="AJ1332" s="33" t="s">
        <v>58</v>
      </c>
      <c r="AK1332" s="33" t="s">
        <v>56</v>
      </c>
      <c r="AL1332" s="27"/>
      <c r="AM1332" s="34" t="s">
        <v>57</v>
      </c>
      <c r="AN1332" s="35" t="str">
        <f t="shared" si="103"/>
        <v>✓ OK</v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3990</v>
      </c>
      <c r="C1333" s="25" t="s">
        <v>3991</v>
      </c>
      <c r="D1333" s="23" t="s">
        <v>3482</v>
      </c>
      <c r="E1333" s="42">
        <v>46129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42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70">
        <v>46248</v>
      </c>
      <c r="X1333" s="30" t="s">
        <v>55</v>
      </c>
      <c r="Y1333" s="30" t="s">
        <v>56</v>
      </c>
      <c r="Z1333" s="30" t="s">
        <v>57</v>
      </c>
      <c r="AA1333" s="30" t="s">
        <v>58</v>
      </c>
      <c r="AB1333" s="30" t="s">
        <v>56</v>
      </c>
      <c r="AC1333" s="27"/>
      <c r="AD1333" s="31" t="s">
        <v>57</v>
      </c>
      <c r="AE1333" s="32" t="str">
        <f t="shared" si="102"/>
        <v>✓ OK</v>
      </c>
      <c r="AF1333" s="33" t="s">
        <v>61</v>
      </c>
      <c r="AG1333" s="33" t="s">
        <v>55</v>
      </c>
      <c r="AH1333" s="33" t="s">
        <v>56</v>
      </c>
      <c r="AI1333" s="33" t="s">
        <v>57</v>
      </c>
      <c r="AJ1333" s="33" t="s">
        <v>58</v>
      </c>
      <c r="AK1333" s="33" t="s">
        <v>56</v>
      </c>
      <c r="AL1333" s="27"/>
      <c r="AM1333" s="34" t="s">
        <v>57</v>
      </c>
      <c r="AN1333" s="35" t="str">
        <f t="shared" si="103"/>
        <v>✓ OK</v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3992</v>
      </c>
      <c r="C1334" s="41" t="s">
        <v>3993</v>
      </c>
      <c r="D1334" s="39" t="s">
        <v>3482</v>
      </c>
      <c r="E1334" s="42">
        <v>46129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42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70">
        <v>46248</v>
      </c>
      <c r="X1334" s="30" t="s">
        <v>55</v>
      </c>
      <c r="Y1334" s="30" t="s">
        <v>56</v>
      </c>
      <c r="Z1334" s="30" t="s">
        <v>57</v>
      </c>
      <c r="AA1334" s="30" t="s">
        <v>58</v>
      </c>
      <c r="AB1334" s="30" t="s">
        <v>56</v>
      </c>
      <c r="AC1334" s="27"/>
      <c r="AD1334" s="31" t="s">
        <v>57</v>
      </c>
      <c r="AE1334" s="32" t="str">
        <f t="shared" si="102"/>
        <v>✓ OK</v>
      </c>
      <c r="AF1334" s="33" t="s">
        <v>61</v>
      </c>
      <c r="AG1334" s="33" t="s">
        <v>55</v>
      </c>
      <c r="AH1334" s="33" t="s">
        <v>56</v>
      </c>
      <c r="AI1334" s="33" t="s">
        <v>57</v>
      </c>
      <c r="AJ1334" s="33" t="s">
        <v>58</v>
      </c>
      <c r="AK1334" s="33" t="s">
        <v>56</v>
      </c>
      <c r="AL1334" s="27"/>
      <c r="AM1334" s="34" t="s">
        <v>57</v>
      </c>
      <c r="AN1334" s="35" t="str">
        <f t="shared" si="103"/>
        <v>✓ OK</v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3994</v>
      </c>
      <c r="C1335" s="25" t="s">
        <v>3995</v>
      </c>
      <c r="D1335" s="23" t="s">
        <v>3482</v>
      </c>
      <c r="E1335" s="42">
        <v>46129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42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70">
        <v>46248</v>
      </c>
      <c r="X1335" s="30" t="s">
        <v>55</v>
      </c>
      <c r="Y1335" s="30" t="s">
        <v>56</v>
      </c>
      <c r="Z1335" s="30" t="s">
        <v>57</v>
      </c>
      <c r="AA1335" s="30" t="s">
        <v>58</v>
      </c>
      <c r="AB1335" s="30" t="s">
        <v>56</v>
      </c>
      <c r="AC1335" s="27"/>
      <c r="AD1335" s="31" t="s">
        <v>57</v>
      </c>
      <c r="AE1335" s="32" t="str">
        <f t="shared" si="102"/>
        <v>✓ OK</v>
      </c>
      <c r="AF1335" s="33" t="s">
        <v>61</v>
      </c>
      <c r="AG1335" s="33" t="s">
        <v>55</v>
      </c>
      <c r="AH1335" s="33" t="s">
        <v>56</v>
      </c>
      <c r="AI1335" s="33" t="s">
        <v>57</v>
      </c>
      <c r="AJ1335" s="33" t="s">
        <v>58</v>
      </c>
      <c r="AK1335" s="33" t="s">
        <v>56</v>
      </c>
      <c r="AL1335" s="27"/>
      <c r="AM1335" s="34" t="s">
        <v>57</v>
      </c>
      <c r="AN1335" s="35" t="str">
        <f t="shared" si="103"/>
        <v>✓ OK</v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3996</v>
      </c>
      <c r="C1336" s="41" t="s">
        <v>3997</v>
      </c>
      <c r="D1336" s="39" t="s">
        <v>3482</v>
      </c>
      <c r="E1336" s="42">
        <v>46129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42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70">
        <v>46248</v>
      </c>
      <c r="X1336" s="30" t="s">
        <v>55</v>
      </c>
      <c r="Y1336" s="30" t="s">
        <v>56</v>
      </c>
      <c r="Z1336" s="30" t="s">
        <v>57</v>
      </c>
      <c r="AA1336" s="30" t="s">
        <v>58</v>
      </c>
      <c r="AB1336" s="30" t="s">
        <v>56</v>
      </c>
      <c r="AC1336" s="27"/>
      <c r="AD1336" s="31" t="s">
        <v>57</v>
      </c>
      <c r="AE1336" s="32" t="str">
        <f t="shared" si="102"/>
        <v>✓ OK</v>
      </c>
      <c r="AF1336" s="33" t="s">
        <v>61</v>
      </c>
      <c r="AG1336" s="33" t="s">
        <v>55</v>
      </c>
      <c r="AH1336" s="33" t="s">
        <v>56</v>
      </c>
      <c r="AI1336" s="33" t="s">
        <v>57</v>
      </c>
      <c r="AJ1336" s="33" t="s">
        <v>58</v>
      </c>
      <c r="AK1336" s="33" t="s">
        <v>56</v>
      </c>
      <c r="AL1336" s="27"/>
      <c r="AM1336" s="34" t="s">
        <v>57</v>
      </c>
      <c r="AN1336" s="35" t="str">
        <f t="shared" si="103"/>
        <v>✓ OK</v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3998</v>
      </c>
      <c r="C1337" s="25" t="s">
        <v>3999</v>
      </c>
      <c r="D1337" s="23" t="s">
        <v>3482</v>
      </c>
      <c r="E1337" s="42">
        <v>46129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42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70">
        <v>46248</v>
      </c>
      <c r="X1337" s="30" t="s">
        <v>55</v>
      </c>
      <c r="Y1337" s="30" t="s">
        <v>56</v>
      </c>
      <c r="Z1337" s="30" t="s">
        <v>57</v>
      </c>
      <c r="AA1337" s="30" t="s">
        <v>58</v>
      </c>
      <c r="AB1337" s="30" t="s">
        <v>56</v>
      </c>
      <c r="AC1337" s="27"/>
      <c r="AD1337" s="31" t="s">
        <v>57</v>
      </c>
      <c r="AE1337" s="32" t="str">
        <f t="shared" si="102"/>
        <v>✓ OK</v>
      </c>
      <c r="AF1337" s="33" t="s">
        <v>61</v>
      </c>
      <c r="AG1337" s="33" t="s">
        <v>55</v>
      </c>
      <c r="AH1337" s="33" t="s">
        <v>56</v>
      </c>
      <c r="AI1337" s="33" t="s">
        <v>57</v>
      </c>
      <c r="AJ1337" s="33" t="s">
        <v>58</v>
      </c>
      <c r="AK1337" s="33" t="s">
        <v>56</v>
      </c>
      <c r="AL1337" s="27"/>
      <c r="AM1337" s="34" t="s">
        <v>57</v>
      </c>
      <c r="AN1337" s="35" t="str">
        <f t="shared" si="103"/>
        <v>✓ OK</v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4000</v>
      </c>
      <c r="C1338" s="41" t="s">
        <v>4001</v>
      </c>
      <c r="D1338" s="39" t="s">
        <v>3482</v>
      </c>
      <c r="E1338" s="42">
        <v>46129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42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70">
        <v>46248</v>
      </c>
      <c r="X1338" s="30" t="s">
        <v>55</v>
      </c>
      <c r="Y1338" s="30" t="s">
        <v>56</v>
      </c>
      <c r="Z1338" s="30" t="s">
        <v>57</v>
      </c>
      <c r="AA1338" s="30" t="s">
        <v>58</v>
      </c>
      <c r="AB1338" s="30" t="s">
        <v>56</v>
      </c>
      <c r="AC1338" s="27"/>
      <c r="AD1338" s="31" t="s">
        <v>57</v>
      </c>
      <c r="AE1338" s="32" t="str">
        <f t="shared" si="102"/>
        <v>✓ OK</v>
      </c>
      <c r="AF1338" s="33" t="s">
        <v>61</v>
      </c>
      <c r="AG1338" s="33" t="s">
        <v>55</v>
      </c>
      <c r="AH1338" s="33" t="s">
        <v>56</v>
      </c>
      <c r="AI1338" s="33" t="s">
        <v>57</v>
      </c>
      <c r="AJ1338" s="33" t="s">
        <v>58</v>
      </c>
      <c r="AK1338" s="33" t="s">
        <v>56</v>
      </c>
      <c r="AL1338" s="27"/>
      <c r="AM1338" s="34" t="s">
        <v>57</v>
      </c>
      <c r="AN1338" s="35" t="str">
        <f t="shared" si="103"/>
        <v>✓ OK</v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4002</v>
      </c>
      <c r="C1339" s="25" t="s">
        <v>4003</v>
      </c>
      <c r="D1339" s="23" t="s">
        <v>3482</v>
      </c>
      <c r="E1339" s="42">
        <v>46129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42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70">
        <v>46248</v>
      </c>
      <c r="X1339" s="30" t="s">
        <v>55</v>
      </c>
      <c r="Y1339" s="30" t="s">
        <v>56</v>
      </c>
      <c r="Z1339" s="30" t="s">
        <v>57</v>
      </c>
      <c r="AA1339" s="30" t="s">
        <v>58</v>
      </c>
      <c r="AB1339" s="30" t="s">
        <v>56</v>
      </c>
      <c r="AC1339" s="27"/>
      <c r="AD1339" s="31" t="s">
        <v>57</v>
      </c>
      <c r="AE1339" s="32" t="str">
        <f t="shared" si="102"/>
        <v>✓ OK</v>
      </c>
      <c r="AF1339" s="33" t="s">
        <v>61</v>
      </c>
      <c r="AG1339" s="33" t="s">
        <v>55</v>
      </c>
      <c r="AH1339" s="33" t="s">
        <v>56</v>
      </c>
      <c r="AI1339" s="33" t="s">
        <v>57</v>
      </c>
      <c r="AJ1339" s="33" t="s">
        <v>58</v>
      </c>
      <c r="AK1339" s="33" t="s">
        <v>56</v>
      </c>
      <c r="AL1339" s="27"/>
      <c r="AM1339" s="34" t="s">
        <v>57</v>
      </c>
      <c r="AN1339" s="35" t="str">
        <f t="shared" si="103"/>
        <v>✓ OK</v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4004</v>
      </c>
      <c r="C1340" s="41" t="s">
        <v>4005</v>
      </c>
      <c r="D1340" s="39" t="s">
        <v>3482</v>
      </c>
      <c r="E1340" s="42">
        <v>46129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42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70">
        <v>46248</v>
      </c>
      <c r="X1340" s="30" t="s">
        <v>55</v>
      </c>
      <c r="Y1340" s="30" t="s">
        <v>56</v>
      </c>
      <c r="Z1340" s="30" t="s">
        <v>57</v>
      </c>
      <c r="AA1340" s="30" t="s">
        <v>58</v>
      </c>
      <c r="AB1340" s="30" t="s">
        <v>56</v>
      </c>
      <c r="AC1340" s="27"/>
      <c r="AD1340" s="31" t="s">
        <v>57</v>
      </c>
      <c r="AE1340" s="32" t="str">
        <f t="shared" si="102"/>
        <v>✓ OK</v>
      </c>
      <c r="AF1340" s="33" t="s">
        <v>61</v>
      </c>
      <c r="AG1340" s="33" t="s">
        <v>55</v>
      </c>
      <c r="AH1340" s="33" t="s">
        <v>56</v>
      </c>
      <c r="AI1340" s="33" t="s">
        <v>57</v>
      </c>
      <c r="AJ1340" s="33" t="s">
        <v>58</v>
      </c>
      <c r="AK1340" s="33" t="s">
        <v>56</v>
      </c>
      <c r="AL1340" s="27"/>
      <c r="AM1340" s="34" t="s">
        <v>57</v>
      </c>
      <c r="AN1340" s="35" t="str">
        <f t="shared" si="103"/>
        <v>✓ OK</v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4006</v>
      </c>
      <c r="C1341" s="25" t="s">
        <v>4007</v>
      </c>
      <c r="D1341" s="23" t="s">
        <v>3482</v>
      </c>
      <c r="E1341" s="42">
        <v>46129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42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70">
        <v>46248</v>
      </c>
      <c r="X1341" s="30" t="s">
        <v>55</v>
      </c>
      <c r="Y1341" s="30" t="s">
        <v>56</v>
      </c>
      <c r="Z1341" s="30" t="s">
        <v>57</v>
      </c>
      <c r="AA1341" s="30" t="s">
        <v>58</v>
      </c>
      <c r="AB1341" s="30" t="s">
        <v>56</v>
      </c>
      <c r="AC1341" s="27"/>
      <c r="AD1341" s="31" t="s">
        <v>57</v>
      </c>
      <c r="AE1341" s="32" t="str">
        <f t="shared" si="102"/>
        <v>✓ OK</v>
      </c>
      <c r="AF1341" s="33" t="s">
        <v>61</v>
      </c>
      <c r="AG1341" s="33" t="s">
        <v>55</v>
      </c>
      <c r="AH1341" s="33" t="s">
        <v>56</v>
      </c>
      <c r="AI1341" s="33" t="s">
        <v>57</v>
      </c>
      <c r="AJ1341" s="33" t="s">
        <v>58</v>
      </c>
      <c r="AK1341" s="33" t="s">
        <v>56</v>
      </c>
      <c r="AL1341" s="27"/>
      <c r="AM1341" s="34" t="s">
        <v>57</v>
      </c>
      <c r="AN1341" s="35" t="str">
        <f t="shared" si="103"/>
        <v>✓ OK</v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4008</v>
      </c>
      <c r="C1342" s="41" t="s">
        <v>4009</v>
      </c>
      <c r="D1342" s="39" t="s">
        <v>3482</v>
      </c>
      <c r="E1342" s="42">
        <v>46129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42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70">
        <v>46248</v>
      </c>
      <c r="X1342" s="30" t="s">
        <v>55</v>
      </c>
      <c r="Y1342" s="30" t="s">
        <v>56</v>
      </c>
      <c r="Z1342" s="30" t="s">
        <v>57</v>
      </c>
      <c r="AA1342" s="30" t="s">
        <v>58</v>
      </c>
      <c r="AB1342" s="30" t="s">
        <v>56</v>
      </c>
      <c r="AC1342" s="27"/>
      <c r="AD1342" s="31" t="s">
        <v>57</v>
      </c>
      <c r="AE1342" s="32" t="str">
        <f t="shared" si="102"/>
        <v>✓ OK</v>
      </c>
      <c r="AF1342" s="33" t="s">
        <v>61</v>
      </c>
      <c r="AG1342" s="33" t="s">
        <v>55</v>
      </c>
      <c r="AH1342" s="33" t="s">
        <v>56</v>
      </c>
      <c r="AI1342" s="33" t="s">
        <v>57</v>
      </c>
      <c r="AJ1342" s="33" t="s">
        <v>58</v>
      </c>
      <c r="AK1342" s="33" t="s">
        <v>56</v>
      </c>
      <c r="AL1342" s="27"/>
      <c r="AM1342" s="34" t="s">
        <v>57</v>
      </c>
      <c r="AN1342" s="35" t="str">
        <f t="shared" si="103"/>
        <v>✓ OK</v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4010</v>
      </c>
      <c r="C1343" s="25" t="s">
        <v>4011</v>
      </c>
      <c r="D1343" s="23" t="s">
        <v>3482</v>
      </c>
      <c r="E1343" s="42">
        <v>46129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42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70">
        <v>46248</v>
      </c>
      <c r="X1343" s="30" t="s">
        <v>55</v>
      </c>
      <c r="Y1343" s="30" t="s">
        <v>56</v>
      </c>
      <c r="Z1343" s="30" t="s">
        <v>57</v>
      </c>
      <c r="AA1343" s="30" t="s">
        <v>58</v>
      </c>
      <c r="AB1343" s="30" t="s">
        <v>56</v>
      </c>
      <c r="AC1343" s="27"/>
      <c r="AD1343" s="31" t="s">
        <v>57</v>
      </c>
      <c r="AE1343" s="32" t="str">
        <f t="shared" si="102"/>
        <v>✓ OK</v>
      </c>
      <c r="AF1343" s="33" t="s">
        <v>61</v>
      </c>
      <c r="AG1343" s="33" t="s">
        <v>55</v>
      </c>
      <c r="AH1343" s="33" t="s">
        <v>56</v>
      </c>
      <c r="AI1343" s="33" t="s">
        <v>57</v>
      </c>
      <c r="AJ1343" s="33" t="s">
        <v>58</v>
      </c>
      <c r="AK1343" s="33" t="s">
        <v>56</v>
      </c>
      <c r="AL1343" s="27"/>
      <c r="AM1343" s="34" t="s">
        <v>57</v>
      </c>
      <c r="AN1343" s="35" t="str">
        <f t="shared" si="103"/>
        <v>✓ OK</v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4012</v>
      </c>
      <c r="C1344" s="41" t="s">
        <v>4013</v>
      </c>
      <c r="D1344" s="39" t="s">
        <v>3482</v>
      </c>
      <c r="E1344" s="42">
        <v>46129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42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70">
        <v>46248</v>
      </c>
      <c r="X1344" s="30" t="s">
        <v>55</v>
      </c>
      <c r="Y1344" s="30" t="s">
        <v>56</v>
      </c>
      <c r="Z1344" s="30" t="s">
        <v>57</v>
      </c>
      <c r="AA1344" s="30" t="s">
        <v>58</v>
      </c>
      <c r="AB1344" s="30" t="s">
        <v>56</v>
      </c>
      <c r="AC1344" s="27"/>
      <c r="AD1344" s="31" t="s">
        <v>57</v>
      </c>
      <c r="AE1344" s="32" t="str">
        <f t="shared" si="102"/>
        <v>✓ OK</v>
      </c>
      <c r="AF1344" s="33" t="s">
        <v>61</v>
      </c>
      <c r="AG1344" s="33" t="s">
        <v>55</v>
      </c>
      <c r="AH1344" s="33" t="s">
        <v>56</v>
      </c>
      <c r="AI1344" s="33" t="s">
        <v>57</v>
      </c>
      <c r="AJ1344" s="33" t="s">
        <v>58</v>
      </c>
      <c r="AK1344" s="33" t="s">
        <v>56</v>
      </c>
      <c r="AL1344" s="27"/>
      <c r="AM1344" s="34" t="s">
        <v>57</v>
      </c>
      <c r="AN1344" s="35" t="str">
        <f t="shared" si="103"/>
        <v>✓ OK</v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4014</v>
      </c>
      <c r="C1345" s="25" t="s">
        <v>4015</v>
      </c>
      <c r="D1345" s="23" t="s">
        <v>3482</v>
      </c>
      <c r="E1345" s="42">
        <v>46129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42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70">
        <v>46248</v>
      </c>
      <c r="X1345" s="30" t="s">
        <v>55</v>
      </c>
      <c r="Y1345" s="30" t="s">
        <v>56</v>
      </c>
      <c r="Z1345" s="30" t="s">
        <v>57</v>
      </c>
      <c r="AA1345" s="30" t="s">
        <v>58</v>
      </c>
      <c r="AB1345" s="30" t="s">
        <v>56</v>
      </c>
      <c r="AC1345" s="27"/>
      <c r="AD1345" s="31" t="s">
        <v>57</v>
      </c>
      <c r="AE1345" s="32" t="str">
        <f t="shared" si="102"/>
        <v>✓ OK</v>
      </c>
      <c r="AF1345" s="33" t="s">
        <v>61</v>
      </c>
      <c r="AG1345" s="33" t="s">
        <v>55</v>
      </c>
      <c r="AH1345" s="33" t="s">
        <v>56</v>
      </c>
      <c r="AI1345" s="33" t="s">
        <v>57</v>
      </c>
      <c r="AJ1345" s="33" t="s">
        <v>58</v>
      </c>
      <c r="AK1345" s="33" t="s">
        <v>56</v>
      </c>
      <c r="AL1345" s="27"/>
      <c r="AM1345" s="34" t="s">
        <v>57</v>
      </c>
      <c r="AN1345" s="35" t="str">
        <f t="shared" si="103"/>
        <v>✓ OK</v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4016</v>
      </c>
      <c r="C1346" s="41" t="s">
        <v>4017</v>
      </c>
      <c r="D1346" s="39" t="s">
        <v>3482</v>
      </c>
      <c r="E1346" s="42">
        <v>46129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42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70">
        <v>46248</v>
      </c>
      <c r="X1346" s="30" t="s">
        <v>55</v>
      </c>
      <c r="Y1346" s="30" t="s">
        <v>56</v>
      </c>
      <c r="Z1346" s="30" t="s">
        <v>57</v>
      </c>
      <c r="AA1346" s="30" t="s">
        <v>58</v>
      </c>
      <c r="AB1346" s="30" t="s">
        <v>56</v>
      </c>
      <c r="AC1346" s="27"/>
      <c r="AD1346" s="31" t="s">
        <v>57</v>
      </c>
      <c r="AE1346" s="32" t="str">
        <f t="shared" si="102"/>
        <v>✓ OK</v>
      </c>
      <c r="AF1346" s="33" t="s">
        <v>61</v>
      </c>
      <c r="AG1346" s="33" t="s">
        <v>55</v>
      </c>
      <c r="AH1346" s="33" t="s">
        <v>56</v>
      </c>
      <c r="AI1346" s="33" t="s">
        <v>57</v>
      </c>
      <c r="AJ1346" s="33" t="s">
        <v>58</v>
      </c>
      <c r="AK1346" s="33" t="s">
        <v>56</v>
      </c>
      <c r="AL1346" s="27"/>
      <c r="AM1346" s="34" t="s">
        <v>57</v>
      </c>
      <c r="AN1346" s="35" t="str">
        <f t="shared" si="103"/>
        <v>✓ OK</v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4018</v>
      </c>
      <c r="C1347" s="25" t="s">
        <v>4019</v>
      </c>
      <c r="D1347" s="23" t="s">
        <v>3482</v>
      </c>
      <c r="E1347" s="42">
        <v>46129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57</v>
      </c>
      <c r="K1347" s="27" t="s">
        <v>4020</v>
      </c>
      <c r="L1347" s="28" t="s">
        <v>56</v>
      </c>
      <c r="M1347" s="29" t="str">
        <f t="shared" si="100"/>
        <v>⚠ Check</v>
      </c>
      <c r="N1347" s="42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57</v>
      </c>
      <c r="T1347" s="27" t="s">
        <v>4020</v>
      </c>
      <c r="U1347" s="28" t="s">
        <v>57</v>
      </c>
      <c r="V1347" s="29" t="str">
        <f t="shared" si="101"/>
        <v>⚠ Check</v>
      </c>
      <c r="W1347" s="70">
        <v>46248</v>
      </c>
      <c r="X1347" s="30" t="s">
        <v>55</v>
      </c>
      <c r="Y1347" s="30" t="s">
        <v>56</v>
      </c>
      <c r="Z1347" s="30" t="s">
        <v>57</v>
      </c>
      <c r="AA1347" s="30" t="s">
        <v>58</v>
      </c>
      <c r="AB1347" s="30" t="s">
        <v>57</v>
      </c>
      <c r="AC1347" s="27" t="s">
        <v>4020</v>
      </c>
      <c r="AD1347" s="31" t="s">
        <v>57</v>
      </c>
      <c r="AE1347" s="32" t="str">
        <f t="shared" si="102"/>
        <v>⚠ Check</v>
      </c>
      <c r="AF1347" s="33" t="s">
        <v>61</v>
      </c>
      <c r="AG1347" s="33" t="s">
        <v>55</v>
      </c>
      <c r="AH1347" s="33" t="s">
        <v>56</v>
      </c>
      <c r="AI1347" s="33" t="s">
        <v>57</v>
      </c>
      <c r="AJ1347" s="33" t="s">
        <v>58</v>
      </c>
      <c r="AK1347" s="33" t="s">
        <v>56</v>
      </c>
      <c r="AL1347" s="27"/>
      <c r="AM1347" s="34" t="s">
        <v>57</v>
      </c>
      <c r="AN1347" s="35" t="str">
        <f t="shared" si="103"/>
        <v>✓ OK</v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4021</v>
      </c>
      <c r="C1348" s="41" t="s">
        <v>4022</v>
      </c>
      <c r="D1348" s="39" t="s">
        <v>3482</v>
      </c>
      <c r="E1348" s="42">
        <v>46129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42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70">
        <v>46248</v>
      </c>
      <c r="X1348" s="30" t="s">
        <v>55</v>
      </c>
      <c r="Y1348" s="30" t="s">
        <v>56</v>
      </c>
      <c r="Z1348" s="30" t="s">
        <v>57</v>
      </c>
      <c r="AA1348" s="30" t="s">
        <v>58</v>
      </c>
      <c r="AB1348" s="30" t="s">
        <v>56</v>
      </c>
      <c r="AC1348" s="27"/>
      <c r="AD1348" s="31" t="s">
        <v>57</v>
      </c>
      <c r="AE1348" s="32" t="str">
        <f t="shared" si="102"/>
        <v>✓ OK</v>
      </c>
      <c r="AF1348" s="33" t="s">
        <v>61</v>
      </c>
      <c r="AG1348" s="33" t="s">
        <v>55</v>
      </c>
      <c r="AH1348" s="33" t="s">
        <v>56</v>
      </c>
      <c r="AI1348" s="33" t="s">
        <v>57</v>
      </c>
      <c r="AJ1348" s="33" t="s">
        <v>58</v>
      </c>
      <c r="AK1348" s="33" t="s">
        <v>56</v>
      </c>
      <c r="AL1348" s="27"/>
      <c r="AM1348" s="34" t="s">
        <v>57</v>
      </c>
      <c r="AN1348" s="35" t="str">
        <f t="shared" si="103"/>
        <v>✓ OK</v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4023</v>
      </c>
      <c r="C1349" s="25" t="s">
        <v>4024</v>
      </c>
      <c r="D1349" s="23" t="s">
        <v>3482</v>
      </c>
      <c r="E1349" s="42">
        <v>46129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42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70">
        <v>46248</v>
      </c>
      <c r="X1349" s="30" t="s">
        <v>55</v>
      </c>
      <c r="Y1349" s="30" t="s">
        <v>56</v>
      </c>
      <c r="Z1349" s="30" t="s">
        <v>57</v>
      </c>
      <c r="AA1349" s="30" t="s">
        <v>58</v>
      </c>
      <c r="AB1349" s="30" t="s">
        <v>56</v>
      </c>
      <c r="AC1349" s="27"/>
      <c r="AD1349" s="31" t="s">
        <v>57</v>
      </c>
      <c r="AE1349" s="32" t="str">
        <f t="shared" ref="AE1349:AE1413" si="107">IF(W1349="","",IF(Z1349="Yes","❌ Disc",IF(Y1349="No","⚠ Missing",IF(AB1349="Yes","✓ OK","⚠ Check"))))</f>
        <v>✓ OK</v>
      </c>
      <c r="AF1349" s="33" t="s">
        <v>61</v>
      </c>
      <c r="AG1349" s="33" t="s">
        <v>55</v>
      </c>
      <c r="AH1349" s="33" t="s">
        <v>56</v>
      </c>
      <c r="AI1349" s="33" t="s">
        <v>57</v>
      </c>
      <c r="AJ1349" s="33" t="s">
        <v>58</v>
      </c>
      <c r="AK1349" s="33" t="s">
        <v>56</v>
      </c>
      <c r="AL1349" s="27"/>
      <c r="AM1349" s="34" t="s">
        <v>57</v>
      </c>
      <c r="AN1349" s="35" t="str">
        <f t="shared" ref="AN1349:AN1413" si="108">IF(AF1349="","",IF(AI1349="Yes","❌ Disc",IF(AH1349="No","⚠ Missing",IF(AK1349="Yes","✓ OK","⚠ Check"))))</f>
        <v>✓ OK</v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4025</v>
      </c>
      <c r="C1350" s="41" t="s">
        <v>4026</v>
      </c>
      <c r="D1350" s="39" t="s">
        <v>3482</v>
      </c>
      <c r="E1350" s="42">
        <v>46129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42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70">
        <v>46248</v>
      </c>
      <c r="X1350" s="30" t="s">
        <v>55</v>
      </c>
      <c r="Y1350" s="30" t="s">
        <v>56</v>
      </c>
      <c r="Z1350" s="30" t="s">
        <v>57</v>
      </c>
      <c r="AA1350" s="30" t="s">
        <v>58</v>
      </c>
      <c r="AB1350" s="30" t="s">
        <v>56</v>
      </c>
      <c r="AC1350" s="27"/>
      <c r="AD1350" s="31" t="s">
        <v>57</v>
      </c>
      <c r="AE1350" s="32" t="str">
        <f t="shared" si="107"/>
        <v>✓ OK</v>
      </c>
      <c r="AF1350" s="33" t="s">
        <v>61</v>
      </c>
      <c r="AG1350" s="33" t="s">
        <v>55</v>
      </c>
      <c r="AH1350" s="33" t="s">
        <v>56</v>
      </c>
      <c r="AI1350" s="33" t="s">
        <v>57</v>
      </c>
      <c r="AJ1350" s="33" t="s">
        <v>58</v>
      </c>
      <c r="AK1350" s="33" t="s">
        <v>56</v>
      </c>
      <c r="AL1350" s="27"/>
      <c r="AM1350" s="34" t="s">
        <v>57</v>
      </c>
      <c r="AN1350" s="35" t="str">
        <f t="shared" si="108"/>
        <v>✓ OK</v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4027</v>
      </c>
      <c r="C1351" s="25" t="s">
        <v>4028</v>
      </c>
      <c r="D1351" s="23" t="s">
        <v>3482</v>
      </c>
      <c r="E1351" s="42">
        <v>46129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42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70">
        <v>46248</v>
      </c>
      <c r="X1351" s="30" t="s">
        <v>55</v>
      </c>
      <c r="Y1351" s="30" t="s">
        <v>56</v>
      </c>
      <c r="Z1351" s="30" t="s">
        <v>57</v>
      </c>
      <c r="AA1351" s="30" t="s">
        <v>58</v>
      </c>
      <c r="AB1351" s="30" t="s">
        <v>56</v>
      </c>
      <c r="AC1351" s="27"/>
      <c r="AD1351" s="31" t="s">
        <v>57</v>
      </c>
      <c r="AE1351" s="32" t="str">
        <f t="shared" si="107"/>
        <v>✓ OK</v>
      </c>
      <c r="AF1351" s="33" t="s">
        <v>61</v>
      </c>
      <c r="AG1351" s="33" t="s">
        <v>55</v>
      </c>
      <c r="AH1351" s="33" t="s">
        <v>56</v>
      </c>
      <c r="AI1351" s="33" t="s">
        <v>57</v>
      </c>
      <c r="AJ1351" s="33" t="s">
        <v>58</v>
      </c>
      <c r="AK1351" s="33" t="s">
        <v>56</v>
      </c>
      <c r="AL1351" s="27"/>
      <c r="AM1351" s="34" t="s">
        <v>57</v>
      </c>
      <c r="AN1351" s="35" t="str">
        <f t="shared" si="108"/>
        <v>✓ OK</v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4029</v>
      </c>
      <c r="C1352" s="41" t="s">
        <v>4030</v>
      </c>
      <c r="D1352" s="39" t="s">
        <v>3482</v>
      </c>
      <c r="E1352" s="42">
        <v>46129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42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70">
        <v>46248</v>
      </c>
      <c r="X1352" s="30" t="s">
        <v>55</v>
      </c>
      <c r="Y1352" s="30" t="s">
        <v>56</v>
      </c>
      <c r="Z1352" s="30" t="s">
        <v>57</v>
      </c>
      <c r="AA1352" s="30" t="s">
        <v>58</v>
      </c>
      <c r="AB1352" s="30" t="s">
        <v>56</v>
      </c>
      <c r="AC1352" s="27"/>
      <c r="AD1352" s="31" t="s">
        <v>57</v>
      </c>
      <c r="AE1352" s="32" t="str">
        <f t="shared" si="107"/>
        <v>✓ OK</v>
      </c>
      <c r="AF1352" s="33" t="s">
        <v>61</v>
      </c>
      <c r="AG1352" s="33" t="s">
        <v>55</v>
      </c>
      <c r="AH1352" s="33" t="s">
        <v>56</v>
      </c>
      <c r="AI1352" s="33" t="s">
        <v>57</v>
      </c>
      <c r="AJ1352" s="33" t="s">
        <v>58</v>
      </c>
      <c r="AK1352" s="33" t="s">
        <v>56</v>
      </c>
      <c r="AL1352" s="27"/>
      <c r="AM1352" s="34" t="s">
        <v>57</v>
      </c>
      <c r="AN1352" s="35" t="str">
        <f t="shared" si="108"/>
        <v>✓ OK</v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4031</v>
      </c>
      <c r="C1353" s="25" t="s">
        <v>4032</v>
      </c>
      <c r="D1353" s="23" t="s">
        <v>3482</v>
      </c>
      <c r="E1353" s="42">
        <v>46129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42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70">
        <v>46248</v>
      </c>
      <c r="X1353" s="30" t="s">
        <v>55</v>
      </c>
      <c r="Y1353" s="30" t="s">
        <v>56</v>
      </c>
      <c r="Z1353" s="30" t="s">
        <v>57</v>
      </c>
      <c r="AA1353" s="30" t="s">
        <v>58</v>
      </c>
      <c r="AB1353" s="30" t="s">
        <v>56</v>
      </c>
      <c r="AC1353" s="27"/>
      <c r="AD1353" s="31" t="s">
        <v>57</v>
      </c>
      <c r="AE1353" s="32" t="str">
        <f t="shared" si="107"/>
        <v>✓ OK</v>
      </c>
      <c r="AF1353" s="33" t="s">
        <v>61</v>
      </c>
      <c r="AG1353" s="33" t="s">
        <v>55</v>
      </c>
      <c r="AH1353" s="33" t="s">
        <v>56</v>
      </c>
      <c r="AI1353" s="33" t="s">
        <v>57</v>
      </c>
      <c r="AJ1353" s="33" t="s">
        <v>58</v>
      </c>
      <c r="AK1353" s="33" t="s">
        <v>56</v>
      </c>
      <c r="AL1353" s="27"/>
      <c r="AM1353" s="34" t="s">
        <v>57</v>
      </c>
      <c r="AN1353" s="35" t="str">
        <f t="shared" si="108"/>
        <v>✓ OK</v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4033</v>
      </c>
      <c r="C1354" s="41" t="s">
        <v>4034</v>
      </c>
      <c r="D1354" s="39" t="s">
        <v>3482</v>
      </c>
      <c r="E1354" s="42">
        <v>46129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42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70">
        <v>46248</v>
      </c>
      <c r="X1354" s="30" t="s">
        <v>55</v>
      </c>
      <c r="Y1354" s="30" t="s">
        <v>56</v>
      </c>
      <c r="Z1354" s="30" t="s">
        <v>57</v>
      </c>
      <c r="AA1354" s="30" t="s">
        <v>58</v>
      </c>
      <c r="AB1354" s="30" t="s">
        <v>56</v>
      </c>
      <c r="AC1354" s="27"/>
      <c r="AD1354" s="31" t="s">
        <v>57</v>
      </c>
      <c r="AE1354" s="32" t="str">
        <f t="shared" si="107"/>
        <v>✓ OK</v>
      </c>
      <c r="AF1354" s="33" t="s">
        <v>61</v>
      </c>
      <c r="AG1354" s="33" t="s">
        <v>55</v>
      </c>
      <c r="AH1354" s="33" t="s">
        <v>56</v>
      </c>
      <c r="AI1354" s="33" t="s">
        <v>57</v>
      </c>
      <c r="AJ1354" s="33" t="s">
        <v>58</v>
      </c>
      <c r="AK1354" s="33" t="s">
        <v>56</v>
      </c>
      <c r="AL1354" s="27"/>
      <c r="AM1354" s="34" t="s">
        <v>57</v>
      </c>
      <c r="AN1354" s="35" t="str">
        <f t="shared" si="108"/>
        <v>✓ OK</v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4035</v>
      </c>
      <c r="C1355" s="25" t="s">
        <v>4036</v>
      </c>
      <c r="D1355" s="23" t="s">
        <v>3482</v>
      </c>
      <c r="E1355" s="42">
        <v>46129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42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70">
        <v>46248</v>
      </c>
      <c r="X1355" s="30" t="s">
        <v>55</v>
      </c>
      <c r="Y1355" s="30" t="s">
        <v>56</v>
      </c>
      <c r="Z1355" s="30" t="s">
        <v>57</v>
      </c>
      <c r="AA1355" s="30" t="s">
        <v>58</v>
      </c>
      <c r="AB1355" s="30" t="s">
        <v>56</v>
      </c>
      <c r="AC1355" s="27"/>
      <c r="AD1355" s="31" t="s">
        <v>57</v>
      </c>
      <c r="AE1355" s="32" t="str">
        <f t="shared" si="107"/>
        <v>✓ OK</v>
      </c>
      <c r="AF1355" s="33" t="s">
        <v>61</v>
      </c>
      <c r="AG1355" s="33" t="s">
        <v>55</v>
      </c>
      <c r="AH1355" s="33" t="s">
        <v>56</v>
      </c>
      <c r="AI1355" s="33" t="s">
        <v>57</v>
      </c>
      <c r="AJ1355" s="33" t="s">
        <v>58</v>
      </c>
      <c r="AK1355" s="33" t="s">
        <v>56</v>
      </c>
      <c r="AL1355" s="27"/>
      <c r="AM1355" s="34" t="s">
        <v>57</v>
      </c>
      <c r="AN1355" s="35" t="str">
        <f t="shared" si="108"/>
        <v>✓ OK</v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4037</v>
      </c>
      <c r="C1356" s="41" t="s">
        <v>4038</v>
      </c>
      <c r="D1356" s="39" t="s">
        <v>3482</v>
      </c>
      <c r="E1356" s="42">
        <v>46129</v>
      </c>
      <c r="F1356" s="26" t="s">
        <v>55</v>
      </c>
      <c r="G1356" s="26" t="s">
        <v>56</v>
      </c>
      <c r="H1356" s="26" t="s">
        <v>57</v>
      </c>
      <c r="I1356" s="26" t="s">
        <v>278</v>
      </c>
      <c r="J1356" s="26" t="s">
        <v>57</v>
      </c>
      <c r="K1356" s="27" t="s">
        <v>4020</v>
      </c>
      <c r="L1356" s="28" t="s">
        <v>56</v>
      </c>
      <c r="M1356" s="29" t="str">
        <f t="shared" si="105"/>
        <v>⚠ Check</v>
      </c>
      <c r="N1356" s="42">
        <v>46185</v>
      </c>
      <c r="O1356" s="26" t="s">
        <v>55</v>
      </c>
      <c r="P1356" s="26" t="s">
        <v>56</v>
      </c>
      <c r="Q1356" s="26" t="s">
        <v>57</v>
      </c>
      <c r="R1356" s="26" t="s">
        <v>278</v>
      </c>
      <c r="S1356" s="26" t="s">
        <v>57</v>
      </c>
      <c r="T1356" s="27" t="s">
        <v>4020</v>
      </c>
      <c r="U1356" s="28" t="s">
        <v>56</v>
      </c>
      <c r="V1356" s="29" t="str">
        <f t="shared" si="106"/>
        <v>⚠ Check</v>
      </c>
      <c r="W1356" s="70">
        <v>46248</v>
      </c>
      <c r="X1356" s="30" t="s">
        <v>55</v>
      </c>
      <c r="Y1356" s="30" t="s">
        <v>56</v>
      </c>
      <c r="Z1356" s="30" t="s">
        <v>57</v>
      </c>
      <c r="AA1356" s="30" t="s">
        <v>278</v>
      </c>
      <c r="AB1356" s="30" t="s">
        <v>57</v>
      </c>
      <c r="AC1356" s="27" t="s">
        <v>4020</v>
      </c>
      <c r="AD1356" s="31" t="s">
        <v>56</v>
      </c>
      <c r="AE1356" s="32" t="str">
        <f t="shared" si="107"/>
        <v>⚠ Check</v>
      </c>
      <c r="AF1356" s="33" t="s">
        <v>61</v>
      </c>
      <c r="AG1356" s="33" t="s">
        <v>55</v>
      </c>
      <c r="AH1356" s="33" t="s">
        <v>56</v>
      </c>
      <c r="AI1356" s="33" t="s">
        <v>57</v>
      </c>
      <c r="AJ1356" s="33" t="s">
        <v>58</v>
      </c>
      <c r="AK1356" s="33" t="s">
        <v>56</v>
      </c>
      <c r="AL1356" s="27"/>
      <c r="AM1356" s="34" t="s">
        <v>56</v>
      </c>
      <c r="AN1356" s="35" t="str">
        <f t="shared" si="108"/>
        <v>✓ OK</v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4039</v>
      </c>
      <c r="C1357" s="25" t="s">
        <v>4040</v>
      </c>
      <c r="D1357" s="23" t="s">
        <v>3482</v>
      </c>
      <c r="E1357" s="42">
        <v>46129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42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70">
        <v>46248</v>
      </c>
      <c r="X1357" s="30" t="s">
        <v>55</v>
      </c>
      <c r="Y1357" s="30" t="s">
        <v>56</v>
      </c>
      <c r="Z1357" s="30" t="s">
        <v>57</v>
      </c>
      <c r="AA1357" s="30" t="s">
        <v>58</v>
      </c>
      <c r="AB1357" s="30" t="s">
        <v>56</v>
      </c>
      <c r="AC1357" s="27"/>
      <c r="AD1357" s="31" t="s">
        <v>57</v>
      </c>
      <c r="AE1357" s="32" t="str">
        <f t="shared" si="107"/>
        <v>✓ OK</v>
      </c>
      <c r="AF1357" s="33" t="s">
        <v>61</v>
      </c>
      <c r="AG1357" s="33" t="s">
        <v>55</v>
      </c>
      <c r="AH1357" s="33" t="s">
        <v>56</v>
      </c>
      <c r="AI1357" s="33" t="s">
        <v>57</v>
      </c>
      <c r="AJ1357" s="33" t="s">
        <v>58</v>
      </c>
      <c r="AK1357" s="33" t="s">
        <v>56</v>
      </c>
      <c r="AL1357" s="27"/>
      <c r="AM1357" s="34" t="s">
        <v>57</v>
      </c>
      <c r="AN1357" s="35" t="str">
        <f t="shared" si="108"/>
        <v>✓ OK</v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4041</v>
      </c>
      <c r="C1358" s="41" t="s">
        <v>4042</v>
      </c>
      <c r="D1358" s="39" t="s">
        <v>3482</v>
      </c>
      <c r="E1358" s="42">
        <v>46129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42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70">
        <v>46248</v>
      </c>
      <c r="X1358" s="30" t="s">
        <v>55</v>
      </c>
      <c r="Y1358" s="30" t="s">
        <v>56</v>
      </c>
      <c r="Z1358" s="30" t="s">
        <v>57</v>
      </c>
      <c r="AA1358" s="30" t="s">
        <v>58</v>
      </c>
      <c r="AB1358" s="30" t="s">
        <v>56</v>
      </c>
      <c r="AC1358" s="27"/>
      <c r="AD1358" s="31" t="s">
        <v>57</v>
      </c>
      <c r="AE1358" s="32" t="str">
        <f t="shared" si="107"/>
        <v>✓ OK</v>
      </c>
      <c r="AF1358" s="33" t="s">
        <v>61</v>
      </c>
      <c r="AG1358" s="33" t="s">
        <v>55</v>
      </c>
      <c r="AH1358" s="33" t="s">
        <v>56</v>
      </c>
      <c r="AI1358" s="33" t="s">
        <v>57</v>
      </c>
      <c r="AJ1358" s="33" t="s">
        <v>58</v>
      </c>
      <c r="AK1358" s="33" t="s">
        <v>56</v>
      </c>
      <c r="AL1358" s="27"/>
      <c r="AM1358" s="34" t="s">
        <v>57</v>
      </c>
      <c r="AN1358" s="35" t="str">
        <f t="shared" si="108"/>
        <v>✓ OK</v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4043</v>
      </c>
      <c r="C1359" s="25" t="s">
        <v>4044</v>
      </c>
      <c r="D1359" s="23" t="s">
        <v>3482</v>
      </c>
      <c r="E1359" s="42">
        <v>46129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42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70">
        <v>46248</v>
      </c>
      <c r="X1359" s="30" t="s">
        <v>55</v>
      </c>
      <c r="Y1359" s="30" t="s">
        <v>56</v>
      </c>
      <c r="Z1359" s="30" t="s">
        <v>57</v>
      </c>
      <c r="AA1359" s="30" t="s">
        <v>58</v>
      </c>
      <c r="AB1359" s="30" t="s">
        <v>56</v>
      </c>
      <c r="AC1359" s="27"/>
      <c r="AD1359" s="31" t="s">
        <v>57</v>
      </c>
      <c r="AE1359" s="32" t="str">
        <f t="shared" si="107"/>
        <v>✓ OK</v>
      </c>
      <c r="AF1359" s="33" t="s">
        <v>61</v>
      </c>
      <c r="AG1359" s="33" t="s">
        <v>55</v>
      </c>
      <c r="AH1359" s="33" t="s">
        <v>56</v>
      </c>
      <c r="AI1359" s="33" t="s">
        <v>57</v>
      </c>
      <c r="AJ1359" s="33" t="s">
        <v>58</v>
      </c>
      <c r="AK1359" s="33" t="s">
        <v>56</v>
      </c>
      <c r="AL1359" s="27"/>
      <c r="AM1359" s="34" t="s">
        <v>57</v>
      </c>
      <c r="AN1359" s="35" t="str">
        <f t="shared" si="108"/>
        <v>✓ OK</v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4045</v>
      </c>
      <c r="C1360" s="41" t="s">
        <v>4046</v>
      </c>
      <c r="D1360" s="39" t="s">
        <v>3482</v>
      </c>
      <c r="E1360" s="42">
        <v>46129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42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70">
        <v>46248</v>
      </c>
      <c r="X1360" s="30" t="s">
        <v>55</v>
      </c>
      <c r="Y1360" s="30" t="s">
        <v>56</v>
      </c>
      <c r="Z1360" s="30" t="s">
        <v>57</v>
      </c>
      <c r="AA1360" s="30" t="s">
        <v>58</v>
      </c>
      <c r="AB1360" s="30" t="s">
        <v>56</v>
      </c>
      <c r="AC1360" s="27"/>
      <c r="AD1360" s="31" t="s">
        <v>57</v>
      </c>
      <c r="AE1360" s="32" t="str">
        <f t="shared" si="107"/>
        <v>✓ OK</v>
      </c>
      <c r="AF1360" s="33" t="s">
        <v>61</v>
      </c>
      <c r="AG1360" s="33" t="s">
        <v>55</v>
      </c>
      <c r="AH1360" s="33" t="s">
        <v>56</v>
      </c>
      <c r="AI1360" s="33" t="s">
        <v>57</v>
      </c>
      <c r="AJ1360" s="33" t="s">
        <v>58</v>
      </c>
      <c r="AK1360" s="33" t="s">
        <v>56</v>
      </c>
      <c r="AL1360" s="27"/>
      <c r="AM1360" s="34" t="s">
        <v>57</v>
      </c>
      <c r="AN1360" s="35" t="str">
        <f t="shared" si="108"/>
        <v>✓ OK</v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4047</v>
      </c>
      <c r="C1361" s="25" t="s">
        <v>4048</v>
      </c>
      <c r="D1361" s="23" t="s">
        <v>3482</v>
      </c>
      <c r="E1361" s="42">
        <v>46129</v>
      </c>
      <c r="F1361" s="26" t="s">
        <v>55</v>
      </c>
      <c r="G1361" s="26" t="s">
        <v>56</v>
      </c>
      <c r="H1361" s="26" t="s">
        <v>57</v>
      </c>
      <c r="I1361" s="26" t="s">
        <v>278</v>
      </c>
      <c r="J1361" s="26" t="s">
        <v>57</v>
      </c>
      <c r="K1361" s="27" t="s">
        <v>4020</v>
      </c>
      <c r="L1361" s="28" t="s">
        <v>56</v>
      </c>
      <c r="M1361" s="29" t="str">
        <f t="shared" si="105"/>
        <v>⚠ Check</v>
      </c>
      <c r="N1361" s="42">
        <v>46185</v>
      </c>
      <c r="O1361" s="26" t="s">
        <v>55</v>
      </c>
      <c r="P1361" s="26" t="s">
        <v>56</v>
      </c>
      <c r="Q1361" s="26" t="s">
        <v>57</v>
      </c>
      <c r="R1361" s="26" t="s">
        <v>278</v>
      </c>
      <c r="S1361" s="26" t="s">
        <v>57</v>
      </c>
      <c r="T1361" s="27" t="s">
        <v>4020</v>
      </c>
      <c r="U1361" s="28" t="s">
        <v>56</v>
      </c>
      <c r="V1361" s="29" t="str">
        <f t="shared" si="106"/>
        <v>⚠ Check</v>
      </c>
      <c r="W1361" s="70">
        <v>46248</v>
      </c>
      <c r="X1361" s="30" t="s">
        <v>55</v>
      </c>
      <c r="Y1361" s="30" t="s">
        <v>56</v>
      </c>
      <c r="Z1361" s="30" t="s">
        <v>57</v>
      </c>
      <c r="AA1361" s="30" t="s">
        <v>278</v>
      </c>
      <c r="AB1361" s="30" t="s">
        <v>57</v>
      </c>
      <c r="AC1361" s="27" t="s">
        <v>4020</v>
      </c>
      <c r="AD1361" s="31" t="s">
        <v>56</v>
      </c>
      <c r="AE1361" s="32" t="str">
        <f t="shared" si="107"/>
        <v>⚠ Check</v>
      </c>
      <c r="AF1361" s="33" t="s">
        <v>61</v>
      </c>
      <c r="AG1361" s="33" t="s">
        <v>55</v>
      </c>
      <c r="AH1361" s="33" t="s">
        <v>56</v>
      </c>
      <c r="AI1361" s="33" t="s">
        <v>57</v>
      </c>
      <c r="AJ1361" s="33" t="s">
        <v>58</v>
      </c>
      <c r="AK1361" s="33" t="s">
        <v>56</v>
      </c>
      <c r="AL1361" s="27"/>
      <c r="AM1361" s="34" t="s">
        <v>56</v>
      </c>
      <c r="AN1361" s="35" t="str">
        <f t="shared" si="108"/>
        <v>✓ OK</v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4049</v>
      </c>
      <c r="C1362" s="41" t="s">
        <v>4050</v>
      </c>
      <c r="D1362" s="39" t="s">
        <v>3482</v>
      </c>
      <c r="E1362" s="42">
        <v>46129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42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70">
        <v>46248</v>
      </c>
      <c r="X1362" s="30" t="s">
        <v>55</v>
      </c>
      <c r="Y1362" s="30" t="s">
        <v>56</v>
      </c>
      <c r="Z1362" s="30" t="s">
        <v>57</v>
      </c>
      <c r="AA1362" s="30" t="s">
        <v>58</v>
      </c>
      <c r="AB1362" s="30" t="s">
        <v>56</v>
      </c>
      <c r="AC1362" s="27"/>
      <c r="AD1362" s="31" t="s">
        <v>57</v>
      </c>
      <c r="AE1362" s="32" t="str">
        <f t="shared" si="107"/>
        <v>✓ OK</v>
      </c>
      <c r="AF1362" s="33" t="s">
        <v>61</v>
      </c>
      <c r="AG1362" s="33" t="s">
        <v>55</v>
      </c>
      <c r="AH1362" s="33" t="s">
        <v>56</v>
      </c>
      <c r="AI1362" s="33" t="s">
        <v>57</v>
      </c>
      <c r="AJ1362" s="33" t="s">
        <v>58</v>
      </c>
      <c r="AK1362" s="33" t="s">
        <v>56</v>
      </c>
      <c r="AL1362" s="27"/>
      <c r="AM1362" s="34" t="s">
        <v>57</v>
      </c>
      <c r="AN1362" s="35" t="str">
        <f t="shared" si="108"/>
        <v>✓ OK</v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4051</v>
      </c>
      <c r="C1363" s="25" t="s">
        <v>4052</v>
      </c>
      <c r="D1363" s="23" t="s">
        <v>3482</v>
      </c>
      <c r="E1363" s="42">
        <v>46129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42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70">
        <v>46248</v>
      </c>
      <c r="X1363" s="30" t="s">
        <v>55</v>
      </c>
      <c r="Y1363" s="30" t="s">
        <v>56</v>
      </c>
      <c r="Z1363" s="30" t="s">
        <v>57</v>
      </c>
      <c r="AA1363" s="30" t="s">
        <v>58</v>
      </c>
      <c r="AB1363" s="30" t="s">
        <v>56</v>
      </c>
      <c r="AC1363" s="27"/>
      <c r="AD1363" s="31" t="s">
        <v>57</v>
      </c>
      <c r="AE1363" s="32" t="str">
        <f t="shared" si="107"/>
        <v>✓ OK</v>
      </c>
      <c r="AF1363" s="33" t="s">
        <v>61</v>
      </c>
      <c r="AG1363" s="33" t="s">
        <v>55</v>
      </c>
      <c r="AH1363" s="33" t="s">
        <v>56</v>
      </c>
      <c r="AI1363" s="33" t="s">
        <v>57</v>
      </c>
      <c r="AJ1363" s="33" t="s">
        <v>58</v>
      </c>
      <c r="AK1363" s="33" t="s">
        <v>56</v>
      </c>
      <c r="AL1363" s="27"/>
      <c r="AM1363" s="34" t="s">
        <v>57</v>
      </c>
      <c r="AN1363" s="35" t="str">
        <f t="shared" si="108"/>
        <v>✓ OK</v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4053</v>
      </c>
      <c r="C1364" s="41" t="s">
        <v>4054</v>
      </c>
      <c r="D1364" s="39" t="s">
        <v>3482</v>
      </c>
      <c r="E1364" s="42">
        <v>46129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42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70">
        <v>46248</v>
      </c>
      <c r="X1364" s="30" t="s">
        <v>55</v>
      </c>
      <c r="Y1364" s="30" t="s">
        <v>56</v>
      </c>
      <c r="Z1364" s="30" t="s">
        <v>57</v>
      </c>
      <c r="AA1364" s="30" t="s">
        <v>58</v>
      </c>
      <c r="AB1364" s="30" t="s">
        <v>56</v>
      </c>
      <c r="AC1364" s="27"/>
      <c r="AD1364" s="31" t="s">
        <v>57</v>
      </c>
      <c r="AE1364" s="32" t="str">
        <f t="shared" si="107"/>
        <v>✓ OK</v>
      </c>
      <c r="AF1364" s="33" t="s">
        <v>61</v>
      </c>
      <c r="AG1364" s="33" t="s">
        <v>55</v>
      </c>
      <c r="AH1364" s="33" t="s">
        <v>56</v>
      </c>
      <c r="AI1364" s="33" t="s">
        <v>57</v>
      </c>
      <c r="AJ1364" s="33" t="s">
        <v>58</v>
      </c>
      <c r="AK1364" s="33" t="s">
        <v>56</v>
      </c>
      <c r="AL1364" s="27"/>
      <c r="AM1364" s="34" t="s">
        <v>57</v>
      </c>
      <c r="AN1364" s="35" t="str">
        <f t="shared" si="108"/>
        <v>✓ OK</v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4055</v>
      </c>
      <c r="C1365" s="25" t="s">
        <v>4056</v>
      </c>
      <c r="D1365" s="23" t="s">
        <v>3482</v>
      </c>
      <c r="E1365" s="42">
        <v>46129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42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70">
        <v>46248</v>
      </c>
      <c r="X1365" s="30" t="s">
        <v>55</v>
      </c>
      <c r="Y1365" s="30" t="s">
        <v>56</v>
      </c>
      <c r="Z1365" s="30" t="s">
        <v>57</v>
      </c>
      <c r="AA1365" s="30" t="s">
        <v>58</v>
      </c>
      <c r="AB1365" s="30" t="s">
        <v>56</v>
      </c>
      <c r="AC1365" s="27"/>
      <c r="AD1365" s="31" t="s">
        <v>57</v>
      </c>
      <c r="AE1365" s="32" t="str">
        <f t="shared" si="107"/>
        <v>✓ OK</v>
      </c>
      <c r="AF1365" s="33" t="s">
        <v>61</v>
      </c>
      <c r="AG1365" s="33" t="s">
        <v>55</v>
      </c>
      <c r="AH1365" s="33" t="s">
        <v>56</v>
      </c>
      <c r="AI1365" s="33" t="s">
        <v>57</v>
      </c>
      <c r="AJ1365" s="33" t="s">
        <v>58</v>
      </c>
      <c r="AK1365" s="33" t="s">
        <v>56</v>
      </c>
      <c r="AL1365" s="27"/>
      <c r="AM1365" s="34" t="s">
        <v>57</v>
      </c>
      <c r="AN1365" s="35" t="str">
        <f t="shared" si="108"/>
        <v>✓ OK</v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4057</v>
      </c>
      <c r="C1366" s="41" t="s">
        <v>4058</v>
      </c>
      <c r="D1366" s="39" t="s">
        <v>3482</v>
      </c>
      <c r="E1366" s="42">
        <v>46129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42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70">
        <v>46248</v>
      </c>
      <c r="X1366" s="30" t="s">
        <v>55</v>
      </c>
      <c r="Y1366" s="30" t="s">
        <v>56</v>
      </c>
      <c r="Z1366" s="30" t="s">
        <v>57</v>
      </c>
      <c r="AA1366" s="30" t="s">
        <v>58</v>
      </c>
      <c r="AB1366" s="30" t="s">
        <v>56</v>
      </c>
      <c r="AC1366" s="27"/>
      <c r="AD1366" s="31" t="s">
        <v>57</v>
      </c>
      <c r="AE1366" s="32" t="str">
        <f t="shared" si="107"/>
        <v>✓ OK</v>
      </c>
      <c r="AF1366" s="33" t="s">
        <v>61</v>
      </c>
      <c r="AG1366" s="33" t="s">
        <v>55</v>
      </c>
      <c r="AH1366" s="33" t="s">
        <v>56</v>
      </c>
      <c r="AI1366" s="33" t="s">
        <v>57</v>
      </c>
      <c r="AJ1366" s="33" t="s">
        <v>58</v>
      </c>
      <c r="AK1366" s="33" t="s">
        <v>56</v>
      </c>
      <c r="AL1366" s="27"/>
      <c r="AM1366" s="34" t="s">
        <v>57</v>
      </c>
      <c r="AN1366" s="35" t="str">
        <f t="shared" si="108"/>
        <v>✓ OK</v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4059</v>
      </c>
      <c r="C1367" s="25" t="s">
        <v>4060</v>
      </c>
      <c r="D1367" s="23" t="s">
        <v>3482</v>
      </c>
      <c r="E1367" s="42">
        <v>46129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42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70">
        <v>46248</v>
      </c>
      <c r="X1367" s="30" t="s">
        <v>55</v>
      </c>
      <c r="Y1367" s="30" t="s">
        <v>56</v>
      </c>
      <c r="Z1367" s="30" t="s">
        <v>57</v>
      </c>
      <c r="AA1367" s="30" t="s">
        <v>58</v>
      </c>
      <c r="AB1367" s="30" t="s">
        <v>56</v>
      </c>
      <c r="AC1367" s="27"/>
      <c r="AD1367" s="31" t="s">
        <v>57</v>
      </c>
      <c r="AE1367" s="32" t="str">
        <f t="shared" si="107"/>
        <v>✓ OK</v>
      </c>
      <c r="AF1367" s="33" t="s">
        <v>61</v>
      </c>
      <c r="AG1367" s="33" t="s">
        <v>55</v>
      </c>
      <c r="AH1367" s="33" t="s">
        <v>56</v>
      </c>
      <c r="AI1367" s="33" t="s">
        <v>57</v>
      </c>
      <c r="AJ1367" s="33" t="s">
        <v>58</v>
      </c>
      <c r="AK1367" s="33" t="s">
        <v>56</v>
      </c>
      <c r="AL1367" s="27"/>
      <c r="AM1367" s="34" t="s">
        <v>57</v>
      </c>
      <c r="AN1367" s="35" t="str">
        <f t="shared" si="108"/>
        <v>✓ OK</v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4061</v>
      </c>
      <c r="C1368" s="41" t="s">
        <v>4062</v>
      </c>
      <c r="D1368" s="39" t="s">
        <v>3482</v>
      </c>
      <c r="E1368" s="42">
        <v>46129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42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70">
        <v>46248</v>
      </c>
      <c r="X1368" s="30" t="s">
        <v>55</v>
      </c>
      <c r="Y1368" s="30" t="s">
        <v>56</v>
      </c>
      <c r="Z1368" s="30" t="s">
        <v>57</v>
      </c>
      <c r="AA1368" s="30" t="s">
        <v>58</v>
      </c>
      <c r="AB1368" s="30" t="s">
        <v>56</v>
      </c>
      <c r="AC1368" s="27"/>
      <c r="AD1368" s="31" t="s">
        <v>57</v>
      </c>
      <c r="AE1368" s="32" t="str">
        <f t="shared" si="107"/>
        <v>✓ OK</v>
      </c>
      <c r="AF1368" s="33" t="s">
        <v>61</v>
      </c>
      <c r="AG1368" s="33" t="s">
        <v>55</v>
      </c>
      <c r="AH1368" s="33" t="s">
        <v>56</v>
      </c>
      <c r="AI1368" s="33" t="s">
        <v>57</v>
      </c>
      <c r="AJ1368" s="33" t="s">
        <v>58</v>
      </c>
      <c r="AK1368" s="33" t="s">
        <v>56</v>
      </c>
      <c r="AL1368" s="27"/>
      <c r="AM1368" s="34" t="s">
        <v>57</v>
      </c>
      <c r="AN1368" s="35" t="str">
        <f t="shared" si="108"/>
        <v>✓ OK</v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4063</v>
      </c>
      <c r="C1369" s="25" t="s">
        <v>4064</v>
      </c>
      <c r="D1369" s="23" t="s">
        <v>3482</v>
      </c>
      <c r="E1369" s="42">
        <v>46129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42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70">
        <v>46248</v>
      </c>
      <c r="X1369" s="30" t="s">
        <v>55</v>
      </c>
      <c r="Y1369" s="30" t="s">
        <v>56</v>
      </c>
      <c r="Z1369" s="30" t="s">
        <v>57</v>
      </c>
      <c r="AA1369" s="30" t="s">
        <v>58</v>
      </c>
      <c r="AB1369" s="30" t="s">
        <v>56</v>
      </c>
      <c r="AC1369" s="27"/>
      <c r="AD1369" s="31" t="s">
        <v>57</v>
      </c>
      <c r="AE1369" s="32" t="str">
        <f t="shared" si="107"/>
        <v>✓ OK</v>
      </c>
      <c r="AF1369" s="33" t="s">
        <v>61</v>
      </c>
      <c r="AG1369" s="33" t="s">
        <v>55</v>
      </c>
      <c r="AH1369" s="33" t="s">
        <v>56</v>
      </c>
      <c r="AI1369" s="33" t="s">
        <v>57</v>
      </c>
      <c r="AJ1369" s="33" t="s">
        <v>58</v>
      </c>
      <c r="AK1369" s="33" t="s">
        <v>56</v>
      </c>
      <c r="AL1369" s="27"/>
      <c r="AM1369" s="34" t="s">
        <v>57</v>
      </c>
      <c r="AN1369" s="35" t="str">
        <f t="shared" si="108"/>
        <v>✓ OK</v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4065</v>
      </c>
      <c r="C1370" s="41" t="s">
        <v>4066</v>
      </c>
      <c r="D1370" s="39" t="s">
        <v>3482</v>
      </c>
      <c r="E1370" s="42">
        <v>46129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42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70">
        <v>46248</v>
      </c>
      <c r="X1370" s="30" t="s">
        <v>55</v>
      </c>
      <c r="Y1370" s="30" t="s">
        <v>56</v>
      </c>
      <c r="Z1370" s="30" t="s">
        <v>57</v>
      </c>
      <c r="AA1370" s="30" t="s">
        <v>58</v>
      </c>
      <c r="AB1370" s="30" t="s">
        <v>56</v>
      </c>
      <c r="AC1370" s="27"/>
      <c r="AD1370" s="31" t="s">
        <v>57</v>
      </c>
      <c r="AE1370" s="32" t="str">
        <f t="shared" si="107"/>
        <v>✓ OK</v>
      </c>
      <c r="AF1370" s="33" t="s">
        <v>61</v>
      </c>
      <c r="AG1370" s="33" t="s">
        <v>55</v>
      </c>
      <c r="AH1370" s="33" t="s">
        <v>56</v>
      </c>
      <c r="AI1370" s="33" t="s">
        <v>57</v>
      </c>
      <c r="AJ1370" s="33" t="s">
        <v>58</v>
      </c>
      <c r="AK1370" s="33" t="s">
        <v>56</v>
      </c>
      <c r="AL1370" s="27"/>
      <c r="AM1370" s="34" t="s">
        <v>57</v>
      </c>
      <c r="AN1370" s="35" t="str">
        <f t="shared" si="108"/>
        <v>✓ OK</v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4067</v>
      </c>
      <c r="C1371" s="25" t="s">
        <v>4068</v>
      </c>
      <c r="D1371" s="23" t="s">
        <v>3482</v>
      </c>
      <c r="E1371" s="42">
        <v>46129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42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70">
        <v>46248</v>
      </c>
      <c r="X1371" s="30" t="s">
        <v>55</v>
      </c>
      <c r="Y1371" s="30" t="s">
        <v>56</v>
      </c>
      <c r="Z1371" s="30" t="s">
        <v>57</v>
      </c>
      <c r="AA1371" s="30" t="s">
        <v>58</v>
      </c>
      <c r="AB1371" s="30" t="s">
        <v>56</v>
      </c>
      <c r="AC1371" s="27"/>
      <c r="AD1371" s="31" t="s">
        <v>57</v>
      </c>
      <c r="AE1371" s="32" t="str">
        <f t="shared" si="107"/>
        <v>✓ OK</v>
      </c>
      <c r="AF1371" s="33" t="s">
        <v>61</v>
      </c>
      <c r="AG1371" s="33" t="s">
        <v>55</v>
      </c>
      <c r="AH1371" s="33" t="s">
        <v>56</v>
      </c>
      <c r="AI1371" s="33" t="s">
        <v>57</v>
      </c>
      <c r="AJ1371" s="33" t="s">
        <v>58</v>
      </c>
      <c r="AK1371" s="33" t="s">
        <v>56</v>
      </c>
      <c r="AL1371" s="27"/>
      <c r="AM1371" s="34" t="s">
        <v>57</v>
      </c>
      <c r="AN1371" s="35" t="str">
        <f t="shared" si="108"/>
        <v>✓ OK</v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4069</v>
      </c>
      <c r="C1372" s="41" t="s">
        <v>4070</v>
      </c>
      <c r="D1372" s="39" t="s">
        <v>3482</v>
      </c>
      <c r="E1372" s="42">
        <v>46129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42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70">
        <v>46248</v>
      </c>
      <c r="X1372" s="30" t="s">
        <v>55</v>
      </c>
      <c r="Y1372" s="30" t="s">
        <v>56</v>
      </c>
      <c r="Z1372" s="30" t="s">
        <v>57</v>
      </c>
      <c r="AA1372" s="30" t="s">
        <v>58</v>
      </c>
      <c r="AB1372" s="30" t="s">
        <v>56</v>
      </c>
      <c r="AC1372" s="27"/>
      <c r="AD1372" s="31" t="s">
        <v>57</v>
      </c>
      <c r="AE1372" s="32" t="str">
        <f t="shared" si="107"/>
        <v>✓ OK</v>
      </c>
      <c r="AF1372" s="33" t="s">
        <v>61</v>
      </c>
      <c r="AG1372" s="33" t="s">
        <v>55</v>
      </c>
      <c r="AH1372" s="33" t="s">
        <v>56</v>
      </c>
      <c r="AI1372" s="33" t="s">
        <v>57</v>
      </c>
      <c r="AJ1372" s="33" t="s">
        <v>58</v>
      </c>
      <c r="AK1372" s="33" t="s">
        <v>56</v>
      </c>
      <c r="AL1372" s="27"/>
      <c r="AM1372" s="34" t="s">
        <v>57</v>
      </c>
      <c r="AN1372" s="35" t="str">
        <f t="shared" si="108"/>
        <v>✓ OK</v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4071</v>
      </c>
      <c r="C1373" s="25" t="s">
        <v>4072</v>
      </c>
      <c r="D1373" s="23" t="s">
        <v>3482</v>
      </c>
      <c r="E1373" s="42">
        <v>46129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42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70">
        <v>46248</v>
      </c>
      <c r="X1373" s="30" t="s">
        <v>55</v>
      </c>
      <c r="Y1373" s="30" t="s">
        <v>56</v>
      </c>
      <c r="Z1373" s="30" t="s">
        <v>57</v>
      </c>
      <c r="AA1373" s="30" t="s">
        <v>58</v>
      </c>
      <c r="AB1373" s="30" t="s">
        <v>56</v>
      </c>
      <c r="AC1373" s="27"/>
      <c r="AD1373" s="31" t="s">
        <v>57</v>
      </c>
      <c r="AE1373" s="32" t="str">
        <f t="shared" si="107"/>
        <v>✓ OK</v>
      </c>
      <c r="AF1373" s="33" t="s">
        <v>61</v>
      </c>
      <c r="AG1373" s="33" t="s">
        <v>55</v>
      </c>
      <c r="AH1373" s="33" t="s">
        <v>56</v>
      </c>
      <c r="AI1373" s="33" t="s">
        <v>57</v>
      </c>
      <c r="AJ1373" s="33" t="s">
        <v>58</v>
      </c>
      <c r="AK1373" s="33" t="s">
        <v>56</v>
      </c>
      <c r="AL1373" s="27"/>
      <c r="AM1373" s="34" t="s">
        <v>57</v>
      </c>
      <c r="AN1373" s="35" t="str">
        <f t="shared" si="108"/>
        <v>✓ OK</v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4073</v>
      </c>
      <c r="C1374" s="41" t="s">
        <v>4074</v>
      </c>
      <c r="D1374" s="39" t="s">
        <v>3482</v>
      </c>
      <c r="E1374" s="42">
        <v>46129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42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70">
        <v>46248</v>
      </c>
      <c r="X1374" s="30" t="s">
        <v>55</v>
      </c>
      <c r="Y1374" s="30" t="s">
        <v>56</v>
      </c>
      <c r="Z1374" s="30" t="s">
        <v>57</v>
      </c>
      <c r="AA1374" s="30" t="s">
        <v>58</v>
      </c>
      <c r="AB1374" s="30" t="s">
        <v>56</v>
      </c>
      <c r="AC1374" s="27"/>
      <c r="AD1374" s="31" t="s">
        <v>57</v>
      </c>
      <c r="AE1374" s="32" t="str">
        <f t="shared" si="107"/>
        <v>✓ OK</v>
      </c>
      <c r="AF1374" s="33" t="s">
        <v>61</v>
      </c>
      <c r="AG1374" s="33" t="s">
        <v>55</v>
      </c>
      <c r="AH1374" s="33" t="s">
        <v>56</v>
      </c>
      <c r="AI1374" s="33" t="s">
        <v>57</v>
      </c>
      <c r="AJ1374" s="33" t="s">
        <v>58</v>
      </c>
      <c r="AK1374" s="33" t="s">
        <v>56</v>
      </c>
      <c r="AL1374" s="27"/>
      <c r="AM1374" s="34" t="s">
        <v>57</v>
      </c>
      <c r="AN1374" s="35" t="str">
        <f t="shared" si="108"/>
        <v>✓ OK</v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4075</v>
      </c>
      <c r="C1375" s="25" t="s">
        <v>4076</v>
      </c>
      <c r="D1375" s="23" t="s">
        <v>3482</v>
      </c>
      <c r="E1375" s="42">
        <v>46129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42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70">
        <v>46248</v>
      </c>
      <c r="X1375" s="30" t="s">
        <v>55</v>
      </c>
      <c r="Y1375" s="30" t="s">
        <v>56</v>
      </c>
      <c r="Z1375" s="30" t="s">
        <v>57</v>
      </c>
      <c r="AA1375" s="30" t="s">
        <v>58</v>
      </c>
      <c r="AB1375" s="30" t="s">
        <v>56</v>
      </c>
      <c r="AC1375" s="27"/>
      <c r="AD1375" s="31" t="s">
        <v>57</v>
      </c>
      <c r="AE1375" s="32" t="str">
        <f t="shared" si="107"/>
        <v>✓ OK</v>
      </c>
      <c r="AF1375" s="33" t="s">
        <v>61</v>
      </c>
      <c r="AG1375" s="33" t="s">
        <v>55</v>
      </c>
      <c r="AH1375" s="33" t="s">
        <v>56</v>
      </c>
      <c r="AI1375" s="33" t="s">
        <v>57</v>
      </c>
      <c r="AJ1375" s="33" t="s">
        <v>58</v>
      </c>
      <c r="AK1375" s="33" t="s">
        <v>56</v>
      </c>
      <c r="AL1375" s="27"/>
      <c r="AM1375" s="34" t="s">
        <v>57</v>
      </c>
      <c r="AN1375" s="35" t="str">
        <f t="shared" si="108"/>
        <v>✓ OK</v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4077</v>
      </c>
      <c r="C1376" s="41" t="s">
        <v>4078</v>
      </c>
      <c r="D1376" s="39" t="s">
        <v>3482</v>
      </c>
      <c r="E1376" s="42">
        <v>46129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42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70">
        <v>46248</v>
      </c>
      <c r="X1376" s="30" t="s">
        <v>55</v>
      </c>
      <c r="Y1376" s="30" t="s">
        <v>56</v>
      </c>
      <c r="Z1376" s="30" t="s">
        <v>57</v>
      </c>
      <c r="AA1376" s="30" t="s">
        <v>58</v>
      </c>
      <c r="AB1376" s="30" t="s">
        <v>56</v>
      </c>
      <c r="AC1376" s="27"/>
      <c r="AD1376" s="31" t="s">
        <v>57</v>
      </c>
      <c r="AE1376" s="32" t="str">
        <f t="shared" si="107"/>
        <v>✓ OK</v>
      </c>
      <c r="AF1376" s="33" t="s">
        <v>61</v>
      </c>
      <c r="AG1376" s="33" t="s">
        <v>55</v>
      </c>
      <c r="AH1376" s="33" t="s">
        <v>56</v>
      </c>
      <c r="AI1376" s="33" t="s">
        <v>57</v>
      </c>
      <c r="AJ1376" s="33" t="s">
        <v>58</v>
      </c>
      <c r="AK1376" s="33" t="s">
        <v>56</v>
      </c>
      <c r="AL1376" s="27"/>
      <c r="AM1376" s="34" t="s">
        <v>57</v>
      </c>
      <c r="AN1376" s="35" t="str">
        <f t="shared" si="108"/>
        <v>✓ OK</v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4079</v>
      </c>
      <c r="C1377" s="25" t="s">
        <v>4080</v>
      </c>
      <c r="D1377" s="23" t="s">
        <v>3482</v>
      </c>
      <c r="E1377" s="42">
        <v>46129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42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70">
        <v>46248</v>
      </c>
      <c r="X1377" s="30" t="s">
        <v>55</v>
      </c>
      <c r="Y1377" s="30" t="s">
        <v>56</v>
      </c>
      <c r="Z1377" s="30" t="s">
        <v>57</v>
      </c>
      <c r="AA1377" s="30" t="s">
        <v>58</v>
      </c>
      <c r="AB1377" s="30" t="s">
        <v>56</v>
      </c>
      <c r="AC1377" s="27"/>
      <c r="AD1377" s="31" t="s">
        <v>57</v>
      </c>
      <c r="AE1377" s="32" t="str">
        <f t="shared" si="107"/>
        <v>✓ OK</v>
      </c>
      <c r="AF1377" s="33" t="s">
        <v>61</v>
      </c>
      <c r="AG1377" s="33" t="s">
        <v>55</v>
      </c>
      <c r="AH1377" s="33" t="s">
        <v>56</v>
      </c>
      <c r="AI1377" s="33" t="s">
        <v>57</v>
      </c>
      <c r="AJ1377" s="33" t="s">
        <v>58</v>
      </c>
      <c r="AK1377" s="33" t="s">
        <v>56</v>
      </c>
      <c r="AL1377" s="27"/>
      <c r="AM1377" s="34" t="s">
        <v>57</v>
      </c>
      <c r="AN1377" s="35" t="str">
        <f t="shared" si="108"/>
        <v>✓ OK</v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4081</v>
      </c>
      <c r="C1378" s="41" t="s">
        <v>4082</v>
      </c>
      <c r="D1378" s="39" t="s">
        <v>3482</v>
      </c>
      <c r="E1378" s="42">
        <v>46129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42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70">
        <v>46248</v>
      </c>
      <c r="X1378" s="30" t="s">
        <v>55</v>
      </c>
      <c r="Y1378" s="30" t="s">
        <v>56</v>
      </c>
      <c r="Z1378" s="30" t="s">
        <v>57</v>
      </c>
      <c r="AA1378" s="30" t="s">
        <v>58</v>
      </c>
      <c r="AB1378" s="30" t="s">
        <v>56</v>
      </c>
      <c r="AC1378" s="27"/>
      <c r="AD1378" s="31" t="s">
        <v>57</v>
      </c>
      <c r="AE1378" s="32" t="str">
        <f t="shared" si="107"/>
        <v>✓ OK</v>
      </c>
      <c r="AF1378" s="33" t="s">
        <v>61</v>
      </c>
      <c r="AG1378" s="33" t="s">
        <v>55</v>
      </c>
      <c r="AH1378" s="33" t="s">
        <v>56</v>
      </c>
      <c r="AI1378" s="33" t="s">
        <v>57</v>
      </c>
      <c r="AJ1378" s="33" t="s">
        <v>58</v>
      </c>
      <c r="AK1378" s="33" t="s">
        <v>56</v>
      </c>
      <c r="AL1378" s="27"/>
      <c r="AM1378" s="34" t="s">
        <v>57</v>
      </c>
      <c r="AN1378" s="35" t="str">
        <f t="shared" si="108"/>
        <v>✓ OK</v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4083</v>
      </c>
      <c r="C1379" s="25" t="s">
        <v>4084</v>
      </c>
      <c r="D1379" s="23" t="s">
        <v>3482</v>
      </c>
      <c r="E1379" s="42">
        <v>46129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42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70">
        <v>46248</v>
      </c>
      <c r="X1379" s="30" t="s">
        <v>55</v>
      </c>
      <c r="Y1379" s="30" t="s">
        <v>56</v>
      </c>
      <c r="Z1379" s="30" t="s">
        <v>57</v>
      </c>
      <c r="AA1379" s="30" t="s">
        <v>58</v>
      </c>
      <c r="AB1379" s="30" t="s">
        <v>56</v>
      </c>
      <c r="AC1379" s="27"/>
      <c r="AD1379" s="31" t="s">
        <v>57</v>
      </c>
      <c r="AE1379" s="32" t="str">
        <f t="shared" si="107"/>
        <v>✓ OK</v>
      </c>
      <c r="AF1379" s="33" t="s">
        <v>61</v>
      </c>
      <c r="AG1379" s="33" t="s">
        <v>55</v>
      </c>
      <c r="AH1379" s="33" t="s">
        <v>56</v>
      </c>
      <c r="AI1379" s="33" t="s">
        <v>57</v>
      </c>
      <c r="AJ1379" s="33" t="s">
        <v>58</v>
      </c>
      <c r="AK1379" s="33" t="s">
        <v>56</v>
      </c>
      <c r="AL1379" s="27"/>
      <c r="AM1379" s="34" t="s">
        <v>57</v>
      </c>
      <c r="AN1379" s="35" t="str">
        <f t="shared" si="108"/>
        <v>✓ OK</v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4085</v>
      </c>
      <c r="C1380" s="41" t="s">
        <v>4086</v>
      </c>
      <c r="D1380" s="39" t="s">
        <v>3482</v>
      </c>
      <c r="E1380" s="42">
        <v>46129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42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70">
        <v>46248</v>
      </c>
      <c r="X1380" s="30" t="s">
        <v>55</v>
      </c>
      <c r="Y1380" s="30" t="s">
        <v>56</v>
      </c>
      <c r="Z1380" s="30" t="s">
        <v>57</v>
      </c>
      <c r="AA1380" s="30" t="s">
        <v>58</v>
      </c>
      <c r="AB1380" s="30" t="s">
        <v>56</v>
      </c>
      <c r="AC1380" s="27"/>
      <c r="AD1380" s="31" t="s">
        <v>57</v>
      </c>
      <c r="AE1380" s="32" t="str">
        <f t="shared" si="107"/>
        <v>✓ OK</v>
      </c>
      <c r="AF1380" s="33" t="s">
        <v>61</v>
      </c>
      <c r="AG1380" s="33" t="s">
        <v>55</v>
      </c>
      <c r="AH1380" s="33" t="s">
        <v>56</v>
      </c>
      <c r="AI1380" s="33" t="s">
        <v>57</v>
      </c>
      <c r="AJ1380" s="33" t="s">
        <v>58</v>
      </c>
      <c r="AK1380" s="33" t="s">
        <v>56</v>
      </c>
      <c r="AL1380" s="27"/>
      <c r="AM1380" s="34" t="s">
        <v>57</v>
      </c>
      <c r="AN1380" s="35" t="str">
        <f t="shared" si="108"/>
        <v>✓ OK</v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4087</v>
      </c>
      <c r="C1381" s="25" t="s">
        <v>4088</v>
      </c>
      <c r="D1381" s="23" t="s">
        <v>3482</v>
      </c>
      <c r="E1381" s="42">
        <v>46129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42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70">
        <v>46248</v>
      </c>
      <c r="X1381" s="30" t="s">
        <v>55</v>
      </c>
      <c r="Y1381" s="30" t="s">
        <v>56</v>
      </c>
      <c r="Z1381" s="30" t="s">
        <v>57</v>
      </c>
      <c r="AA1381" s="30" t="s">
        <v>58</v>
      </c>
      <c r="AB1381" s="30" t="s">
        <v>56</v>
      </c>
      <c r="AC1381" s="27"/>
      <c r="AD1381" s="31" t="s">
        <v>57</v>
      </c>
      <c r="AE1381" s="32" t="str">
        <f t="shared" si="107"/>
        <v>✓ OK</v>
      </c>
      <c r="AF1381" s="33" t="s">
        <v>61</v>
      </c>
      <c r="AG1381" s="33" t="s">
        <v>55</v>
      </c>
      <c r="AH1381" s="33" t="s">
        <v>56</v>
      </c>
      <c r="AI1381" s="33" t="s">
        <v>57</v>
      </c>
      <c r="AJ1381" s="33" t="s">
        <v>58</v>
      </c>
      <c r="AK1381" s="33" t="s">
        <v>56</v>
      </c>
      <c r="AL1381" s="27"/>
      <c r="AM1381" s="34" t="s">
        <v>57</v>
      </c>
      <c r="AN1381" s="35" t="str">
        <f t="shared" si="108"/>
        <v>✓ OK</v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4089</v>
      </c>
      <c r="C1382" s="41" t="s">
        <v>4090</v>
      </c>
      <c r="D1382" s="39" t="s">
        <v>3482</v>
      </c>
      <c r="E1382" s="42">
        <v>46129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42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70">
        <v>46248</v>
      </c>
      <c r="X1382" s="30" t="s">
        <v>55</v>
      </c>
      <c r="Y1382" s="30" t="s">
        <v>56</v>
      </c>
      <c r="Z1382" s="30" t="s">
        <v>57</v>
      </c>
      <c r="AA1382" s="30" t="s">
        <v>58</v>
      </c>
      <c r="AB1382" s="30" t="s">
        <v>56</v>
      </c>
      <c r="AC1382" s="27"/>
      <c r="AD1382" s="31" t="s">
        <v>57</v>
      </c>
      <c r="AE1382" s="32" t="str">
        <f t="shared" si="107"/>
        <v>✓ OK</v>
      </c>
      <c r="AF1382" s="33" t="s">
        <v>61</v>
      </c>
      <c r="AG1382" s="33" t="s">
        <v>55</v>
      </c>
      <c r="AH1382" s="33" t="s">
        <v>56</v>
      </c>
      <c r="AI1382" s="33" t="s">
        <v>57</v>
      </c>
      <c r="AJ1382" s="33" t="s">
        <v>58</v>
      </c>
      <c r="AK1382" s="33" t="s">
        <v>56</v>
      </c>
      <c r="AL1382" s="27"/>
      <c r="AM1382" s="34" t="s">
        <v>57</v>
      </c>
      <c r="AN1382" s="35" t="str">
        <f t="shared" si="108"/>
        <v>✓ OK</v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4091</v>
      </c>
      <c r="C1383" s="25" t="s">
        <v>4092</v>
      </c>
      <c r="D1383" s="23" t="s">
        <v>3482</v>
      </c>
      <c r="E1383" s="42">
        <v>46129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42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70">
        <v>46248</v>
      </c>
      <c r="X1383" s="30" t="s">
        <v>55</v>
      </c>
      <c r="Y1383" s="30" t="s">
        <v>56</v>
      </c>
      <c r="Z1383" s="30" t="s">
        <v>57</v>
      </c>
      <c r="AA1383" s="30" t="s">
        <v>58</v>
      </c>
      <c r="AB1383" s="30" t="s">
        <v>56</v>
      </c>
      <c r="AC1383" s="27"/>
      <c r="AD1383" s="31" t="s">
        <v>57</v>
      </c>
      <c r="AE1383" s="32" t="str">
        <f t="shared" si="107"/>
        <v>✓ OK</v>
      </c>
      <c r="AF1383" s="33" t="s">
        <v>61</v>
      </c>
      <c r="AG1383" s="33" t="s">
        <v>55</v>
      </c>
      <c r="AH1383" s="33" t="s">
        <v>56</v>
      </c>
      <c r="AI1383" s="33" t="s">
        <v>57</v>
      </c>
      <c r="AJ1383" s="33" t="s">
        <v>58</v>
      </c>
      <c r="AK1383" s="33" t="s">
        <v>56</v>
      </c>
      <c r="AL1383" s="27"/>
      <c r="AM1383" s="34" t="s">
        <v>57</v>
      </c>
      <c r="AN1383" s="35" t="str">
        <f t="shared" si="108"/>
        <v>✓ OK</v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4093</v>
      </c>
      <c r="C1384" s="41" t="s">
        <v>4094</v>
      </c>
      <c r="D1384" s="39" t="s">
        <v>3482</v>
      </c>
      <c r="E1384" s="42">
        <v>46129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42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70">
        <v>46248</v>
      </c>
      <c r="X1384" s="30" t="s">
        <v>55</v>
      </c>
      <c r="Y1384" s="30" t="s">
        <v>56</v>
      </c>
      <c r="Z1384" s="30" t="s">
        <v>57</v>
      </c>
      <c r="AA1384" s="30" t="s">
        <v>58</v>
      </c>
      <c r="AB1384" s="30" t="s">
        <v>56</v>
      </c>
      <c r="AC1384" s="27"/>
      <c r="AD1384" s="31" t="s">
        <v>57</v>
      </c>
      <c r="AE1384" s="32" t="str">
        <f t="shared" si="107"/>
        <v>✓ OK</v>
      </c>
      <c r="AF1384" s="33" t="s">
        <v>61</v>
      </c>
      <c r="AG1384" s="33" t="s">
        <v>55</v>
      </c>
      <c r="AH1384" s="33" t="s">
        <v>56</v>
      </c>
      <c r="AI1384" s="33" t="s">
        <v>57</v>
      </c>
      <c r="AJ1384" s="33" t="s">
        <v>58</v>
      </c>
      <c r="AK1384" s="33" t="s">
        <v>56</v>
      </c>
      <c r="AL1384" s="27"/>
      <c r="AM1384" s="34" t="s">
        <v>57</v>
      </c>
      <c r="AN1384" s="35" t="str">
        <f t="shared" si="108"/>
        <v>✓ OK</v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4095</v>
      </c>
      <c r="C1385" s="25" t="s">
        <v>4096</v>
      </c>
      <c r="D1385" s="23" t="s">
        <v>3482</v>
      </c>
      <c r="E1385" s="42">
        <v>46129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42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70">
        <v>46248</v>
      </c>
      <c r="X1385" s="30" t="s">
        <v>55</v>
      </c>
      <c r="Y1385" s="30" t="s">
        <v>56</v>
      </c>
      <c r="Z1385" s="30" t="s">
        <v>57</v>
      </c>
      <c r="AA1385" s="30" t="s">
        <v>58</v>
      </c>
      <c r="AB1385" s="30" t="s">
        <v>56</v>
      </c>
      <c r="AC1385" s="27"/>
      <c r="AD1385" s="31" t="s">
        <v>57</v>
      </c>
      <c r="AE1385" s="32" t="str">
        <f t="shared" si="107"/>
        <v>✓ OK</v>
      </c>
      <c r="AF1385" s="33" t="s">
        <v>61</v>
      </c>
      <c r="AG1385" s="33" t="s">
        <v>55</v>
      </c>
      <c r="AH1385" s="33" t="s">
        <v>56</v>
      </c>
      <c r="AI1385" s="33" t="s">
        <v>57</v>
      </c>
      <c r="AJ1385" s="33" t="s">
        <v>58</v>
      </c>
      <c r="AK1385" s="33" t="s">
        <v>56</v>
      </c>
      <c r="AL1385" s="27"/>
      <c r="AM1385" s="34" t="s">
        <v>57</v>
      </c>
      <c r="AN1385" s="35" t="str">
        <f t="shared" si="108"/>
        <v>✓ OK</v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4097</v>
      </c>
      <c r="C1386" s="41" t="s">
        <v>4098</v>
      </c>
      <c r="D1386" s="39" t="s">
        <v>3482</v>
      </c>
      <c r="E1386" s="42">
        <v>46129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42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70">
        <v>46248</v>
      </c>
      <c r="X1386" s="30" t="s">
        <v>55</v>
      </c>
      <c r="Y1386" s="30" t="s">
        <v>56</v>
      </c>
      <c r="Z1386" s="30" t="s">
        <v>57</v>
      </c>
      <c r="AA1386" s="30" t="s">
        <v>58</v>
      </c>
      <c r="AB1386" s="30" t="s">
        <v>56</v>
      </c>
      <c r="AC1386" s="27"/>
      <c r="AD1386" s="31" t="s">
        <v>57</v>
      </c>
      <c r="AE1386" s="32" t="str">
        <f t="shared" si="107"/>
        <v>✓ OK</v>
      </c>
      <c r="AF1386" s="33" t="s">
        <v>61</v>
      </c>
      <c r="AG1386" s="33" t="s">
        <v>55</v>
      </c>
      <c r="AH1386" s="33" t="s">
        <v>56</v>
      </c>
      <c r="AI1386" s="33" t="s">
        <v>57</v>
      </c>
      <c r="AJ1386" s="33" t="s">
        <v>58</v>
      </c>
      <c r="AK1386" s="33" t="s">
        <v>56</v>
      </c>
      <c r="AL1386" s="27"/>
      <c r="AM1386" s="34" t="s">
        <v>57</v>
      </c>
      <c r="AN1386" s="35" t="str">
        <f t="shared" si="108"/>
        <v>✓ OK</v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4099</v>
      </c>
      <c r="C1387" s="25" t="s">
        <v>4100</v>
      </c>
      <c r="D1387" s="23" t="s">
        <v>3482</v>
      </c>
      <c r="E1387" s="42">
        <v>46129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42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70">
        <v>46248</v>
      </c>
      <c r="X1387" s="30" t="s">
        <v>55</v>
      </c>
      <c r="Y1387" s="30" t="s">
        <v>56</v>
      </c>
      <c r="Z1387" s="30" t="s">
        <v>57</v>
      </c>
      <c r="AA1387" s="30" t="s">
        <v>58</v>
      </c>
      <c r="AB1387" s="30" t="s">
        <v>56</v>
      </c>
      <c r="AC1387" s="27"/>
      <c r="AD1387" s="31" t="s">
        <v>57</v>
      </c>
      <c r="AE1387" s="32" t="str">
        <f t="shared" si="107"/>
        <v>✓ OK</v>
      </c>
      <c r="AF1387" s="33" t="s">
        <v>61</v>
      </c>
      <c r="AG1387" s="33" t="s">
        <v>55</v>
      </c>
      <c r="AH1387" s="33" t="s">
        <v>56</v>
      </c>
      <c r="AI1387" s="33" t="s">
        <v>57</v>
      </c>
      <c r="AJ1387" s="33" t="s">
        <v>58</v>
      </c>
      <c r="AK1387" s="33" t="s">
        <v>56</v>
      </c>
      <c r="AL1387" s="27"/>
      <c r="AM1387" s="34" t="s">
        <v>57</v>
      </c>
      <c r="AN1387" s="35" t="str">
        <f t="shared" si="108"/>
        <v>✓ OK</v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4101</v>
      </c>
      <c r="C1388" s="41" t="s">
        <v>4102</v>
      </c>
      <c r="D1388" s="39" t="s">
        <v>3482</v>
      </c>
      <c r="E1388" s="42">
        <v>46129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42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70">
        <v>46248</v>
      </c>
      <c r="X1388" s="30" t="s">
        <v>55</v>
      </c>
      <c r="Y1388" s="30" t="s">
        <v>56</v>
      </c>
      <c r="Z1388" s="30" t="s">
        <v>57</v>
      </c>
      <c r="AA1388" s="30" t="s">
        <v>58</v>
      </c>
      <c r="AB1388" s="30" t="s">
        <v>56</v>
      </c>
      <c r="AC1388" s="27"/>
      <c r="AD1388" s="31" t="s">
        <v>57</v>
      </c>
      <c r="AE1388" s="32" t="str">
        <f t="shared" si="107"/>
        <v>✓ OK</v>
      </c>
      <c r="AF1388" s="33" t="s">
        <v>61</v>
      </c>
      <c r="AG1388" s="33" t="s">
        <v>55</v>
      </c>
      <c r="AH1388" s="33" t="s">
        <v>56</v>
      </c>
      <c r="AI1388" s="33" t="s">
        <v>57</v>
      </c>
      <c r="AJ1388" s="33" t="s">
        <v>58</v>
      </c>
      <c r="AK1388" s="33" t="s">
        <v>56</v>
      </c>
      <c r="AL1388" s="27"/>
      <c r="AM1388" s="34" t="s">
        <v>57</v>
      </c>
      <c r="AN1388" s="35" t="str">
        <f t="shared" si="108"/>
        <v>✓ OK</v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4103</v>
      </c>
      <c r="C1389" s="25" t="s">
        <v>4104</v>
      </c>
      <c r="D1389" s="23" t="s">
        <v>3482</v>
      </c>
      <c r="E1389" s="42">
        <v>46129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42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70">
        <v>46248</v>
      </c>
      <c r="X1389" s="30" t="s">
        <v>55</v>
      </c>
      <c r="Y1389" s="30" t="s">
        <v>56</v>
      </c>
      <c r="Z1389" s="30" t="s">
        <v>57</v>
      </c>
      <c r="AA1389" s="30" t="s">
        <v>58</v>
      </c>
      <c r="AB1389" s="30" t="s">
        <v>56</v>
      </c>
      <c r="AC1389" s="27"/>
      <c r="AD1389" s="31" t="s">
        <v>57</v>
      </c>
      <c r="AE1389" s="32" t="str">
        <f t="shared" si="107"/>
        <v>✓ OK</v>
      </c>
      <c r="AF1389" s="33" t="s">
        <v>61</v>
      </c>
      <c r="AG1389" s="33" t="s">
        <v>55</v>
      </c>
      <c r="AH1389" s="33" t="s">
        <v>56</v>
      </c>
      <c r="AI1389" s="33" t="s">
        <v>57</v>
      </c>
      <c r="AJ1389" s="33" t="s">
        <v>58</v>
      </c>
      <c r="AK1389" s="33" t="s">
        <v>56</v>
      </c>
      <c r="AL1389" s="27"/>
      <c r="AM1389" s="34" t="s">
        <v>57</v>
      </c>
      <c r="AN1389" s="35" t="str">
        <f t="shared" si="108"/>
        <v>✓ OK</v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4105</v>
      </c>
      <c r="C1390" s="41" t="s">
        <v>4106</v>
      </c>
      <c r="D1390" s="39" t="s">
        <v>3482</v>
      </c>
      <c r="E1390" s="42">
        <v>46129</v>
      </c>
      <c r="F1390" s="26" t="s">
        <v>55</v>
      </c>
      <c r="G1390" s="26" t="s">
        <v>56</v>
      </c>
      <c r="H1390" s="26" t="s">
        <v>57</v>
      </c>
      <c r="I1390" s="26" t="s">
        <v>278</v>
      </c>
      <c r="J1390" s="26" t="s">
        <v>57</v>
      </c>
      <c r="K1390" s="27" t="s">
        <v>4107</v>
      </c>
      <c r="L1390" s="28" t="s">
        <v>56</v>
      </c>
      <c r="M1390" s="29" t="str">
        <f t="shared" si="105"/>
        <v>⚠ Check</v>
      </c>
      <c r="N1390" s="42">
        <v>46185</v>
      </c>
      <c r="O1390" s="26" t="s">
        <v>55</v>
      </c>
      <c r="P1390" s="26" t="s">
        <v>56</v>
      </c>
      <c r="Q1390" s="26" t="s">
        <v>57</v>
      </c>
      <c r="R1390" s="26" t="s">
        <v>278</v>
      </c>
      <c r="S1390" s="26" t="s">
        <v>57</v>
      </c>
      <c r="T1390" s="27" t="s">
        <v>4107</v>
      </c>
      <c r="U1390" s="28" t="s">
        <v>56</v>
      </c>
      <c r="V1390" s="29" t="str">
        <f t="shared" si="106"/>
        <v>⚠ Check</v>
      </c>
      <c r="W1390" s="70">
        <v>46248</v>
      </c>
      <c r="X1390" s="30" t="s">
        <v>55</v>
      </c>
      <c r="Y1390" s="30" t="s">
        <v>56</v>
      </c>
      <c r="Z1390" s="30" t="s">
        <v>57</v>
      </c>
      <c r="AA1390" s="30" t="s">
        <v>278</v>
      </c>
      <c r="AB1390" s="30" t="s">
        <v>57</v>
      </c>
      <c r="AC1390" s="27" t="s">
        <v>4107</v>
      </c>
      <c r="AD1390" s="31" t="s">
        <v>56</v>
      </c>
      <c r="AE1390" s="32" t="str">
        <f t="shared" si="107"/>
        <v>⚠ Check</v>
      </c>
      <c r="AF1390" s="33" t="s">
        <v>61</v>
      </c>
      <c r="AG1390" s="33" t="s">
        <v>55</v>
      </c>
      <c r="AH1390" s="33" t="s">
        <v>56</v>
      </c>
      <c r="AI1390" s="33" t="s">
        <v>57</v>
      </c>
      <c r="AJ1390" s="33" t="s">
        <v>58</v>
      </c>
      <c r="AK1390" s="33" t="s">
        <v>56</v>
      </c>
      <c r="AL1390" s="27"/>
      <c r="AM1390" s="34" t="s">
        <v>56</v>
      </c>
      <c r="AN1390" s="35" t="str">
        <f t="shared" si="108"/>
        <v>✓ OK</v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4108</v>
      </c>
      <c r="C1391" s="25" t="s">
        <v>4109</v>
      </c>
      <c r="D1391" s="23" t="s">
        <v>3482</v>
      </c>
      <c r="E1391" s="42">
        <v>46129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42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70">
        <v>46248</v>
      </c>
      <c r="X1391" s="30" t="s">
        <v>55</v>
      </c>
      <c r="Y1391" s="30" t="s">
        <v>56</v>
      </c>
      <c r="Z1391" s="30" t="s">
        <v>57</v>
      </c>
      <c r="AA1391" s="30" t="s">
        <v>58</v>
      </c>
      <c r="AB1391" s="30" t="s">
        <v>56</v>
      </c>
      <c r="AC1391" s="27"/>
      <c r="AD1391" s="31" t="s">
        <v>57</v>
      </c>
      <c r="AE1391" s="32" t="str">
        <f t="shared" si="107"/>
        <v>✓ OK</v>
      </c>
      <c r="AF1391" s="33" t="s">
        <v>61</v>
      </c>
      <c r="AG1391" s="33" t="s">
        <v>55</v>
      </c>
      <c r="AH1391" s="33" t="s">
        <v>56</v>
      </c>
      <c r="AI1391" s="33" t="s">
        <v>57</v>
      </c>
      <c r="AJ1391" s="33" t="s">
        <v>58</v>
      </c>
      <c r="AK1391" s="33" t="s">
        <v>56</v>
      </c>
      <c r="AL1391" s="27"/>
      <c r="AM1391" s="34" t="s">
        <v>57</v>
      </c>
      <c r="AN1391" s="35" t="str">
        <f t="shared" si="108"/>
        <v>✓ OK</v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4110</v>
      </c>
      <c r="C1392" s="41" t="s">
        <v>4111</v>
      </c>
      <c r="D1392" s="39" t="s">
        <v>3482</v>
      </c>
      <c r="E1392" s="42">
        <v>46129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42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70">
        <v>46248</v>
      </c>
      <c r="X1392" s="30" t="s">
        <v>55</v>
      </c>
      <c r="Y1392" s="30" t="s">
        <v>56</v>
      </c>
      <c r="Z1392" s="30" t="s">
        <v>57</v>
      </c>
      <c r="AA1392" s="30" t="s">
        <v>58</v>
      </c>
      <c r="AB1392" s="30" t="s">
        <v>56</v>
      </c>
      <c r="AC1392" s="27"/>
      <c r="AD1392" s="31" t="s">
        <v>57</v>
      </c>
      <c r="AE1392" s="32" t="str">
        <f t="shared" si="107"/>
        <v>✓ OK</v>
      </c>
      <c r="AF1392" s="33" t="s">
        <v>61</v>
      </c>
      <c r="AG1392" s="33" t="s">
        <v>55</v>
      </c>
      <c r="AH1392" s="33" t="s">
        <v>56</v>
      </c>
      <c r="AI1392" s="33" t="s">
        <v>57</v>
      </c>
      <c r="AJ1392" s="33" t="s">
        <v>58</v>
      </c>
      <c r="AK1392" s="33" t="s">
        <v>56</v>
      </c>
      <c r="AL1392" s="27"/>
      <c r="AM1392" s="34" t="s">
        <v>57</v>
      </c>
      <c r="AN1392" s="35" t="str">
        <f t="shared" si="108"/>
        <v>✓ OK</v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4112</v>
      </c>
      <c r="C1393" s="25" t="s">
        <v>4113</v>
      </c>
      <c r="D1393" s="23" t="s">
        <v>3482</v>
      </c>
      <c r="E1393" s="42">
        <v>46129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42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70">
        <v>46248</v>
      </c>
      <c r="X1393" s="30" t="s">
        <v>55</v>
      </c>
      <c r="Y1393" s="30" t="s">
        <v>56</v>
      </c>
      <c r="Z1393" s="30" t="s">
        <v>57</v>
      </c>
      <c r="AA1393" s="30" t="s">
        <v>58</v>
      </c>
      <c r="AB1393" s="30" t="s">
        <v>56</v>
      </c>
      <c r="AC1393" s="27"/>
      <c r="AD1393" s="31" t="s">
        <v>57</v>
      </c>
      <c r="AE1393" s="32" t="str">
        <f t="shared" si="107"/>
        <v>✓ OK</v>
      </c>
      <c r="AF1393" s="33" t="s">
        <v>61</v>
      </c>
      <c r="AG1393" s="33" t="s">
        <v>55</v>
      </c>
      <c r="AH1393" s="33" t="s">
        <v>56</v>
      </c>
      <c r="AI1393" s="33" t="s">
        <v>57</v>
      </c>
      <c r="AJ1393" s="33" t="s">
        <v>58</v>
      </c>
      <c r="AK1393" s="33" t="s">
        <v>56</v>
      </c>
      <c r="AL1393" s="27"/>
      <c r="AM1393" s="34" t="s">
        <v>57</v>
      </c>
      <c r="AN1393" s="35" t="str">
        <f t="shared" si="108"/>
        <v>✓ OK</v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4114</v>
      </c>
      <c r="C1394" s="41" t="s">
        <v>4115</v>
      </c>
      <c r="D1394" s="39" t="s">
        <v>3482</v>
      </c>
      <c r="E1394" s="42">
        <v>46129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42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70">
        <v>46248</v>
      </c>
      <c r="X1394" s="30" t="s">
        <v>55</v>
      </c>
      <c r="Y1394" s="30" t="s">
        <v>56</v>
      </c>
      <c r="Z1394" s="30" t="s">
        <v>57</v>
      </c>
      <c r="AA1394" s="30" t="s">
        <v>58</v>
      </c>
      <c r="AB1394" s="30" t="s">
        <v>56</v>
      </c>
      <c r="AC1394" s="27"/>
      <c r="AD1394" s="31" t="s">
        <v>57</v>
      </c>
      <c r="AE1394" s="32" t="str">
        <f t="shared" si="107"/>
        <v>✓ OK</v>
      </c>
      <c r="AF1394" s="33" t="s">
        <v>61</v>
      </c>
      <c r="AG1394" s="33" t="s">
        <v>55</v>
      </c>
      <c r="AH1394" s="33" t="s">
        <v>56</v>
      </c>
      <c r="AI1394" s="33" t="s">
        <v>57</v>
      </c>
      <c r="AJ1394" s="33" t="s">
        <v>58</v>
      </c>
      <c r="AK1394" s="33" t="s">
        <v>56</v>
      </c>
      <c r="AL1394" s="27"/>
      <c r="AM1394" s="34" t="s">
        <v>57</v>
      </c>
      <c r="AN1394" s="35" t="str">
        <f t="shared" si="108"/>
        <v>✓ OK</v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4116</v>
      </c>
      <c r="C1395" s="25" t="s">
        <v>4117</v>
      </c>
      <c r="D1395" s="23" t="s">
        <v>3482</v>
      </c>
      <c r="E1395" s="42">
        <v>46129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42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70">
        <v>46248</v>
      </c>
      <c r="X1395" s="30" t="s">
        <v>55</v>
      </c>
      <c r="Y1395" s="30" t="s">
        <v>56</v>
      </c>
      <c r="Z1395" s="30" t="s">
        <v>57</v>
      </c>
      <c r="AA1395" s="30" t="s">
        <v>58</v>
      </c>
      <c r="AB1395" s="30" t="s">
        <v>56</v>
      </c>
      <c r="AC1395" s="27"/>
      <c r="AD1395" s="31" t="s">
        <v>57</v>
      </c>
      <c r="AE1395" s="32" t="str">
        <f t="shared" si="107"/>
        <v>✓ OK</v>
      </c>
      <c r="AF1395" s="33" t="s">
        <v>61</v>
      </c>
      <c r="AG1395" s="33" t="s">
        <v>55</v>
      </c>
      <c r="AH1395" s="33" t="s">
        <v>56</v>
      </c>
      <c r="AI1395" s="33" t="s">
        <v>57</v>
      </c>
      <c r="AJ1395" s="33" t="s">
        <v>58</v>
      </c>
      <c r="AK1395" s="33" t="s">
        <v>56</v>
      </c>
      <c r="AL1395" s="27"/>
      <c r="AM1395" s="34" t="s">
        <v>57</v>
      </c>
      <c r="AN1395" s="35" t="str">
        <f t="shared" si="108"/>
        <v>✓ OK</v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4118</v>
      </c>
      <c r="C1396" s="41" t="s">
        <v>4119</v>
      </c>
      <c r="D1396" s="39" t="s">
        <v>3482</v>
      </c>
      <c r="E1396" s="42">
        <v>46129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42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70">
        <v>46248</v>
      </c>
      <c r="X1396" s="30" t="s">
        <v>55</v>
      </c>
      <c r="Y1396" s="30" t="s">
        <v>56</v>
      </c>
      <c r="Z1396" s="30" t="s">
        <v>57</v>
      </c>
      <c r="AA1396" s="30" t="s">
        <v>58</v>
      </c>
      <c r="AB1396" s="30" t="s">
        <v>56</v>
      </c>
      <c r="AC1396" s="27"/>
      <c r="AD1396" s="31" t="s">
        <v>57</v>
      </c>
      <c r="AE1396" s="32" t="str">
        <f t="shared" si="107"/>
        <v>✓ OK</v>
      </c>
      <c r="AF1396" s="33" t="s">
        <v>61</v>
      </c>
      <c r="AG1396" s="33" t="s">
        <v>55</v>
      </c>
      <c r="AH1396" s="33" t="s">
        <v>56</v>
      </c>
      <c r="AI1396" s="33" t="s">
        <v>57</v>
      </c>
      <c r="AJ1396" s="33" t="s">
        <v>58</v>
      </c>
      <c r="AK1396" s="33" t="s">
        <v>56</v>
      </c>
      <c r="AL1396" s="27"/>
      <c r="AM1396" s="34" t="s">
        <v>57</v>
      </c>
      <c r="AN1396" s="35" t="str">
        <f t="shared" si="108"/>
        <v>✓ OK</v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4120</v>
      </c>
      <c r="C1397" s="25" t="s">
        <v>4121</v>
      </c>
      <c r="D1397" s="23" t="s">
        <v>3482</v>
      </c>
      <c r="E1397" s="42">
        <v>46129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42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70">
        <v>46248</v>
      </c>
      <c r="X1397" s="30" t="s">
        <v>55</v>
      </c>
      <c r="Y1397" s="30" t="s">
        <v>56</v>
      </c>
      <c r="Z1397" s="30" t="s">
        <v>57</v>
      </c>
      <c r="AA1397" s="30" t="s">
        <v>58</v>
      </c>
      <c r="AB1397" s="30" t="s">
        <v>56</v>
      </c>
      <c r="AC1397" s="27"/>
      <c r="AD1397" s="31" t="s">
        <v>57</v>
      </c>
      <c r="AE1397" s="32" t="str">
        <f t="shared" si="107"/>
        <v>✓ OK</v>
      </c>
      <c r="AF1397" s="33" t="s">
        <v>61</v>
      </c>
      <c r="AG1397" s="33" t="s">
        <v>55</v>
      </c>
      <c r="AH1397" s="33" t="s">
        <v>56</v>
      </c>
      <c r="AI1397" s="33" t="s">
        <v>57</v>
      </c>
      <c r="AJ1397" s="33" t="s">
        <v>58</v>
      </c>
      <c r="AK1397" s="33" t="s">
        <v>56</v>
      </c>
      <c r="AL1397" s="27"/>
      <c r="AM1397" s="34" t="s">
        <v>57</v>
      </c>
      <c r="AN1397" s="35" t="str">
        <f t="shared" si="108"/>
        <v>✓ OK</v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4122</v>
      </c>
      <c r="C1398" s="41" t="s">
        <v>4123</v>
      </c>
      <c r="D1398" s="39" t="s">
        <v>3482</v>
      </c>
      <c r="E1398" s="42">
        <v>46129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42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70">
        <v>46248</v>
      </c>
      <c r="X1398" s="30" t="s">
        <v>55</v>
      </c>
      <c r="Y1398" s="30" t="s">
        <v>56</v>
      </c>
      <c r="Z1398" s="30" t="s">
        <v>57</v>
      </c>
      <c r="AA1398" s="30" t="s">
        <v>58</v>
      </c>
      <c r="AB1398" s="30" t="s">
        <v>56</v>
      </c>
      <c r="AC1398" s="27"/>
      <c r="AD1398" s="31" t="s">
        <v>57</v>
      </c>
      <c r="AE1398" s="32" t="str">
        <f t="shared" si="107"/>
        <v>✓ OK</v>
      </c>
      <c r="AF1398" s="33" t="s">
        <v>61</v>
      </c>
      <c r="AG1398" s="33" t="s">
        <v>55</v>
      </c>
      <c r="AH1398" s="33" t="s">
        <v>56</v>
      </c>
      <c r="AI1398" s="33" t="s">
        <v>57</v>
      </c>
      <c r="AJ1398" s="33" t="s">
        <v>58</v>
      </c>
      <c r="AK1398" s="33" t="s">
        <v>56</v>
      </c>
      <c r="AL1398" s="27"/>
      <c r="AM1398" s="34" t="s">
        <v>57</v>
      </c>
      <c r="AN1398" s="35" t="str">
        <f t="shared" si="108"/>
        <v>✓ OK</v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4124</v>
      </c>
      <c r="C1399" s="25" t="s">
        <v>4125</v>
      </c>
      <c r="D1399" s="23" t="s">
        <v>3482</v>
      </c>
      <c r="E1399" s="42">
        <v>46129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42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70">
        <v>46248</v>
      </c>
      <c r="X1399" s="30" t="s">
        <v>55</v>
      </c>
      <c r="Y1399" s="30" t="s">
        <v>56</v>
      </c>
      <c r="Z1399" s="30" t="s">
        <v>57</v>
      </c>
      <c r="AA1399" s="30" t="s">
        <v>58</v>
      </c>
      <c r="AB1399" s="30" t="s">
        <v>56</v>
      </c>
      <c r="AC1399" s="27"/>
      <c r="AD1399" s="31" t="s">
        <v>57</v>
      </c>
      <c r="AE1399" s="32" t="str">
        <f t="shared" si="107"/>
        <v>✓ OK</v>
      </c>
      <c r="AF1399" s="33" t="s">
        <v>61</v>
      </c>
      <c r="AG1399" s="33" t="s">
        <v>55</v>
      </c>
      <c r="AH1399" s="33" t="s">
        <v>56</v>
      </c>
      <c r="AI1399" s="33" t="s">
        <v>57</v>
      </c>
      <c r="AJ1399" s="33" t="s">
        <v>58</v>
      </c>
      <c r="AK1399" s="33" t="s">
        <v>56</v>
      </c>
      <c r="AL1399" s="27"/>
      <c r="AM1399" s="34" t="s">
        <v>57</v>
      </c>
      <c r="AN1399" s="35" t="str">
        <f t="shared" si="108"/>
        <v>✓ OK</v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4126</v>
      </c>
      <c r="C1400" s="41" t="s">
        <v>4127</v>
      </c>
      <c r="D1400" s="39" t="s">
        <v>3482</v>
      </c>
      <c r="E1400" s="42">
        <v>46129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42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70">
        <v>46248</v>
      </c>
      <c r="X1400" s="30" t="s">
        <v>55</v>
      </c>
      <c r="Y1400" s="30" t="s">
        <v>56</v>
      </c>
      <c r="Z1400" s="30" t="s">
        <v>57</v>
      </c>
      <c r="AA1400" s="30" t="s">
        <v>58</v>
      </c>
      <c r="AB1400" s="30" t="s">
        <v>56</v>
      </c>
      <c r="AC1400" s="27"/>
      <c r="AD1400" s="31" t="s">
        <v>57</v>
      </c>
      <c r="AE1400" s="32" t="str">
        <f t="shared" si="107"/>
        <v>✓ OK</v>
      </c>
      <c r="AF1400" s="33" t="s">
        <v>61</v>
      </c>
      <c r="AG1400" s="33" t="s">
        <v>55</v>
      </c>
      <c r="AH1400" s="33" t="s">
        <v>56</v>
      </c>
      <c r="AI1400" s="33" t="s">
        <v>57</v>
      </c>
      <c r="AJ1400" s="33" t="s">
        <v>58</v>
      </c>
      <c r="AK1400" s="33" t="s">
        <v>56</v>
      </c>
      <c r="AL1400" s="27"/>
      <c r="AM1400" s="34" t="s">
        <v>57</v>
      </c>
      <c r="AN1400" s="35" t="str">
        <f t="shared" si="108"/>
        <v>✓ OK</v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4128</v>
      </c>
      <c r="C1401" s="25" t="s">
        <v>4129</v>
      </c>
      <c r="D1401" s="23" t="s">
        <v>3482</v>
      </c>
      <c r="E1401" s="42">
        <v>46129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42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70">
        <v>46248</v>
      </c>
      <c r="X1401" s="30" t="s">
        <v>55</v>
      </c>
      <c r="Y1401" s="30" t="s">
        <v>56</v>
      </c>
      <c r="Z1401" s="30" t="s">
        <v>57</v>
      </c>
      <c r="AA1401" s="30" t="s">
        <v>58</v>
      </c>
      <c r="AB1401" s="30" t="s">
        <v>56</v>
      </c>
      <c r="AC1401" s="27"/>
      <c r="AD1401" s="31" t="s">
        <v>57</v>
      </c>
      <c r="AE1401" s="32" t="str">
        <f t="shared" si="107"/>
        <v>✓ OK</v>
      </c>
      <c r="AF1401" s="33" t="s">
        <v>61</v>
      </c>
      <c r="AG1401" s="33" t="s">
        <v>55</v>
      </c>
      <c r="AH1401" s="33" t="s">
        <v>56</v>
      </c>
      <c r="AI1401" s="33" t="s">
        <v>57</v>
      </c>
      <c r="AJ1401" s="33" t="s">
        <v>58</v>
      </c>
      <c r="AK1401" s="33" t="s">
        <v>56</v>
      </c>
      <c r="AL1401" s="27"/>
      <c r="AM1401" s="34" t="s">
        <v>57</v>
      </c>
      <c r="AN1401" s="35" t="str">
        <f t="shared" si="108"/>
        <v>✓ OK</v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4130</v>
      </c>
      <c r="C1402" s="41" t="s">
        <v>4131</v>
      </c>
      <c r="D1402" s="39" t="s">
        <v>3482</v>
      </c>
      <c r="E1402" s="42">
        <v>46129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42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70">
        <v>46248</v>
      </c>
      <c r="X1402" s="30" t="s">
        <v>55</v>
      </c>
      <c r="Y1402" s="30" t="s">
        <v>56</v>
      </c>
      <c r="Z1402" s="30" t="s">
        <v>57</v>
      </c>
      <c r="AA1402" s="30" t="s">
        <v>58</v>
      </c>
      <c r="AB1402" s="30" t="s">
        <v>56</v>
      </c>
      <c r="AC1402" s="27"/>
      <c r="AD1402" s="31" t="s">
        <v>57</v>
      </c>
      <c r="AE1402" s="32" t="str">
        <f t="shared" si="107"/>
        <v>✓ OK</v>
      </c>
      <c r="AF1402" s="33" t="s">
        <v>61</v>
      </c>
      <c r="AG1402" s="33" t="s">
        <v>55</v>
      </c>
      <c r="AH1402" s="33" t="s">
        <v>56</v>
      </c>
      <c r="AI1402" s="33" t="s">
        <v>57</v>
      </c>
      <c r="AJ1402" s="33" t="s">
        <v>58</v>
      </c>
      <c r="AK1402" s="33" t="s">
        <v>56</v>
      </c>
      <c r="AL1402" s="27"/>
      <c r="AM1402" s="34" t="s">
        <v>57</v>
      </c>
      <c r="AN1402" s="35" t="str">
        <f t="shared" si="108"/>
        <v>✓ OK</v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4132</v>
      </c>
      <c r="C1403" s="25" t="s">
        <v>4133</v>
      </c>
      <c r="D1403" s="23" t="s">
        <v>3482</v>
      </c>
      <c r="E1403" s="42">
        <v>46129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42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70">
        <v>46248</v>
      </c>
      <c r="X1403" s="30" t="s">
        <v>55</v>
      </c>
      <c r="Y1403" s="30" t="s">
        <v>56</v>
      </c>
      <c r="Z1403" s="30" t="s">
        <v>57</v>
      </c>
      <c r="AA1403" s="30" t="s">
        <v>58</v>
      </c>
      <c r="AB1403" s="30" t="s">
        <v>56</v>
      </c>
      <c r="AC1403" s="27"/>
      <c r="AD1403" s="31" t="s">
        <v>57</v>
      </c>
      <c r="AE1403" s="32" t="str">
        <f t="shared" si="107"/>
        <v>✓ OK</v>
      </c>
      <c r="AF1403" s="33" t="s">
        <v>61</v>
      </c>
      <c r="AG1403" s="33" t="s">
        <v>55</v>
      </c>
      <c r="AH1403" s="33" t="s">
        <v>56</v>
      </c>
      <c r="AI1403" s="33" t="s">
        <v>57</v>
      </c>
      <c r="AJ1403" s="33" t="s">
        <v>58</v>
      </c>
      <c r="AK1403" s="33" t="s">
        <v>56</v>
      </c>
      <c r="AL1403" s="27"/>
      <c r="AM1403" s="34" t="s">
        <v>57</v>
      </c>
      <c r="AN1403" s="35" t="str">
        <f t="shared" si="108"/>
        <v>✓ OK</v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4134</v>
      </c>
      <c r="C1404" s="41" t="s">
        <v>4135</v>
      </c>
      <c r="D1404" s="39" t="s">
        <v>3482</v>
      </c>
      <c r="E1404" s="42">
        <v>46129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42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70">
        <v>46248</v>
      </c>
      <c r="X1404" s="30" t="s">
        <v>55</v>
      </c>
      <c r="Y1404" s="30" t="s">
        <v>56</v>
      </c>
      <c r="Z1404" s="30" t="s">
        <v>57</v>
      </c>
      <c r="AA1404" s="30" t="s">
        <v>58</v>
      </c>
      <c r="AB1404" s="30" t="s">
        <v>56</v>
      </c>
      <c r="AC1404" s="27"/>
      <c r="AD1404" s="31" t="s">
        <v>57</v>
      </c>
      <c r="AE1404" s="32" t="str">
        <f t="shared" si="107"/>
        <v>✓ OK</v>
      </c>
      <c r="AF1404" s="33" t="s">
        <v>61</v>
      </c>
      <c r="AG1404" s="33" t="s">
        <v>55</v>
      </c>
      <c r="AH1404" s="33" t="s">
        <v>56</v>
      </c>
      <c r="AI1404" s="33" t="s">
        <v>57</v>
      </c>
      <c r="AJ1404" s="33" t="s">
        <v>58</v>
      </c>
      <c r="AK1404" s="33" t="s">
        <v>56</v>
      </c>
      <c r="AL1404" s="27"/>
      <c r="AM1404" s="34" t="s">
        <v>57</v>
      </c>
      <c r="AN1404" s="35" t="str">
        <f t="shared" si="108"/>
        <v>✓ OK</v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4136</v>
      </c>
      <c r="C1405" s="25" t="s">
        <v>4137</v>
      </c>
      <c r="D1405" s="23" t="s">
        <v>3482</v>
      </c>
      <c r="E1405" s="42">
        <v>46129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42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70">
        <v>46248</v>
      </c>
      <c r="X1405" s="30" t="s">
        <v>55</v>
      </c>
      <c r="Y1405" s="30" t="s">
        <v>56</v>
      </c>
      <c r="Z1405" s="30" t="s">
        <v>57</v>
      </c>
      <c r="AA1405" s="30" t="s">
        <v>58</v>
      </c>
      <c r="AB1405" s="30" t="s">
        <v>56</v>
      </c>
      <c r="AC1405" s="27"/>
      <c r="AD1405" s="31" t="s">
        <v>57</v>
      </c>
      <c r="AE1405" s="32" t="str">
        <f t="shared" si="107"/>
        <v>✓ OK</v>
      </c>
      <c r="AF1405" s="33" t="s">
        <v>61</v>
      </c>
      <c r="AG1405" s="33" t="s">
        <v>55</v>
      </c>
      <c r="AH1405" s="33" t="s">
        <v>56</v>
      </c>
      <c r="AI1405" s="33" t="s">
        <v>57</v>
      </c>
      <c r="AJ1405" s="33" t="s">
        <v>58</v>
      </c>
      <c r="AK1405" s="33" t="s">
        <v>56</v>
      </c>
      <c r="AL1405" s="27"/>
      <c r="AM1405" s="34" t="s">
        <v>57</v>
      </c>
      <c r="AN1405" s="35" t="str">
        <f t="shared" si="108"/>
        <v>✓ OK</v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4138</v>
      </c>
      <c r="C1406" s="41" t="s">
        <v>4139</v>
      </c>
      <c r="D1406" s="39" t="s">
        <v>3482</v>
      </c>
      <c r="E1406" s="42">
        <v>46129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42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70">
        <v>46248</v>
      </c>
      <c r="X1406" s="30" t="s">
        <v>55</v>
      </c>
      <c r="Y1406" s="30" t="s">
        <v>56</v>
      </c>
      <c r="Z1406" s="30" t="s">
        <v>57</v>
      </c>
      <c r="AA1406" s="30" t="s">
        <v>58</v>
      </c>
      <c r="AB1406" s="30" t="s">
        <v>56</v>
      </c>
      <c r="AC1406" s="27"/>
      <c r="AD1406" s="31" t="s">
        <v>57</v>
      </c>
      <c r="AE1406" s="32" t="str">
        <f t="shared" si="107"/>
        <v>✓ OK</v>
      </c>
      <c r="AF1406" s="33" t="s">
        <v>61</v>
      </c>
      <c r="AG1406" s="33" t="s">
        <v>55</v>
      </c>
      <c r="AH1406" s="33" t="s">
        <v>56</v>
      </c>
      <c r="AI1406" s="33" t="s">
        <v>57</v>
      </c>
      <c r="AJ1406" s="33" t="s">
        <v>58</v>
      </c>
      <c r="AK1406" s="33" t="s">
        <v>56</v>
      </c>
      <c r="AL1406" s="27"/>
      <c r="AM1406" s="34" t="s">
        <v>57</v>
      </c>
      <c r="AN1406" s="35" t="str">
        <f t="shared" si="108"/>
        <v>✓ OK</v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4140</v>
      </c>
      <c r="C1407" s="25" t="s">
        <v>4141</v>
      </c>
      <c r="D1407" s="23" t="s">
        <v>3482</v>
      </c>
      <c r="E1407" s="42">
        <v>46129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42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70">
        <v>46248</v>
      </c>
      <c r="X1407" s="30" t="s">
        <v>55</v>
      </c>
      <c r="Y1407" s="30" t="s">
        <v>56</v>
      </c>
      <c r="Z1407" s="30" t="s">
        <v>57</v>
      </c>
      <c r="AA1407" s="30" t="s">
        <v>58</v>
      </c>
      <c r="AB1407" s="30" t="s">
        <v>56</v>
      </c>
      <c r="AC1407" s="27"/>
      <c r="AD1407" s="31" t="s">
        <v>57</v>
      </c>
      <c r="AE1407" s="32" t="str">
        <f t="shared" si="107"/>
        <v>✓ OK</v>
      </c>
      <c r="AF1407" s="33" t="s">
        <v>61</v>
      </c>
      <c r="AG1407" s="33" t="s">
        <v>55</v>
      </c>
      <c r="AH1407" s="33" t="s">
        <v>56</v>
      </c>
      <c r="AI1407" s="33" t="s">
        <v>57</v>
      </c>
      <c r="AJ1407" s="33" t="s">
        <v>58</v>
      </c>
      <c r="AK1407" s="33" t="s">
        <v>56</v>
      </c>
      <c r="AL1407" s="27"/>
      <c r="AM1407" s="34" t="s">
        <v>57</v>
      </c>
      <c r="AN1407" s="35" t="str">
        <f t="shared" si="108"/>
        <v>✓ OK</v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4142</v>
      </c>
      <c r="C1408" s="41" t="s">
        <v>4143</v>
      </c>
      <c r="D1408" s="39" t="s">
        <v>3482</v>
      </c>
      <c r="E1408" s="42">
        <v>46129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42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70">
        <v>46248</v>
      </c>
      <c r="X1408" s="30" t="s">
        <v>55</v>
      </c>
      <c r="Y1408" s="30" t="s">
        <v>56</v>
      </c>
      <c r="Z1408" s="30" t="s">
        <v>57</v>
      </c>
      <c r="AA1408" s="30" t="s">
        <v>58</v>
      </c>
      <c r="AB1408" s="30" t="s">
        <v>56</v>
      </c>
      <c r="AC1408" s="27"/>
      <c r="AD1408" s="31" t="s">
        <v>57</v>
      </c>
      <c r="AE1408" s="32" t="str">
        <f t="shared" si="107"/>
        <v>✓ OK</v>
      </c>
      <c r="AF1408" s="33" t="s">
        <v>61</v>
      </c>
      <c r="AG1408" s="33" t="s">
        <v>55</v>
      </c>
      <c r="AH1408" s="33" t="s">
        <v>56</v>
      </c>
      <c r="AI1408" s="33" t="s">
        <v>57</v>
      </c>
      <c r="AJ1408" s="33" t="s">
        <v>58</v>
      </c>
      <c r="AK1408" s="33" t="s">
        <v>56</v>
      </c>
      <c r="AL1408" s="27"/>
      <c r="AM1408" s="34" t="s">
        <v>57</v>
      </c>
      <c r="AN1408" s="35" t="str">
        <f t="shared" si="108"/>
        <v>✓ OK</v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4144</v>
      </c>
      <c r="C1409" s="25" t="s">
        <v>4145</v>
      </c>
      <c r="D1409" s="23" t="s">
        <v>3482</v>
      </c>
      <c r="E1409" s="42">
        <v>46129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42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70">
        <v>46248</v>
      </c>
      <c r="X1409" s="30" t="s">
        <v>55</v>
      </c>
      <c r="Y1409" s="30" t="s">
        <v>56</v>
      </c>
      <c r="Z1409" s="30" t="s">
        <v>57</v>
      </c>
      <c r="AA1409" s="30" t="s">
        <v>58</v>
      </c>
      <c r="AB1409" s="30" t="s">
        <v>56</v>
      </c>
      <c r="AC1409" s="27"/>
      <c r="AD1409" s="31" t="s">
        <v>57</v>
      </c>
      <c r="AE1409" s="32" t="str">
        <f t="shared" si="107"/>
        <v>✓ OK</v>
      </c>
      <c r="AF1409" s="33" t="s">
        <v>61</v>
      </c>
      <c r="AG1409" s="33" t="s">
        <v>55</v>
      </c>
      <c r="AH1409" s="33" t="s">
        <v>56</v>
      </c>
      <c r="AI1409" s="33" t="s">
        <v>57</v>
      </c>
      <c r="AJ1409" s="33" t="s">
        <v>58</v>
      </c>
      <c r="AK1409" s="33" t="s">
        <v>56</v>
      </c>
      <c r="AL1409" s="27"/>
      <c r="AM1409" s="34" t="s">
        <v>57</v>
      </c>
      <c r="AN1409" s="35" t="str">
        <f t="shared" si="108"/>
        <v>✓ OK</v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4146</v>
      </c>
      <c r="C1410" s="41" t="s">
        <v>4147</v>
      </c>
      <c r="D1410" s="39" t="s">
        <v>3482</v>
      </c>
      <c r="E1410" s="42">
        <v>46129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42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70">
        <v>46248</v>
      </c>
      <c r="X1410" s="30" t="s">
        <v>55</v>
      </c>
      <c r="Y1410" s="30" t="s">
        <v>56</v>
      </c>
      <c r="Z1410" s="30" t="s">
        <v>57</v>
      </c>
      <c r="AA1410" s="30" t="s">
        <v>58</v>
      </c>
      <c r="AB1410" s="30" t="s">
        <v>56</v>
      </c>
      <c r="AC1410" s="27"/>
      <c r="AD1410" s="31" t="s">
        <v>57</v>
      </c>
      <c r="AE1410" s="32" t="str">
        <f t="shared" si="107"/>
        <v>✓ OK</v>
      </c>
      <c r="AF1410" s="33" t="s">
        <v>61</v>
      </c>
      <c r="AG1410" s="33" t="s">
        <v>55</v>
      </c>
      <c r="AH1410" s="33" t="s">
        <v>56</v>
      </c>
      <c r="AI1410" s="33" t="s">
        <v>57</v>
      </c>
      <c r="AJ1410" s="33" t="s">
        <v>58</v>
      </c>
      <c r="AK1410" s="33" t="s">
        <v>56</v>
      </c>
      <c r="AL1410" s="27"/>
      <c r="AM1410" s="34" t="s">
        <v>57</v>
      </c>
      <c r="AN1410" s="35" t="str">
        <f t="shared" si="108"/>
        <v>✓ OK</v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4148</v>
      </c>
      <c r="C1411" s="25" t="s">
        <v>4149</v>
      </c>
      <c r="D1411" s="23" t="s">
        <v>3482</v>
      </c>
      <c r="E1411" s="42">
        <v>46129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42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70">
        <v>46248</v>
      </c>
      <c r="X1411" s="30" t="s">
        <v>55</v>
      </c>
      <c r="Y1411" s="30" t="s">
        <v>56</v>
      </c>
      <c r="Z1411" s="30" t="s">
        <v>57</v>
      </c>
      <c r="AA1411" s="30" t="s">
        <v>58</v>
      </c>
      <c r="AB1411" s="30" t="s">
        <v>56</v>
      </c>
      <c r="AC1411" s="27"/>
      <c r="AD1411" s="31" t="s">
        <v>57</v>
      </c>
      <c r="AE1411" s="32" t="str">
        <f t="shared" si="107"/>
        <v>✓ OK</v>
      </c>
      <c r="AF1411" s="33" t="s">
        <v>61</v>
      </c>
      <c r="AG1411" s="33" t="s">
        <v>55</v>
      </c>
      <c r="AH1411" s="33" t="s">
        <v>56</v>
      </c>
      <c r="AI1411" s="33" t="s">
        <v>57</v>
      </c>
      <c r="AJ1411" s="33" t="s">
        <v>58</v>
      </c>
      <c r="AK1411" s="33" t="s">
        <v>56</v>
      </c>
      <c r="AL1411" s="27"/>
      <c r="AM1411" s="34" t="s">
        <v>57</v>
      </c>
      <c r="AN1411" s="35" t="str">
        <f t="shared" si="108"/>
        <v>✓ OK</v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4150</v>
      </c>
      <c r="C1412" s="41" t="s">
        <v>4151</v>
      </c>
      <c r="D1412" s="39" t="s">
        <v>3482</v>
      </c>
      <c r="E1412" s="42">
        <v>46129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42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70">
        <v>46248</v>
      </c>
      <c r="X1412" s="30" t="s">
        <v>55</v>
      </c>
      <c r="Y1412" s="30" t="s">
        <v>56</v>
      </c>
      <c r="Z1412" s="30" t="s">
        <v>57</v>
      </c>
      <c r="AA1412" s="30" t="s">
        <v>58</v>
      </c>
      <c r="AB1412" s="30" t="s">
        <v>56</v>
      </c>
      <c r="AC1412" s="27"/>
      <c r="AD1412" s="31" t="s">
        <v>57</v>
      </c>
      <c r="AE1412" s="32" t="str">
        <f t="shared" si="107"/>
        <v>✓ OK</v>
      </c>
      <c r="AF1412" s="33" t="s">
        <v>61</v>
      </c>
      <c r="AG1412" s="33" t="s">
        <v>55</v>
      </c>
      <c r="AH1412" s="33" t="s">
        <v>56</v>
      </c>
      <c r="AI1412" s="33" t="s">
        <v>57</v>
      </c>
      <c r="AJ1412" s="33" t="s">
        <v>58</v>
      </c>
      <c r="AK1412" s="33" t="s">
        <v>56</v>
      </c>
      <c r="AL1412" s="27"/>
      <c r="AM1412" s="34" t="s">
        <v>57</v>
      </c>
      <c r="AN1412" s="35" t="str">
        <f t="shared" si="108"/>
        <v>✓ OK</v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4152</v>
      </c>
      <c r="C1413" s="25" t="s">
        <v>4153</v>
      </c>
      <c r="D1413" s="23" t="s">
        <v>3482</v>
      </c>
      <c r="E1413" s="42">
        <v>46129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42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70">
        <v>46248</v>
      </c>
      <c r="X1413" s="30" t="s">
        <v>55</v>
      </c>
      <c r="Y1413" s="30" t="s">
        <v>56</v>
      </c>
      <c r="Z1413" s="30" t="s">
        <v>57</v>
      </c>
      <c r="AA1413" s="30" t="s">
        <v>58</v>
      </c>
      <c r="AB1413" s="30" t="s">
        <v>56</v>
      </c>
      <c r="AC1413" s="27"/>
      <c r="AD1413" s="31" t="s">
        <v>57</v>
      </c>
      <c r="AE1413" s="32" t="str">
        <f t="shared" si="107"/>
        <v>✓ OK</v>
      </c>
      <c r="AF1413" s="33" t="s">
        <v>61</v>
      </c>
      <c r="AG1413" s="33" t="s">
        <v>55</v>
      </c>
      <c r="AH1413" s="33" t="s">
        <v>56</v>
      </c>
      <c r="AI1413" s="33" t="s">
        <v>57</v>
      </c>
      <c r="AJ1413" s="33" t="s">
        <v>58</v>
      </c>
      <c r="AK1413" s="33" t="s">
        <v>56</v>
      </c>
      <c r="AL1413" s="27"/>
      <c r="AM1413" s="34" t="s">
        <v>57</v>
      </c>
      <c r="AN1413" s="35" t="str">
        <f t="shared" si="108"/>
        <v>✓ OK</v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35" priority="15">
      <formula>G5="Yes"</formula>
    </cfRule>
    <cfRule type="expression" dxfId="434" priority="16">
      <formula>G5="No"</formula>
    </cfRule>
  </conditionalFormatting>
  <conditionalFormatting sqref="H5:H1413">
    <cfRule type="expression" dxfId="433" priority="17">
      <formula>H5="Yes"</formula>
    </cfRule>
  </conditionalFormatting>
  <conditionalFormatting sqref="J5:J1413">
    <cfRule type="expression" dxfId="432" priority="18">
      <formula>J5="Yes"</formula>
    </cfRule>
    <cfRule type="expression" dxfId="431" priority="19">
      <formula>J5="No"</formula>
    </cfRule>
  </conditionalFormatting>
  <conditionalFormatting sqref="M5:M1413">
    <cfRule type="expression" dxfId="430" priority="13">
      <formula>M5="⚠ Missing"</formula>
    </cfRule>
    <cfRule type="expression" dxfId="429" priority="11">
      <formula>M5="✓ OK"</formula>
    </cfRule>
    <cfRule type="expression" dxfId="428" priority="12">
      <formula>M5="❌ Disc"</formula>
    </cfRule>
    <cfRule type="expression" dxfId="427" priority="14">
      <formula>M5="⚠ Check"</formula>
    </cfRule>
  </conditionalFormatting>
  <conditionalFormatting sqref="N5:N1413">
    <cfRule type="expression" dxfId="426" priority="1">
      <formula>MOD(ROW(),2)=0</formula>
    </cfRule>
  </conditionalFormatting>
  <conditionalFormatting sqref="A5:M1413 O5:AW1413">
    <cfRule type="expression" dxfId="425" priority="56">
      <formula>MOD(ROW(),2)=0</formula>
    </cfRule>
  </conditionalFormatting>
  <conditionalFormatting sqref="P5:P1413">
    <cfRule type="expression" dxfId="424" priority="6">
      <formula>P5="Yes"</formula>
    </cfRule>
    <cfRule type="expression" dxfId="423" priority="7">
      <formula>P5="No"</formula>
    </cfRule>
    <cfRule type="expression" dxfId="422" priority="24">
      <formula>P5="Yes"</formula>
    </cfRule>
    <cfRule type="expression" dxfId="421" priority="25">
      <formula>P5="No"</formula>
    </cfRule>
  </conditionalFormatting>
  <conditionalFormatting sqref="Q5:Q1413">
    <cfRule type="expression" dxfId="420" priority="8">
      <formula>Q5="Yes"</formula>
    </cfRule>
  </conditionalFormatting>
  <conditionalFormatting sqref="S5:S1413">
    <cfRule type="expression" dxfId="419" priority="9">
      <formula>S5="Yes"</formula>
    </cfRule>
    <cfRule type="expression" dxfId="418" priority="10">
      <formula>S5="No"</formula>
    </cfRule>
    <cfRule type="expression" dxfId="417" priority="27">
      <formula>S5="Yes"</formula>
    </cfRule>
    <cfRule type="expression" dxfId="416" priority="28">
      <formula>S5="No"</formula>
    </cfRule>
  </conditionalFormatting>
  <conditionalFormatting sqref="V5:V1413">
    <cfRule type="expression" dxfId="415" priority="2">
      <formula>V5="✓ OK"</formula>
    </cfRule>
    <cfRule type="expression" dxfId="414" priority="3">
      <formula>V5="❌ Disc"</formula>
    </cfRule>
    <cfRule type="expression" dxfId="413" priority="4">
      <formula>V5="⚠ Missing"</formula>
    </cfRule>
    <cfRule type="expression" dxfId="412" priority="5">
      <formula>V5="⚠ Check"</formula>
    </cfRule>
    <cfRule type="expression" dxfId="411" priority="20">
      <formula>V5="✓ OK"</formula>
    </cfRule>
    <cfRule type="expression" dxfId="410" priority="21">
      <formula>V5="❌ Disc"</formula>
    </cfRule>
    <cfRule type="expression" dxfId="409" priority="22">
      <formula>V5="⚠ Missing"</formula>
    </cfRule>
    <cfRule type="expression" dxfId="408" priority="23">
      <formula>V5="⚠ Check"</formula>
    </cfRule>
  </conditionalFormatting>
  <conditionalFormatting sqref="Y5:Y1413">
    <cfRule type="expression" dxfId="407" priority="33">
      <formula>Y5="Yes"</formula>
    </cfRule>
    <cfRule type="expression" dxfId="406" priority="34">
      <formula>Y5="No"</formula>
    </cfRule>
  </conditionalFormatting>
  <conditionalFormatting sqref="Z5:Z1413">
    <cfRule type="expression" dxfId="405" priority="35">
      <formula>Z5="Yes"</formula>
    </cfRule>
  </conditionalFormatting>
  <conditionalFormatting sqref="AB5:AB1413">
    <cfRule type="expression" dxfId="404" priority="36">
      <formula>AB5="Yes"</formula>
    </cfRule>
    <cfRule type="expression" dxfId="403" priority="37">
      <formula>AB5="No"</formula>
    </cfRule>
  </conditionalFormatting>
  <conditionalFormatting sqref="AE5:AE1413">
    <cfRule type="expression" dxfId="402" priority="30">
      <formula>AE5="❌ Disc"</formula>
    </cfRule>
    <cfRule type="expression" dxfId="401" priority="31">
      <formula>AE5="⚠ Missing"</formula>
    </cfRule>
    <cfRule type="expression" dxfId="400" priority="29">
      <formula>AE5="✓ OK"</formula>
    </cfRule>
    <cfRule type="expression" dxfId="399" priority="32">
      <formula>AE5="⚠ Check"</formula>
    </cfRule>
  </conditionalFormatting>
  <conditionalFormatting sqref="AH5:AH1413">
    <cfRule type="expression" dxfId="398" priority="42">
      <formula>AH5="Yes"</formula>
    </cfRule>
    <cfRule type="expression" dxfId="397" priority="43">
      <formula>AH5="No"</formula>
    </cfRule>
  </conditionalFormatting>
  <conditionalFormatting sqref="AI5:AI1413">
    <cfRule type="expression" dxfId="396" priority="44">
      <formula>AI5="Yes"</formula>
    </cfRule>
  </conditionalFormatting>
  <conditionalFormatting sqref="AK5:AK1413">
    <cfRule type="expression" dxfId="395" priority="45">
      <formula>AK5="Yes"</formula>
    </cfRule>
    <cfRule type="expression" dxfId="394" priority="46">
      <formula>AK5="No"</formula>
    </cfRule>
  </conditionalFormatting>
  <conditionalFormatting sqref="AN5:AN1413">
    <cfRule type="expression" dxfId="393" priority="38">
      <formula>AN5="✓ OK"</formula>
    </cfRule>
    <cfRule type="expression" dxfId="392" priority="39">
      <formula>AN5="❌ Disc"</formula>
    </cfRule>
    <cfRule type="expression" dxfId="391" priority="40">
      <formula>AN5="⚠ Missing"</formula>
    </cfRule>
    <cfRule type="expression" dxfId="390" priority="41">
      <formula>AN5="⚠ Check"</formula>
    </cfRule>
  </conditionalFormatting>
  <conditionalFormatting sqref="AQ5:AQ1413">
    <cfRule type="expression" dxfId="389" priority="51">
      <formula>AQ5="Yes"</formula>
    </cfRule>
    <cfRule type="expression" dxfId="388" priority="52">
      <formula>AQ5="No"</formula>
    </cfRule>
  </conditionalFormatting>
  <conditionalFormatting sqref="AR5:AR1413">
    <cfRule type="expression" dxfId="387" priority="53">
      <formula>AR5="Yes"</formula>
    </cfRule>
  </conditionalFormatting>
  <conditionalFormatting sqref="AT5:AT1413">
    <cfRule type="expression" dxfId="386" priority="54">
      <formula>AT5="Yes"</formula>
    </cfRule>
    <cfRule type="expression" dxfId="385" priority="55">
      <formula>AT5="No"</formula>
    </cfRule>
  </conditionalFormatting>
  <conditionalFormatting sqref="AW5:AW1413">
    <cfRule type="expression" dxfId="384" priority="47">
      <formula>AW5="✓ OK"</formula>
    </cfRule>
    <cfRule type="expression" dxfId="383" priority="48">
      <formula>AW5="❌ Disc"</formula>
    </cfRule>
    <cfRule type="expression" dxfId="382" priority="49">
      <formula>AW5="⚠ Missing"</formula>
    </cfRule>
    <cfRule type="expression" dxfId="381" priority="50">
      <formula>AW5="⚠ Check"</formula>
    </cfRule>
  </conditionalFormatting>
  <dataValidations count="2">
    <dataValidation type="list" allowBlank="1" sqref="G5:H1413 J5:J1413 P5:Q1413 S5:S1413 Y5:Z1413 AB5:AB1413 AH5:AI1413 AT5:AT1413 AQ5:AR1413 AK5:AK1413" xr:uid="{00000000-0002-0000-0500-000000000000}">
      <formula1>"Yes,No"</formula1>
    </dataValidation>
    <dataValidation type="list" allowBlank="1" sqref="I5:I1413 R5:R1413 AA5:AA1413 AS5:AS1413 AJ5:AJ1413" xr:uid="{00000000-0002-0000-05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AF51" activePane="bottomRight" state="frozen"/>
      <selection pane="topRight" activeCell="H13" sqref="H13"/>
      <selection pane="bottomLeft" activeCell="H13" sqref="H13"/>
      <selection pane="bottomRight" activeCell="AH51" sqref="AH51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4154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4155</v>
      </c>
      <c r="C5" s="25" t="s">
        <v>4156</v>
      </c>
      <c r="D5" s="23" t="s">
        <v>4157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4158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57</v>
      </c>
      <c r="T5" s="27" t="s">
        <v>4158</v>
      </c>
      <c r="U5" s="28" t="s">
        <v>56</v>
      </c>
      <c r="V5" s="29" t="str">
        <f t="shared" ref="V5:V36" si="1">IF(N5="","",IF(Q5="Yes","❌ Disc",IF(P5="No","⚠ Missing",IF(S5="Yes","✓ OK","⚠ Check"))))</f>
        <v>⚠ Check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4159</v>
      </c>
      <c r="C6" s="41" t="s">
        <v>4160</v>
      </c>
      <c r="D6" s="39" t="s">
        <v>4157</v>
      </c>
      <c r="E6" s="42">
        <v>46129</v>
      </c>
      <c r="F6" s="26" t="s">
        <v>55</v>
      </c>
      <c r="G6" s="26" t="s">
        <v>57</v>
      </c>
      <c r="H6" s="26" t="s">
        <v>57</v>
      </c>
      <c r="I6" s="26" t="s">
        <v>90</v>
      </c>
      <c r="J6" s="26" t="s">
        <v>57</v>
      </c>
      <c r="K6" s="27" t="s">
        <v>91</v>
      </c>
      <c r="L6" s="28" t="s">
        <v>56</v>
      </c>
      <c r="M6" s="29" t="str">
        <f t="shared" si="0"/>
        <v>⚠ Missing</v>
      </c>
      <c r="N6" s="42">
        <v>46196</v>
      </c>
      <c r="O6" s="26" t="s">
        <v>55</v>
      </c>
      <c r="P6" s="26" t="s">
        <v>57</v>
      </c>
      <c r="Q6" s="26" t="s">
        <v>57</v>
      </c>
      <c r="R6" s="26" t="s">
        <v>90</v>
      </c>
      <c r="S6" s="26" t="s">
        <v>57</v>
      </c>
      <c r="T6" s="27" t="s">
        <v>91</v>
      </c>
      <c r="U6" s="28" t="s">
        <v>56</v>
      </c>
      <c r="V6" s="29" t="str">
        <f t="shared" si="1"/>
        <v>⚠ Missing</v>
      </c>
      <c r="W6" s="70">
        <v>46248</v>
      </c>
      <c r="X6" s="30" t="s">
        <v>55</v>
      </c>
      <c r="Y6" s="30" t="s">
        <v>57</v>
      </c>
      <c r="Z6" s="30" t="s">
        <v>57</v>
      </c>
      <c r="AA6" s="30" t="s">
        <v>90</v>
      </c>
      <c r="AB6" s="30" t="s">
        <v>57</v>
      </c>
      <c r="AC6" s="27" t="s">
        <v>91</v>
      </c>
      <c r="AD6" s="31" t="s">
        <v>56</v>
      </c>
      <c r="AE6" s="32" t="str">
        <f t="shared" si="2"/>
        <v>⚠ Missing</v>
      </c>
      <c r="AF6" s="33" t="s">
        <v>61</v>
      </c>
      <c r="AG6" s="33" t="s">
        <v>55</v>
      </c>
      <c r="AH6" s="33" t="s">
        <v>57</v>
      </c>
      <c r="AI6" s="33" t="s">
        <v>57</v>
      </c>
      <c r="AJ6" s="33" t="s">
        <v>90</v>
      </c>
      <c r="AK6" s="33" t="s">
        <v>57</v>
      </c>
      <c r="AL6" s="27" t="s">
        <v>91</v>
      </c>
      <c r="AM6" s="34" t="s">
        <v>56</v>
      </c>
      <c r="AN6" s="35" t="str">
        <f t="shared" si="3"/>
        <v>⚠ Missing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4161</v>
      </c>
      <c r="C7" s="25" t="s">
        <v>4162</v>
      </c>
      <c r="D7" s="23" t="s">
        <v>4157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57</v>
      </c>
      <c r="K7" s="27" t="s">
        <v>4158</v>
      </c>
      <c r="L7" s="28" t="s">
        <v>56</v>
      </c>
      <c r="M7" s="29" t="str">
        <f t="shared" si="0"/>
        <v>⚠ Check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57</v>
      </c>
      <c r="T7" s="27" t="s">
        <v>4158</v>
      </c>
      <c r="U7" s="28" t="s">
        <v>56</v>
      </c>
      <c r="V7" s="29" t="str">
        <f t="shared" si="1"/>
        <v>⚠ Check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56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4163</v>
      </c>
      <c r="C8" s="41" t="s">
        <v>4164</v>
      </c>
      <c r="D8" s="39" t="s">
        <v>4157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57</v>
      </c>
      <c r="K8" s="27" t="s">
        <v>4158</v>
      </c>
      <c r="L8" s="28" t="s">
        <v>56</v>
      </c>
      <c r="M8" s="29" t="str">
        <f t="shared" si="0"/>
        <v>⚠ Check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57</v>
      </c>
      <c r="T8" s="27" t="s">
        <v>4158</v>
      </c>
      <c r="U8" s="28" t="s">
        <v>56</v>
      </c>
      <c r="V8" s="29" t="str">
        <f t="shared" si="1"/>
        <v>⚠ Check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56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4165</v>
      </c>
      <c r="C9" s="25" t="s">
        <v>4166</v>
      </c>
      <c r="D9" s="23" t="s">
        <v>4157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57</v>
      </c>
      <c r="K9" s="27" t="s">
        <v>4158</v>
      </c>
      <c r="L9" s="28" t="s">
        <v>56</v>
      </c>
      <c r="M9" s="29" t="str">
        <f t="shared" si="0"/>
        <v>⚠ Check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57</v>
      </c>
      <c r="T9" s="27" t="s">
        <v>4158</v>
      </c>
      <c r="U9" s="28" t="s">
        <v>56</v>
      </c>
      <c r="V9" s="29" t="str">
        <f t="shared" si="1"/>
        <v>⚠ Check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56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4167</v>
      </c>
      <c r="C10" s="41" t="s">
        <v>4168</v>
      </c>
      <c r="D10" s="39" t="s">
        <v>4157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4158</v>
      </c>
      <c r="L10" s="28" t="s">
        <v>56</v>
      </c>
      <c r="M10" s="29" t="str">
        <f t="shared" si="0"/>
        <v>⚠ Check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57</v>
      </c>
      <c r="T10" s="27" t="s">
        <v>4158</v>
      </c>
      <c r="U10" s="28" t="s">
        <v>56</v>
      </c>
      <c r="V10" s="29" t="str">
        <f t="shared" si="1"/>
        <v>⚠ Check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56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4169</v>
      </c>
      <c r="C11" s="25" t="s">
        <v>4170</v>
      </c>
      <c r="D11" s="23" t="s">
        <v>4157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4171</v>
      </c>
      <c r="C12" s="41" t="s">
        <v>4172</v>
      </c>
      <c r="D12" s="39" t="s">
        <v>4157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4173</v>
      </c>
      <c r="C13" s="25" t="s">
        <v>4174</v>
      </c>
      <c r="D13" s="23" t="s">
        <v>4157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4175</v>
      </c>
      <c r="C14" s="41" t="s">
        <v>4176</v>
      </c>
      <c r="D14" s="39" t="s">
        <v>4157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4177</v>
      </c>
      <c r="C15" s="25" t="s">
        <v>4178</v>
      </c>
      <c r="D15" s="23" t="s">
        <v>4157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4179</v>
      </c>
      <c r="C16" s="41" t="s">
        <v>4180</v>
      </c>
      <c r="D16" s="39" t="s">
        <v>4157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4158</v>
      </c>
      <c r="L16" s="28" t="s">
        <v>56</v>
      </c>
      <c r="M16" s="29" t="str">
        <f t="shared" si="0"/>
        <v>⚠ Check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57</v>
      </c>
      <c r="T16" s="27" t="s">
        <v>4158</v>
      </c>
      <c r="U16" s="28" t="s">
        <v>56</v>
      </c>
      <c r="V16" s="29" t="str">
        <f t="shared" si="1"/>
        <v>⚠ Check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56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4181</v>
      </c>
      <c r="C17" s="25" t="s">
        <v>4182</v>
      </c>
      <c r="D17" s="23" t="s">
        <v>4157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57</v>
      </c>
      <c r="K17" s="27" t="s">
        <v>4158</v>
      </c>
      <c r="L17" s="28" t="s">
        <v>56</v>
      </c>
      <c r="M17" s="29" t="str">
        <f t="shared" si="0"/>
        <v>⚠ Check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57</v>
      </c>
      <c r="T17" s="27" t="s">
        <v>4158</v>
      </c>
      <c r="U17" s="28" t="s">
        <v>56</v>
      </c>
      <c r="V17" s="29" t="str">
        <f t="shared" si="1"/>
        <v>⚠ Check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56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4183</v>
      </c>
      <c r="C18" s="41" t="s">
        <v>4184</v>
      </c>
      <c r="D18" s="39" t="s">
        <v>4157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4185</v>
      </c>
      <c r="C19" s="25" t="s">
        <v>4186</v>
      </c>
      <c r="D19" s="23" t="s">
        <v>4157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57</v>
      </c>
      <c r="K19" s="27" t="s">
        <v>4158</v>
      </c>
      <c r="L19" s="28" t="s">
        <v>56</v>
      </c>
      <c r="M19" s="29" t="str">
        <f t="shared" si="0"/>
        <v>⚠ Check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57</v>
      </c>
      <c r="T19" s="27" t="s">
        <v>4158</v>
      </c>
      <c r="U19" s="28" t="s">
        <v>56</v>
      </c>
      <c r="V19" s="29" t="str">
        <f t="shared" si="1"/>
        <v>⚠ Check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56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4187</v>
      </c>
      <c r="C20" s="41" t="s">
        <v>4188</v>
      </c>
      <c r="D20" s="39" t="s">
        <v>4157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4189</v>
      </c>
      <c r="C21" s="25" t="s">
        <v>4190</v>
      </c>
      <c r="D21" s="23" t="s">
        <v>4157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4191</v>
      </c>
      <c r="C22" s="41" t="s">
        <v>4192</v>
      </c>
      <c r="D22" s="39" t="s">
        <v>4157</v>
      </c>
      <c r="E22" s="42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57</v>
      </c>
      <c r="K22" s="27" t="s">
        <v>4158</v>
      </c>
      <c r="L22" s="28" t="s">
        <v>56</v>
      </c>
      <c r="M22" s="29" t="str">
        <f t="shared" si="0"/>
        <v>⚠ Check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57</v>
      </c>
      <c r="T22" s="27" t="s">
        <v>4158</v>
      </c>
      <c r="U22" s="28" t="s">
        <v>56</v>
      </c>
      <c r="V22" s="29" t="str">
        <f t="shared" si="1"/>
        <v>⚠ Check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56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4193</v>
      </c>
      <c r="C23" s="25" t="s">
        <v>4194</v>
      </c>
      <c r="D23" s="23" t="s">
        <v>4157</v>
      </c>
      <c r="E23" s="42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4195</v>
      </c>
      <c r="C24" s="41" t="s">
        <v>4196</v>
      </c>
      <c r="D24" s="39" t="s">
        <v>4157</v>
      </c>
      <c r="E24" s="42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57</v>
      </c>
      <c r="K24" s="27" t="s">
        <v>4158</v>
      </c>
      <c r="L24" s="28" t="s">
        <v>56</v>
      </c>
      <c r="M24" s="29" t="str">
        <f t="shared" si="0"/>
        <v>⚠ Check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57</v>
      </c>
      <c r="T24" s="27" t="s">
        <v>4158</v>
      </c>
      <c r="U24" s="28" t="s">
        <v>56</v>
      </c>
      <c r="V24" s="29" t="str">
        <f t="shared" si="1"/>
        <v>⚠ Check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56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4197</v>
      </c>
      <c r="C25" s="25" t="s">
        <v>4198</v>
      </c>
      <c r="D25" s="23" t="s">
        <v>4157</v>
      </c>
      <c r="E25" s="42">
        <v>46129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57</v>
      </c>
      <c r="K25" s="27" t="s">
        <v>4158</v>
      </c>
      <c r="L25" s="28" t="s">
        <v>56</v>
      </c>
      <c r="M25" s="29" t="str">
        <f t="shared" si="0"/>
        <v>⚠ Check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57</v>
      </c>
      <c r="T25" s="27" t="s">
        <v>4158</v>
      </c>
      <c r="U25" s="28" t="s">
        <v>56</v>
      </c>
      <c r="V25" s="29" t="str">
        <f t="shared" si="1"/>
        <v>⚠ Check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56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4199</v>
      </c>
      <c r="C26" s="41" t="s">
        <v>4200</v>
      </c>
      <c r="D26" s="39" t="s">
        <v>4157</v>
      </c>
      <c r="E26" s="42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57</v>
      </c>
      <c r="K26" s="27" t="s">
        <v>4158</v>
      </c>
      <c r="L26" s="28" t="s">
        <v>56</v>
      </c>
      <c r="M26" s="29" t="str">
        <f t="shared" si="0"/>
        <v>⚠ Check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57</v>
      </c>
      <c r="T26" s="27" t="s">
        <v>4158</v>
      </c>
      <c r="U26" s="28" t="s">
        <v>56</v>
      </c>
      <c r="V26" s="29" t="str">
        <f t="shared" si="1"/>
        <v>⚠ Check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56</v>
      </c>
      <c r="AE26" s="32" t="str">
        <f t="shared" si="2"/>
        <v>✓ OK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58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4201</v>
      </c>
      <c r="C27" s="25" t="s">
        <v>4202</v>
      </c>
      <c r="D27" s="23" t="s">
        <v>4157</v>
      </c>
      <c r="E27" s="42">
        <v>46129</v>
      </c>
      <c r="F27" s="26" t="s">
        <v>55</v>
      </c>
      <c r="G27" s="26" t="s">
        <v>57</v>
      </c>
      <c r="H27" s="26" t="s">
        <v>57</v>
      </c>
      <c r="I27" s="26" t="s">
        <v>90</v>
      </c>
      <c r="J27" s="26" t="s">
        <v>57</v>
      </c>
      <c r="K27" s="27" t="s">
        <v>91</v>
      </c>
      <c r="L27" s="28" t="s">
        <v>56</v>
      </c>
      <c r="M27" s="29" t="str">
        <f t="shared" si="0"/>
        <v>⚠ Missing</v>
      </c>
      <c r="N27" s="42">
        <v>46196</v>
      </c>
      <c r="O27" s="26" t="s">
        <v>55</v>
      </c>
      <c r="P27" s="26" t="s">
        <v>57</v>
      </c>
      <c r="Q27" s="26" t="s">
        <v>57</v>
      </c>
      <c r="R27" s="26" t="s">
        <v>90</v>
      </c>
      <c r="S27" s="26" t="s">
        <v>57</v>
      </c>
      <c r="T27" s="27" t="s">
        <v>91</v>
      </c>
      <c r="U27" s="28" t="s">
        <v>56</v>
      </c>
      <c r="V27" s="29" t="str">
        <f t="shared" si="1"/>
        <v>⚠ Missing</v>
      </c>
      <c r="W27" s="70">
        <v>46248</v>
      </c>
      <c r="X27" s="30" t="s">
        <v>55</v>
      </c>
      <c r="Y27" s="30" t="s">
        <v>57</v>
      </c>
      <c r="Z27" s="30" t="s">
        <v>57</v>
      </c>
      <c r="AA27" s="30" t="s">
        <v>90</v>
      </c>
      <c r="AB27" s="30" t="s">
        <v>57</v>
      </c>
      <c r="AC27" s="27" t="s">
        <v>91</v>
      </c>
      <c r="AD27" s="31" t="s">
        <v>56</v>
      </c>
      <c r="AE27" s="32" t="str">
        <f t="shared" si="2"/>
        <v>⚠ Missing</v>
      </c>
      <c r="AF27" s="33" t="s">
        <v>61</v>
      </c>
      <c r="AG27" s="33" t="s">
        <v>55</v>
      </c>
      <c r="AH27" s="33" t="s">
        <v>57</v>
      </c>
      <c r="AI27" s="33" t="s">
        <v>57</v>
      </c>
      <c r="AJ27" s="33" t="s">
        <v>90</v>
      </c>
      <c r="AK27" s="33" t="s">
        <v>57</v>
      </c>
      <c r="AL27" s="27" t="s">
        <v>91</v>
      </c>
      <c r="AM27" s="34" t="s">
        <v>56</v>
      </c>
      <c r="AN27" s="35" t="str">
        <f t="shared" si="3"/>
        <v>⚠ Missing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4203</v>
      </c>
      <c r="C28" s="41" t="s">
        <v>4204</v>
      </c>
      <c r="D28" s="39" t="s">
        <v>4157</v>
      </c>
      <c r="E28" s="42">
        <v>46129</v>
      </c>
      <c r="F28" s="26" t="s">
        <v>55</v>
      </c>
      <c r="G28" s="26" t="s">
        <v>57</v>
      </c>
      <c r="H28" s="26" t="s">
        <v>57</v>
      </c>
      <c r="I28" s="26" t="s">
        <v>90</v>
      </c>
      <c r="J28" s="26" t="s">
        <v>57</v>
      </c>
      <c r="K28" s="27" t="s">
        <v>91</v>
      </c>
      <c r="L28" s="28" t="s">
        <v>56</v>
      </c>
      <c r="M28" s="29" t="str">
        <f t="shared" si="0"/>
        <v>⚠ Missing</v>
      </c>
      <c r="N28" s="42">
        <v>46196</v>
      </c>
      <c r="O28" s="26" t="s">
        <v>55</v>
      </c>
      <c r="P28" s="26" t="s">
        <v>57</v>
      </c>
      <c r="Q28" s="26" t="s">
        <v>57</v>
      </c>
      <c r="R28" s="26" t="s">
        <v>90</v>
      </c>
      <c r="S28" s="26" t="s">
        <v>57</v>
      </c>
      <c r="T28" s="27" t="s">
        <v>91</v>
      </c>
      <c r="U28" s="28" t="s">
        <v>56</v>
      </c>
      <c r="V28" s="29" t="str">
        <f t="shared" si="1"/>
        <v>⚠ Missing</v>
      </c>
      <c r="W28" s="70">
        <v>46248</v>
      </c>
      <c r="X28" s="30" t="s">
        <v>55</v>
      </c>
      <c r="Y28" s="30" t="s">
        <v>57</v>
      </c>
      <c r="Z28" s="30" t="s">
        <v>57</v>
      </c>
      <c r="AA28" s="30" t="s">
        <v>90</v>
      </c>
      <c r="AB28" s="30" t="s">
        <v>57</v>
      </c>
      <c r="AC28" s="27" t="s">
        <v>91</v>
      </c>
      <c r="AD28" s="31" t="s">
        <v>56</v>
      </c>
      <c r="AE28" s="32" t="str">
        <f t="shared" si="2"/>
        <v>⚠ Missing</v>
      </c>
      <c r="AF28" s="33" t="s">
        <v>61</v>
      </c>
      <c r="AG28" s="33" t="s">
        <v>55</v>
      </c>
      <c r="AH28" s="33" t="s">
        <v>57</v>
      </c>
      <c r="AI28" s="33" t="s">
        <v>57</v>
      </c>
      <c r="AJ28" s="33" t="s">
        <v>90</v>
      </c>
      <c r="AK28" s="33" t="s">
        <v>57</v>
      </c>
      <c r="AL28" s="27" t="s">
        <v>91</v>
      </c>
      <c r="AM28" s="34" t="s">
        <v>56</v>
      </c>
      <c r="AN28" s="35" t="str">
        <f t="shared" si="3"/>
        <v>⚠ Missing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4205</v>
      </c>
      <c r="C29" s="25" t="s">
        <v>4206</v>
      </c>
      <c r="D29" s="23" t="s">
        <v>4157</v>
      </c>
      <c r="E29" s="42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 t="s">
        <v>57</v>
      </c>
      <c r="AJ29" s="33" t="s">
        <v>58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4207</v>
      </c>
      <c r="C30" s="41" t="s">
        <v>4208</v>
      </c>
      <c r="D30" s="39" t="s">
        <v>4157</v>
      </c>
      <c r="E30" s="42">
        <v>46129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57</v>
      </c>
      <c r="K30" s="27" t="s">
        <v>4158</v>
      </c>
      <c r="L30" s="28" t="s">
        <v>56</v>
      </c>
      <c r="M30" s="29" t="str">
        <f t="shared" si="0"/>
        <v>⚠ Check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57</v>
      </c>
      <c r="T30" s="27" t="s">
        <v>4158</v>
      </c>
      <c r="U30" s="28" t="s">
        <v>56</v>
      </c>
      <c r="V30" s="29" t="str">
        <f t="shared" si="1"/>
        <v>⚠ Check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56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4209</v>
      </c>
      <c r="C31" s="25" t="s">
        <v>4210</v>
      </c>
      <c r="D31" s="23" t="s">
        <v>4157</v>
      </c>
      <c r="E31" s="42">
        <v>46129</v>
      </c>
      <c r="F31" s="26" t="s">
        <v>55</v>
      </c>
      <c r="G31" s="26" t="s">
        <v>57</v>
      </c>
      <c r="H31" s="26" t="s">
        <v>57</v>
      </c>
      <c r="I31" s="26" t="s">
        <v>90</v>
      </c>
      <c r="J31" s="26" t="s">
        <v>57</v>
      </c>
      <c r="K31" s="27" t="s">
        <v>91</v>
      </c>
      <c r="L31" s="28" t="s">
        <v>56</v>
      </c>
      <c r="M31" s="29" t="str">
        <f t="shared" si="0"/>
        <v>⚠ Missing</v>
      </c>
      <c r="N31" s="42">
        <v>46196</v>
      </c>
      <c r="O31" s="26" t="s">
        <v>55</v>
      </c>
      <c r="P31" s="26" t="s">
        <v>57</v>
      </c>
      <c r="Q31" s="26" t="s">
        <v>57</v>
      </c>
      <c r="R31" s="26" t="s">
        <v>90</v>
      </c>
      <c r="S31" s="26" t="s">
        <v>57</v>
      </c>
      <c r="T31" s="27" t="s">
        <v>91</v>
      </c>
      <c r="U31" s="28" t="s">
        <v>56</v>
      </c>
      <c r="V31" s="29" t="str">
        <f t="shared" si="1"/>
        <v>⚠ Missing</v>
      </c>
      <c r="W31" s="70">
        <v>46248</v>
      </c>
      <c r="X31" s="30" t="s">
        <v>55</v>
      </c>
      <c r="Y31" s="30" t="s">
        <v>57</v>
      </c>
      <c r="Z31" s="30" t="s">
        <v>57</v>
      </c>
      <c r="AA31" s="30" t="s">
        <v>90</v>
      </c>
      <c r="AB31" s="30" t="s">
        <v>57</v>
      </c>
      <c r="AC31" s="27" t="s">
        <v>91</v>
      </c>
      <c r="AD31" s="31" t="s">
        <v>56</v>
      </c>
      <c r="AE31" s="32" t="str">
        <f t="shared" si="2"/>
        <v>⚠ Missing</v>
      </c>
      <c r="AF31" s="33" t="s">
        <v>61</v>
      </c>
      <c r="AG31" s="33" t="s">
        <v>55</v>
      </c>
      <c r="AH31" s="33" t="s">
        <v>57</v>
      </c>
      <c r="AI31" s="33" t="s">
        <v>57</v>
      </c>
      <c r="AJ31" s="33" t="s">
        <v>90</v>
      </c>
      <c r="AK31" s="33" t="s">
        <v>57</v>
      </c>
      <c r="AL31" s="27" t="s">
        <v>91</v>
      </c>
      <c r="AM31" s="34" t="s">
        <v>56</v>
      </c>
      <c r="AN31" s="35" t="str">
        <f t="shared" si="3"/>
        <v>⚠ Missing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4211</v>
      </c>
      <c r="C32" s="41" t="s">
        <v>4212</v>
      </c>
      <c r="D32" s="39" t="s">
        <v>4157</v>
      </c>
      <c r="E32" s="42">
        <v>46129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 t="s">
        <v>57</v>
      </c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4213</v>
      </c>
      <c r="C33" s="25" t="s">
        <v>4214</v>
      </c>
      <c r="D33" s="23" t="s">
        <v>4157</v>
      </c>
      <c r="E33" s="42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57</v>
      </c>
      <c r="K33" s="27" t="s">
        <v>4158</v>
      </c>
      <c r="L33" s="28" t="s">
        <v>56</v>
      </c>
      <c r="M33" s="29" t="str">
        <f t="shared" si="0"/>
        <v>⚠ Check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57</v>
      </c>
      <c r="T33" s="27" t="s">
        <v>4158</v>
      </c>
      <c r="U33" s="28" t="s">
        <v>56</v>
      </c>
      <c r="V33" s="29" t="str">
        <f t="shared" si="1"/>
        <v>⚠ Check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56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4215</v>
      </c>
      <c r="C34" s="41" t="s">
        <v>4216</v>
      </c>
      <c r="D34" s="39" t="s">
        <v>4157</v>
      </c>
      <c r="E34" s="42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57</v>
      </c>
      <c r="K34" s="27" t="s">
        <v>4158</v>
      </c>
      <c r="L34" s="28" t="s">
        <v>56</v>
      </c>
      <c r="M34" s="29" t="str">
        <f t="shared" si="0"/>
        <v>⚠ Check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57</v>
      </c>
      <c r="T34" s="27" t="s">
        <v>4158</v>
      </c>
      <c r="U34" s="28" t="s">
        <v>56</v>
      </c>
      <c r="V34" s="29" t="str">
        <f t="shared" si="1"/>
        <v>⚠ Check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56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4217</v>
      </c>
      <c r="C35" s="25" t="s">
        <v>4218</v>
      </c>
      <c r="D35" s="23" t="s">
        <v>4157</v>
      </c>
      <c r="E35" s="42">
        <v>46129</v>
      </c>
      <c r="F35" s="26" t="s">
        <v>55</v>
      </c>
      <c r="G35" s="26" t="s">
        <v>57</v>
      </c>
      <c r="H35" s="26" t="s">
        <v>57</v>
      </c>
      <c r="I35" s="26" t="s">
        <v>90</v>
      </c>
      <c r="J35" s="26" t="s">
        <v>57</v>
      </c>
      <c r="K35" s="27" t="s">
        <v>91</v>
      </c>
      <c r="L35" s="28" t="s">
        <v>56</v>
      </c>
      <c r="M35" s="29" t="str">
        <f t="shared" si="0"/>
        <v>⚠ Missing</v>
      </c>
      <c r="N35" s="42">
        <v>46196</v>
      </c>
      <c r="O35" s="26" t="s">
        <v>55</v>
      </c>
      <c r="P35" s="26" t="s">
        <v>57</v>
      </c>
      <c r="Q35" s="26" t="s">
        <v>57</v>
      </c>
      <c r="R35" s="26" t="s">
        <v>90</v>
      </c>
      <c r="S35" s="26" t="s">
        <v>57</v>
      </c>
      <c r="T35" s="27" t="s">
        <v>91</v>
      </c>
      <c r="U35" s="28" t="s">
        <v>56</v>
      </c>
      <c r="V35" s="29" t="str">
        <f t="shared" si="1"/>
        <v>⚠ Missing</v>
      </c>
      <c r="W35" s="70">
        <v>46248</v>
      </c>
      <c r="X35" s="30" t="s">
        <v>55</v>
      </c>
      <c r="Y35" s="30" t="s">
        <v>57</v>
      </c>
      <c r="Z35" s="30" t="s">
        <v>57</v>
      </c>
      <c r="AA35" s="30" t="s">
        <v>90</v>
      </c>
      <c r="AB35" s="30" t="s">
        <v>57</v>
      </c>
      <c r="AC35" s="27" t="s">
        <v>91</v>
      </c>
      <c r="AD35" s="31" t="s">
        <v>56</v>
      </c>
      <c r="AE35" s="32" t="str">
        <f t="shared" si="2"/>
        <v>⚠ Missing</v>
      </c>
      <c r="AF35" s="33" t="s">
        <v>61</v>
      </c>
      <c r="AG35" s="33" t="s">
        <v>55</v>
      </c>
      <c r="AH35" s="33" t="s">
        <v>57</v>
      </c>
      <c r="AI35" s="33" t="s">
        <v>57</v>
      </c>
      <c r="AJ35" s="33" t="s">
        <v>90</v>
      </c>
      <c r="AK35" s="33" t="s">
        <v>57</v>
      </c>
      <c r="AL35" s="27" t="s">
        <v>91</v>
      </c>
      <c r="AM35" s="34" t="s">
        <v>56</v>
      </c>
      <c r="AN35" s="35" t="str">
        <f t="shared" si="3"/>
        <v>⚠ Missing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4219</v>
      </c>
      <c r="C36" s="41" t="s">
        <v>4220</v>
      </c>
      <c r="D36" s="39" t="s">
        <v>4157</v>
      </c>
      <c r="E36" s="42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 t="s">
        <v>57</v>
      </c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4221</v>
      </c>
      <c r="C37" s="25" t="s">
        <v>4222</v>
      </c>
      <c r="D37" s="23" t="s">
        <v>4157</v>
      </c>
      <c r="E37" s="42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57</v>
      </c>
      <c r="K37" s="27" t="s">
        <v>4158</v>
      </c>
      <c r="L37" s="28" t="s">
        <v>56</v>
      </c>
      <c r="M37" s="29" t="str">
        <f t="shared" ref="M37:M68" si="5">IF(E37="","",IF(H37="Yes","❌ Disc",IF(G37="No","⚠ Missing",IF(J37="Yes","✓ OK","⚠ Check"))))</f>
        <v>⚠ Check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57</v>
      </c>
      <c r="T37" s="27" t="s">
        <v>4158</v>
      </c>
      <c r="U37" s="28" t="s">
        <v>56</v>
      </c>
      <c r="V37" s="29" t="str">
        <f t="shared" ref="V37:V68" si="6">IF(N37="","",IF(Q37="Yes","❌ Disc",IF(P37="No","⚠ Missing",IF(S37="Yes","✓ OK","⚠ Check"))))</f>
        <v>⚠ Check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 t="s">
        <v>61</v>
      </c>
      <c r="AG37" s="33" t="s">
        <v>55</v>
      </c>
      <c r="AH37" s="33" t="s">
        <v>56</v>
      </c>
      <c r="AI37" s="33" t="s">
        <v>57</v>
      </c>
      <c r="AJ37" s="33" t="s">
        <v>58</v>
      </c>
      <c r="AK37" s="33" t="s">
        <v>56</v>
      </c>
      <c r="AL37" s="27"/>
      <c r="AM37" s="34" t="s">
        <v>57</v>
      </c>
      <c r="AN37" s="35" t="str">
        <f t="shared" ref="AN37:AN68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4223</v>
      </c>
      <c r="C38" s="41" t="s">
        <v>4224</v>
      </c>
      <c r="D38" s="39" t="s">
        <v>4157</v>
      </c>
      <c r="E38" s="42">
        <v>46129</v>
      </c>
      <c r="F38" s="26" t="s">
        <v>55</v>
      </c>
      <c r="G38" s="26" t="s">
        <v>57</v>
      </c>
      <c r="H38" s="26" t="s">
        <v>57</v>
      </c>
      <c r="I38" s="26" t="s">
        <v>90</v>
      </c>
      <c r="J38" s="26" t="s">
        <v>57</v>
      </c>
      <c r="K38" s="27" t="s">
        <v>91</v>
      </c>
      <c r="L38" s="28" t="s">
        <v>56</v>
      </c>
      <c r="M38" s="29" t="str">
        <f t="shared" si="5"/>
        <v>⚠ Missing</v>
      </c>
      <c r="N38" s="42">
        <v>46196</v>
      </c>
      <c r="O38" s="26" t="s">
        <v>55</v>
      </c>
      <c r="P38" s="26" t="s">
        <v>57</v>
      </c>
      <c r="Q38" s="26" t="s">
        <v>57</v>
      </c>
      <c r="R38" s="26" t="s">
        <v>90</v>
      </c>
      <c r="S38" s="26" t="s">
        <v>57</v>
      </c>
      <c r="T38" s="27" t="s">
        <v>91</v>
      </c>
      <c r="U38" s="28" t="s">
        <v>56</v>
      </c>
      <c r="V38" s="29" t="str">
        <f t="shared" si="6"/>
        <v>⚠ Missing</v>
      </c>
      <c r="W38" s="70">
        <v>46248</v>
      </c>
      <c r="X38" s="30" t="s">
        <v>55</v>
      </c>
      <c r="Y38" s="30" t="s">
        <v>57</v>
      </c>
      <c r="Z38" s="30" t="s">
        <v>57</v>
      </c>
      <c r="AA38" s="30" t="s">
        <v>90</v>
      </c>
      <c r="AB38" s="30" t="s">
        <v>57</v>
      </c>
      <c r="AC38" s="27" t="s">
        <v>91</v>
      </c>
      <c r="AD38" s="31" t="s">
        <v>56</v>
      </c>
      <c r="AE38" s="32" t="str">
        <f t="shared" si="7"/>
        <v>⚠ Missing</v>
      </c>
      <c r="AF38" s="33" t="s">
        <v>61</v>
      </c>
      <c r="AG38" s="33" t="s">
        <v>55</v>
      </c>
      <c r="AH38" s="33" t="s">
        <v>57</v>
      </c>
      <c r="AI38" s="33" t="s">
        <v>57</v>
      </c>
      <c r="AJ38" s="33" t="s">
        <v>90</v>
      </c>
      <c r="AK38" s="33" t="s">
        <v>57</v>
      </c>
      <c r="AL38" s="27" t="s">
        <v>91</v>
      </c>
      <c r="AM38" s="34" t="s">
        <v>56</v>
      </c>
      <c r="AN38" s="35" t="str">
        <f t="shared" si="8"/>
        <v>⚠ Missing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4225</v>
      </c>
      <c r="C39" s="25" t="s">
        <v>4226</v>
      </c>
      <c r="D39" s="23" t="s">
        <v>4157</v>
      </c>
      <c r="E39" s="42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4158</v>
      </c>
      <c r="L39" s="28" t="s">
        <v>56</v>
      </c>
      <c r="M39" s="29" t="str">
        <f t="shared" si="5"/>
        <v>⚠ Check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57</v>
      </c>
      <c r="T39" s="27" t="s">
        <v>4158</v>
      </c>
      <c r="U39" s="28" t="s">
        <v>56</v>
      </c>
      <c r="V39" s="29" t="str">
        <f t="shared" si="6"/>
        <v>⚠ Check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56</v>
      </c>
      <c r="AE39" s="32" t="str">
        <f t="shared" si="7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4227</v>
      </c>
      <c r="C40" s="41" t="s">
        <v>4228</v>
      </c>
      <c r="D40" s="39" t="s">
        <v>4157</v>
      </c>
      <c r="E40" s="42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4158</v>
      </c>
      <c r="L40" s="28" t="s">
        <v>56</v>
      </c>
      <c r="M40" s="29" t="str">
        <f t="shared" si="5"/>
        <v>⚠ Check</v>
      </c>
      <c r="N40" s="42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57</v>
      </c>
      <c r="T40" s="27" t="s">
        <v>4158</v>
      </c>
      <c r="U40" s="28" t="s">
        <v>56</v>
      </c>
      <c r="V40" s="29" t="str">
        <f t="shared" si="6"/>
        <v>⚠ Check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56</v>
      </c>
      <c r="AE40" s="32" t="str">
        <f t="shared" si="7"/>
        <v>✓ OK</v>
      </c>
      <c r="AF40" s="33" t="s">
        <v>61</v>
      </c>
      <c r="AG40" s="33" t="s">
        <v>55</v>
      </c>
      <c r="AH40" s="33" t="s">
        <v>56</v>
      </c>
      <c r="AI40" s="33" t="s">
        <v>57</v>
      </c>
      <c r="AJ40" s="33" t="s">
        <v>58</v>
      </c>
      <c r="AK40" s="33" t="s">
        <v>56</v>
      </c>
      <c r="AL40" s="27"/>
      <c r="AM40" s="34" t="s">
        <v>57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4229</v>
      </c>
      <c r="C41" s="25" t="s">
        <v>4230</v>
      </c>
      <c r="D41" s="23" t="s">
        <v>4157</v>
      </c>
      <c r="E41" s="42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4158</v>
      </c>
      <c r="L41" s="28" t="s">
        <v>56</v>
      </c>
      <c r="M41" s="29" t="str">
        <f t="shared" si="5"/>
        <v>⚠ Check</v>
      </c>
      <c r="N41" s="42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57</v>
      </c>
      <c r="T41" s="27" t="s">
        <v>4158</v>
      </c>
      <c r="U41" s="28" t="s">
        <v>56</v>
      </c>
      <c r="V41" s="29" t="str">
        <f t="shared" si="6"/>
        <v>⚠ Check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56</v>
      </c>
      <c r="AE41" s="32" t="str">
        <f t="shared" si="7"/>
        <v>✓ OK</v>
      </c>
      <c r="AF41" s="33" t="s">
        <v>61</v>
      </c>
      <c r="AG41" s="33" t="s">
        <v>55</v>
      </c>
      <c r="AH41" s="33" t="s">
        <v>56</v>
      </c>
      <c r="AI41" s="33" t="s">
        <v>57</v>
      </c>
      <c r="AJ41" s="33" t="s">
        <v>58</v>
      </c>
      <c r="AK41" s="33" t="s">
        <v>56</v>
      </c>
      <c r="AL41" s="27"/>
      <c r="AM41" s="34" t="s">
        <v>57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4231</v>
      </c>
      <c r="C42" s="41" t="s">
        <v>4232</v>
      </c>
      <c r="D42" s="39" t="s">
        <v>4157</v>
      </c>
      <c r="E42" s="42">
        <v>46136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 t="s">
        <v>61</v>
      </c>
      <c r="AG42" s="33" t="s">
        <v>55</v>
      </c>
      <c r="AH42" s="33" t="s">
        <v>56</v>
      </c>
      <c r="AI42" s="33" t="s">
        <v>57</v>
      </c>
      <c r="AJ42" s="33" t="s">
        <v>58</v>
      </c>
      <c r="AK42" s="33" t="s">
        <v>56</v>
      </c>
      <c r="AL42" s="27"/>
      <c r="AM42" s="34" t="s">
        <v>57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4233</v>
      </c>
      <c r="C43" s="25" t="s">
        <v>4234</v>
      </c>
      <c r="D43" s="23" t="s">
        <v>4157</v>
      </c>
      <c r="E43" s="42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57</v>
      </c>
      <c r="K43" s="27" t="s">
        <v>4158</v>
      </c>
      <c r="L43" s="28" t="s">
        <v>56</v>
      </c>
      <c r="M43" s="29" t="str">
        <f t="shared" si="5"/>
        <v>⚠ Check</v>
      </c>
      <c r="N43" s="42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57</v>
      </c>
      <c r="T43" s="27" t="s">
        <v>4158</v>
      </c>
      <c r="U43" s="28" t="s">
        <v>56</v>
      </c>
      <c r="V43" s="29" t="str">
        <f t="shared" si="6"/>
        <v>⚠ Check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56</v>
      </c>
      <c r="AE43" s="32" t="str">
        <f t="shared" si="7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4235</v>
      </c>
      <c r="C44" s="41" t="s">
        <v>4236</v>
      </c>
      <c r="D44" s="39" t="s">
        <v>4157</v>
      </c>
      <c r="E44" s="42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4237</v>
      </c>
      <c r="C45" s="25" t="s">
        <v>4238</v>
      </c>
      <c r="D45" s="23" t="s">
        <v>4157</v>
      </c>
      <c r="E45" s="42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57</v>
      </c>
      <c r="K45" s="27" t="s">
        <v>4158</v>
      </c>
      <c r="L45" s="28" t="s">
        <v>56</v>
      </c>
      <c r="M45" s="29" t="str">
        <f t="shared" si="5"/>
        <v>⚠ Check</v>
      </c>
      <c r="N45" s="42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57</v>
      </c>
      <c r="T45" s="27" t="s">
        <v>4158</v>
      </c>
      <c r="U45" s="28" t="s">
        <v>56</v>
      </c>
      <c r="V45" s="29" t="str">
        <f t="shared" si="6"/>
        <v>⚠ Check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56</v>
      </c>
      <c r="AE45" s="32" t="str">
        <f t="shared" si="7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4239</v>
      </c>
      <c r="C46" s="41" t="s">
        <v>4240</v>
      </c>
      <c r="D46" s="39" t="s">
        <v>4157</v>
      </c>
      <c r="E46" s="42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4241</v>
      </c>
      <c r="C47" s="25" t="s">
        <v>4242</v>
      </c>
      <c r="D47" s="23" t="s">
        <v>4157</v>
      </c>
      <c r="E47" s="42">
        <v>46129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4158</v>
      </c>
      <c r="L47" s="28" t="s">
        <v>56</v>
      </c>
      <c r="M47" s="29" t="str">
        <f t="shared" si="5"/>
        <v>⚠ Check</v>
      </c>
      <c r="N47" s="42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57</v>
      </c>
      <c r="T47" s="27" t="s">
        <v>4158</v>
      </c>
      <c r="U47" s="28" t="s">
        <v>56</v>
      </c>
      <c r="V47" s="29" t="str">
        <f t="shared" si="6"/>
        <v>⚠ Check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56</v>
      </c>
      <c r="AE47" s="32" t="str">
        <f t="shared" si="7"/>
        <v>✓ OK</v>
      </c>
      <c r="AF47" s="33" t="s">
        <v>61</v>
      </c>
      <c r="AG47" s="33" t="s">
        <v>55</v>
      </c>
      <c r="AH47" s="33" t="s">
        <v>56</v>
      </c>
      <c r="AI47" s="33" t="s">
        <v>57</v>
      </c>
      <c r="AJ47" s="33" t="s">
        <v>58</v>
      </c>
      <c r="AK47" s="33" t="s">
        <v>56</v>
      </c>
      <c r="AL47" s="27"/>
      <c r="AM47" s="34" t="s">
        <v>57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4243</v>
      </c>
      <c r="C48" s="41" t="s">
        <v>4244</v>
      </c>
      <c r="D48" s="39" t="s">
        <v>4245</v>
      </c>
      <c r="E48" s="42">
        <v>46132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26" t="s">
        <v>57</v>
      </c>
      <c r="Q48" s="26" t="s">
        <v>56</v>
      </c>
      <c r="R48" s="26" t="s">
        <v>60</v>
      </c>
      <c r="S48" s="26" t="s">
        <v>57</v>
      </c>
      <c r="T48" s="27"/>
      <c r="U48" s="28" t="s">
        <v>57</v>
      </c>
      <c r="V48" s="29" t="str">
        <f t="shared" si="6"/>
        <v>❌ Disc</v>
      </c>
      <c r="W48" s="70">
        <v>46248</v>
      </c>
      <c r="X48" s="30" t="s">
        <v>55</v>
      </c>
      <c r="Y48" s="30" t="s">
        <v>57</v>
      </c>
      <c r="Z48" s="30" t="s">
        <v>56</v>
      </c>
      <c r="AA48" s="30" t="s">
        <v>60</v>
      </c>
      <c r="AB48" s="30" t="s">
        <v>57</v>
      </c>
      <c r="AC48" s="27"/>
      <c r="AD48" s="31" t="s">
        <v>57</v>
      </c>
      <c r="AE48" s="32" t="str">
        <f t="shared" si="7"/>
        <v>❌ Disc</v>
      </c>
      <c r="AF48" s="33" t="s">
        <v>61</v>
      </c>
      <c r="AG48" s="33" t="s">
        <v>62</v>
      </c>
      <c r="AH48" s="33" t="s">
        <v>57</v>
      </c>
      <c r="AI48" s="33" t="s">
        <v>56</v>
      </c>
      <c r="AJ48" s="33" t="s">
        <v>60</v>
      </c>
      <c r="AK48" s="33" t="s">
        <v>57</v>
      </c>
      <c r="AL48" s="27"/>
      <c r="AM48" s="34" t="s">
        <v>57</v>
      </c>
      <c r="AN48" s="35" t="str">
        <f t="shared" si="8"/>
        <v>❌ Disc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4246</v>
      </c>
      <c r="C49" s="25" t="s">
        <v>4247</v>
      </c>
      <c r="D49" s="23" t="s">
        <v>4245</v>
      </c>
      <c r="E49" s="42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26" t="s">
        <v>57</v>
      </c>
      <c r="Q49" s="26" t="s">
        <v>56</v>
      </c>
      <c r="R49" s="26" t="s">
        <v>60</v>
      </c>
      <c r="S49" s="26" t="s">
        <v>57</v>
      </c>
      <c r="T49" s="27"/>
      <c r="U49" s="28" t="s">
        <v>57</v>
      </c>
      <c r="V49" s="29" t="str">
        <f t="shared" si="6"/>
        <v>❌ Disc</v>
      </c>
      <c r="W49" s="70">
        <v>46248</v>
      </c>
      <c r="X49" s="30" t="s">
        <v>55</v>
      </c>
      <c r="Y49" s="30" t="s">
        <v>57</v>
      </c>
      <c r="Z49" s="30" t="s">
        <v>56</v>
      </c>
      <c r="AA49" s="30" t="s">
        <v>60</v>
      </c>
      <c r="AB49" s="30" t="s">
        <v>57</v>
      </c>
      <c r="AC49" s="27"/>
      <c r="AD49" s="31" t="s">
        <v>57</v>
      </c>
      <c r="AE49" s="32" t="str">
        <f t="shared" si="7"/>
        <v>❌ Disc</v>
      </c>
      <c r="AF49" s="33" t="s">
        <v>61</v>
      </c>
      <c r="AG49" s="33" t="s">
        <v>62</v>
      </c>
      <c r="AH49" s="33" t="s">
        <v>57</v>
      </c>
      <c r="AI49" s="33" t="s">
        <v>56</v>
      </c>
      <c r="AJ49" s="33" t="s">
        <v>60</v>
      </c>
      <c r="AK49" s="33" t="s">
        <v>57</v>
      </c>
      <c r="AL49" s="27"/>
      <c r="AM49" s="34" t="s">
        <v>57</v>
      </c>
      <c r="AN49" s="35" t="str">
        <f t="shared" si="8"/>
        <v>❌ Disc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4248</v>
      </c>
      <c r="C50" s="41" t="s">
        <v>4249</v>
      </c>
      <c r="D50" s="39" t="s">
        <v>4245</v>
      </c>
      <c r="E50" s="42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57</v>
      </c>
      <c r="K50" s="27" t="s">
        <v>4158</v>
      </c>
      <c r="L50" s="28" t="s">
        <v>56</v>
      </c>
      <c r="M50" s="29" t="str">
        <f t="shared" si="5"/>
        <v>⚠ Check</v>
      </c>
      <c r="N50" s="42">
        <v>46196</v>
      </c>
      <c r="O50" s="26" t="s">
        <v>55</v>
      </c>
      <c r="P50" s="26" t="s">
        <v>57</v>
      </c>
      <c r="Q50" s="26" t="s">
        <v>56</v>
      </c>
      <c r="R50" s="26" t="s">
        <v>60</v>
      </c>
      <c r="S50" s="26" t="s">
        <v>57</v>
      </c>
      <c r="T50" s="27"/>
      <c r="U50" s="28" t="s">
        <v>57</v>
      </c>
      <c r="V50" s="29" t="str">
        <f t="shared" si="6"/>
        <v>❌ Disc</v>
      </c>
      <c r="W50" s="70">
        <v>46248</v>
      </c>
      <c r="X50" s="30" t="s">
        <v>55</v>
      </c>
      <c r="Y50" s="30" t="s">
        <v>57</v>
      </c>
      <c r="Z50" s="30" t="s">
        <v>56</v>
      </c>
      <c r="AA50" s="30" t="s">
        <v>60</v>
      </c>
      <c r="AB50" s="30" t="s">
        <v>57</v>
      </c>
      <c r="AC50" s="27"/>
      <c r="AD50" s="31" t="s">
        <v>57</v>
      </c>
      <c r="AE50" s="32" t="str">
        <f t="shared" si="7"/>
        <v>❌ Disc</v>
      </c>
      <c r="AF50" s="33" t="s">
        <v>61</v>
      </c>
      <c r="AG50" s="33" t="s">
        <v>62</v>
      </c>
      <c r="AH50" s="33" t="s">
        <v>56</v>
      </c>
      <c r="AI50" s="33" t="s">
        <v>56</v>
      </c>
      <c r="AJ50" s="33" t="s">
        <v>58</v>
      </c>
      <c r="AK50" s="33" t="s">
        <v>56</v>
      </c>
      <c r="AL50" s="27"/>
      <c r="AM50" s="34" t="s">
        <v>57</v>
      </c>
      <c r="AN50" s="35" t="str">
        <f t="shared" si="8"/>
        <v>❌ Disc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4250</v>
      </c>
      <c r="C51" s="25" t="s">
        <v>4251</v>
      </c>
      <c r="D51" s="23" t="s">
        <v>4245</v>
      </c>
      <c r="E51" s="42">
        <v>46129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26" t="s">
        <v>57</v>
      </c>
      <c r="Q51" s="26" t="s">
        <v>56</v>
      </c>
      <c r="R51" s="26" t="s">
        <v>60</v>
      </c>
      <c r="S51" s="26" t="s">
        <v>57</v>
      </c>
      <c r="T51" s="27"/>
      <c r="U51" s="28" t="s">
        <v>57</v>
      </c>
      <c r="V51" s="29" t="str">
        <f t="shared" si="6"/>
        <v>❌ Disc</v>
      </c>
      <c r="W51" s="70">
        <v>46248</v>
      </c>
      <c r="X51" s="30" t="s">
        <v>55</v>
      </c>
      <c r="Y51" s="30" t="s">
        <v>57</v>
      </c>
      <c r="Z51" s="30" t="s">
        <v>56</v>
      </c>
      <c r="AA51" s="30" t="s">
        <v>60</v>
      </c>
      <c r="AB51" s="30" t="s">
        <v>57</v>
      </c>
      <c r="AC51" s="27"/>
      <c r="AD51" s="31" t="s">
        <v>57</v>
      </c>
      <c r="AE51" s="32" t="str">
        <f t="shared" si="7"/>
        <v>❌ Disc</v>
      </c>
      <c r="AF51" s="33" t="s">
        <v>61</v>
      </c>
      <c r="AG51" s="33" t="s">
        <v>62</v>
      </c>
      <c r="AH51" s="33" t="s">
        <v>57</v>
      </c>
      <c r="AI51" s="33" t="s">
        <v>56</v>
      </c>
      <c r="AJ51" s="33" t="s">
        <v>60</v>
      </c>
      <c r="AK51" s="33" t="s">
        <v>57</v>
      </c>
      <c r="AL51" s="27"/>
      <c r="AM51" s="34" t="s">
        <v>57</v>
      </c>
      <c r="AN51" s="35" t="str">
        <f t="shared" si="8"/>
        <v>❌ Disc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4252</v>
      </c>
      <c r="C52" s="41" t="s">
        <v>4253</v>
      </c>
      <c r="D52" s="39" t="s">
        <v>4245</v>
      </c>
      <c r="E52" s="42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4158</v>
      </c>
      <c r="L52" s="28" t="s">
        <v>56</v>
      </c>
      <c r="M52" s="29" t="str">
        <f t="shared" si="5"/>
        <v>⚠ Check</v>
      </c>
      <c r="N52" s="42">
        <v>46196</v>
      </c>
      <c r="O52" s="26" t="s">
        <v>55</v>
      </c>
      <c r="P52" s="26" t="s">
        <v>57</v>
      </c>
      <c r="Q52" s="26" t="s">
        <v>56</v>
      </c>
      <c r="R52" s="26" t="s">
        <v>60</v>
      </c>
      <c r="S52" s="26" t="s">
        <v>57</v>
      </c>
      <c r="T52" s="27"/>
      <c r="U52" s="28" t="s">
        <v>57</v>
      </c>
      <c r="V52" s="29" t="str">
        <f t="shared" si="6"/>
        <v>❌ Disc</v>
      </c>
      <c r="W52" s="70">
        <v>46248</v>
      </c>
      <c r="X52" s="30" t="s">
        <v>55</v>
      </c>
      <c r="Y52" s="30" t="s">
        <v>57</v>
      </c>
      <c r="Z52" s="30" t="s">
        <v>56</v>
      </c>
      <c r="AA52" s="30" t="s">
        <v>60</v>
      </c>
      <c r="AB52" s="30" t="s">
        <v>57</v>
      </c>
      <c r="AC52" s="27"/>
      <c r="AD52" s="31" t="s">
        <v>57</v>
      </c>
      <c r="AE52" s="32" t="str">
        <f t="shared" si="7"/>
        <v>❌ Disc</v>
      </c>
      <c r="AF52" s="33" t="s">
        <v>61</v>
      </c>
      <c r="AG52" s="33" t="s">
        <v>62</v>
      </c>
      <c r="AH52" s="33" t="s">
        <v>56</v>
      </c>
      <c r="AI52" s="33" t="s">
        <v>56</v>
      </c>
      <c r="AJ52" s="33" t="s">
        <v>58</v>
      </c>
      <c r="AK52" s="33" t="s">
        <v>56</v>
      </c>
      <c r="AL52" s="27"/>
      <c r="AM52" s="34" t="s">
        <v>57</v>
      </c>
      <c r="AN52" s="35" t="str">
        <f t="shared" si="8"/>
        <v>❌ Disc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4254</v>
      </c>
      <c r="C53" s="25" t="s">
        <v>4255</v>
      </c>
      <c r="D53" s="23" t="s">
        <v>4245</v>
      </c>
      <c r="E53" s="42">
        <v>46129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26" t="s">
        <v>57</v>
      </c>
      <c r="Q53" s="26" t="s">
        <v>56</v>
      </c>
      <c r="R53" s="26" t="s">
        <v>60</v>
      </c>
      <c r="S53" s="26" t="s">
        <v>57</v>
      </c>
      <c r="T53" s="27"/>
      <c r="U53" s="28" t="s">
        <v>57</v>
      </c>
      <c r="V53" s="29" t="str">
        <f t="shared" si="6"/>
        <v>❌ Disc</v>
      </c>
      <c r="W53" s="70">
        <v>46248</v>
      </c>
      <c r="X53" s="30" t="s">
        <v>55</v>
      </c>
      <c r="Y53" s="30" t="s">
        <v>57</v>
      </c>
      <c r="Z53" s="30" t="s">
        <v>56</v>
      </c>
      <c r="AA53" s="30" t="s">
        <v>60</v>
      </c>
      <c r="AB53" s="30" t="s">
        <v>57</v>
      </c>
      <c r="AC53" s="27"/>
      <c r="AD53" s="31" t="s">
        <v>57</v>
      </c>
      <c r="AE53" s="32" t="str">
        <f t="shared" si="7"/>
        <v>❌ Disc</v>
      </c>
      <c r="AF53" s="33" t="s">
        <v>61</v>
      </c>
      <c r="AG53" s="33" t="s">
        <v>62</v>
      </c>
      <c r="AH53" s="33" t="s">
        <v>57</v>
      </c>
      <c r="AI53" s="33" t="s">
        <v>56</v>
      </c>
      <c r="AJ53" s="33" t="s">
        <v>60</v>
      </c>
      <c r="AK53" s="33" t="s">
        <v>57</v>
      </c>
      <c r="AL53" s="27"/>
      <c r="AM53" s="34" t="s">
        <v>57</v>
      </c>
      <c r="AN53" s="35" t="str">
        <f t="shared" si="8"/>
        <v>❌ Disc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4256</v>
      </c>
      <c r="C54" s="41" t="s">
        <v>4257</v>
      </c>
      <c r="D54" s="39" t="s">
        <v>4245</v>
      </c>
      <c r="E54" s="42">
        <v>46132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26" t="s">
        <v>57</v>
      </c>
      <c r="Q54" s="26" t="s">
        <v>56</v>
      </c>
      <c r="R54" s="26" t="s">
        <v>60</v>
      </c>
      <c r="S54" s="26" t="s">
        <v>57</v>
      </c>
      <c r="T54" s="27"/>
      <c r="U54" s="28" t="s">
        <v>57</v>
      </c>
      <c r="V54" s="29" t="str">
        <f t="shared" si="6"/>
        <v>❌ Disc</v>
      </c>
      <c r="W54" s="70">
        <v>46248</v>
      </c>
      <c r="X54" s="30" t="s">
        <v>55</v>
      </c>
      <c r="Y54" s="30" t="s">
        <v>57</v>
      </c>
      <c r="Z54" s="30" t="s">
        <v>56</v>
      </c>
      <c r="AA54" s="30" t="s">
        <v>60</v>
      </c>
      <c r="AB54" s="30" t="s">
        <v>57</v>
      </c>
      <c r="AC54" s="27"/>
      <c r="AD54" s="31" t="s">
        <v>57</v>
      </c>
      <c r="AE54" s="32" t="str">
        <f t="shared" si="7"/>
        <v>❌ Disc</v>
      </c>
      <c r="AF54" s="33" t="s">
        <v>61</v>
      </c>
      <c r="AG54" s="33" t="s">
        <v>62</v>
      </c>
      <c r="AH54" s="33" t="s">
        <v>57</v>
      </c>
      <c r="AI54" s="33" t="s">
        <v>56</v>
      </c>
      <c r="AJ54" s="33" t="s">
        <v>60</v>
      </c>
      <c r="AK54" s="33" t="s">
        <v>57</v>
      </c>
      <c r="AL54" s="27"/>
      <c r="AM54" s="34" t="s">
        <v>57</v>
      </c>
      <c r="AN54" s="35" t="str">
        <f t="shared" si="8"/>
        <v>❌ Disc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4258</v>
      </c>
      <c r="C55" s="25" t="s">
        <v>4259</v>
      </c>
      <c r="D55" s="23" t="s">
        <v>4245</v>
      </c>
      <c r="E55" s="42">
        <v>46129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57</v>
      </c>
      <c r="K55" s="27" t="s">
        <v>4158</v>
      </c>
      <c r="L55" s="28" t="s">
        <v>56</v>
      </c>
      <c r="M55" s="29" t="str">
        <f t="shared" si="5"/>
        <v>⚠ Check</v>
      </c>
      <c r="N55" s="42">
        <v>46196</v>
      </c>
      <c r="O55" s="26" t="s">
        <v>55</v>
      </c>
      <c r="P55" s="26" t="s">
        <v>57</v>
      </c>
      <c r="Q55" s="26" t="s">
        <v>56</v>
      </c>
      <c r="R55" s="26" t="s">
        <v>60</v>
      </c>
      <c r="S55" s="26" t="s">
        <v>57</v>
      </c>
      <c r="T55" s="27"/>
      <c r="U55" s="28" t="s">
        <v>57</v>
      </c>
      <c r="V55" s="29" t="str">
        <f t="shared" si="6"/>
        <v>❌ Disc</v>
      </c>
      <c r="W55" s="70">
        <v>46248</v>
      </c>
      <c r="X55" s="30" t="s">
        <v>55</v>
      </c>
      <c r="Y55" s="30" t="s">
        <v>57</v>
      </c>
      <c r="Z55" s="30" t="s">
        <v>56</v>
      </c>
      <c r="AA55" s="30" t="s">
        <v>60</v>
      </c>
      <c r="AB55" s="30" t="s">
        <v>57</v>
      </c>
      <c r="AC55" s="27"/>
      <c r="AD55" s="31" t="s">
        <v>57</v>
      </c>
      <c r="AE55" s="32" t="str">
        <f t="shared" si="7"/>
        <v>❌ Disc</v>
      </c>
      <c r="AF55" s="33" t="s">
        <v>61</v>
      </c>
      <c r="AG55" s="33" t="s">
        <v>62</v>
      </c>
      <c r="AH55" s="33" t="s">
        <v>56</v>
      </c>
      <c r="AI55" s="33" t="s">
        <v>56</v>
      </c>
      <c r="AJ55" s="33" t="s">
        <v>58</v>
      </c>
      <c r="AK55" s="33" t="s">
        <v>56</v>
      </c>
      <c r="AL55" s="27"/>
      <c r="AM55" s="34" t="s">
        <v>57</v>
      </c>
      <c r="AN55" s="35" t="str">
        <f t="shared" si="8"/>
        <v>❌ Disc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4260</v>
      </c>
      <c r="C56" s="41" t="s">
        <v>4261</v>
      </c>
      <c r="D56" s="39" t="s">
        <v>4245</v>
      </c>
      <c r="E56" s="42">
        <v>46132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57</v>
      </c>
      <c r="K56" s="27" t="s">
        <v>4158</v>
      </c>
      <c r="L56" s="28" t="s">
        <v>56</v>
      </c>
      <c r="M56" s="29" t="str">
        <f t="shared" si="5"/>
        <v>⚠ Check</v>
      </c>
      <c r="N56" s="42">
        <v>46196</v>
      </c>
      <c r="O56" s="26" t="s">
        <v>55</v>
      </c>
      <c r="P56" s="26" t="s">
        <v>57</v>
      </c>
      <c r="Q56" s="26" t="s">
        <v>56</v>
      </c>
      <c r="R56" s="26" t="s">
        <v>60</v>
      </c>
      <c r="S56" s="26" t="s">
        <v>57</v>
      </c>
      <c r="T56" s="27"/>
      <c r="U56" s="28" t="s">
        <v>57</v>
      </c>
      <c r="V56" s="29" t="str">
        <f t="shared" si="6"/>
        <v>❌ Disc</v>
      </c>
      <c r="W56" s="70">
        <v>46248</v>
      </c>
      <c r="X56" s="30" t="s">
        <v>55</v>
      </c>
      <c r="Y56" s="30" t="s">
        <v>57</v>
      </c>
      <c r="Z56" s="30" t="s">
        <v>56</v>
      </c>
      <c r="AA56" s="30" t="s">
        <v>60</v>
      </c>
      <c r="AB56" s="30" t="s">
        <v>57</v>
      </c>
      <c r="AC56" s="27"/>
      <c r="AD56" s="31" t="s">
        <v>57</v>
      </c>
      <c r="AE56" s="32" t="str">
        <f t="shared" si="7"/>
        <v>❌ Disc</v>
      </c>
      <c r="AF56" s="33" t="s">
        <v>61</v>
      </c>
      <c r="AG56" s="33" t="s">
        <v>62</v>
      </c>
      <c r="AH56" s="33" t="s">
        <v>56</v>
      </c>
      <c r="AI56" s="33" t="s">
        <v>56</v>
      </c>
      <c r="AJ56" s="33" t="s">
        <v>58</v>
      </c>
      <c r="AK56" s="33" t="s">
        <v>56</v>
      </c>
      <c r="AL56" s="27"/>
      <c r="AM56" s="34" t="s">
        <v>57</v>
      </c>
      <c r="AN56" s="35" t="str">
        <f t="shared" si="8"/>
        <v>❌ Disc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4262</v>
      </c>
      <c r="C57" s="25" t="s">
        <v>4263</v>
      </c>
      <c r="D57" s="23" t="s">
        <v>4245</v>
      </c>
      <c r="E57" s="42">
        <v>46129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4158</v>
      </c>
      <c r="L57" s="28" t="s">
        <v>56</v>
      </c>
      <c r="M57" s="29" t="str">
        <f t="shared" si="5"/>
        <v>⚠ Check</v>
      </c>
      <c r="N57" s="42">
        <v>46196</v>
      </c>
      <c r="O57" s="26" t="s">
        <v>55</v>
      </c>
      <c r="P57" s="26" t="s">
        <v>57</v>
      </c>
      <c r="Q57" s="26" t="s">
        <v>56</v>
      </c>
      <c r="R57" s="26" t="s">
        <v>60</v>
      </c>
      <c r="S57" s="26" t="s">
        <v>57</v>
      </c>
      <c r="T57" s="27"/>
      <c r="U57" s="28" t="s">
        <v>57</v>
      </c>
      <c r="V57" s="29" t="str">
        <f t="shared" si="6"/>
        <v>❌ Disc</v>
      </c>
      <c r="W57" s="70">
        <v>46248</v>
      </c>
      <c r="X57" s="30" t="s">
        <v>55</v>
      </c>
      <c r="Y57" s="30" t="s">
        <v>57</v>
      </c>
      <c r="Z57" s="30" t="s">
        <v>56</v>
      </c>
      <c r="AA57" s="30" t="s">
        <v>60</v>
      </c>
      <c r="AB57" s="30" t="s">
        <v>57</v>
      </c>
      <c r="AC57" s="27"/>
      <c r="AD57" s="31" t="s">
        <v>57</v>
      </c>
      <c r="AE57" s="32" t="str">
        <f t="shared" si="7"/>
        <v>❌ Disc</v>
      </c>
      <c r="AF57" s="33" t="s">
        <v>61</v>
      </c>
      <c r="AG57" s="33" t="s">
        <v>62</v>
      </c>
      <c r="AH57" s="33" t="s">
        <v>56</v>
      </c>
      <c r="AI57" s="33" t="s">
        <v>56</v>
      </c>
      <c r="AJ57" s="33" t="s">
        <v>58</v>
      </c>
      <c r="AK57" s="33" t="s">
        <v>56</v>
      </c>
      <c r="AL57" s="27"/>
      <c r="AM57" s="34" t="s">
        <v>57</v>
      </c>
      <c r="AN57" s="35" t="str">
        <f t="shared" si="8"/>
        <v>❌ Disc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4264</v>
      </c>
      <c r="C58" s="41" t="s">
        <v>4265</v>
      </c>
      <c r="D58" s="39" t="s">
        <v>4266</v>
      </c>
      <c r="E58" s="42">
        <v>46129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56</v>
      </c>
      <c r="Z58" s="30" t="s">
        <v>57</v>
      </c>
      <c r="AA58" s="30" t="s">
        <v>58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 t="s">
        <v>61</v>
      </c>
      <c r="AG58" s="33" t="s">
        <v>55</v>
      </c>
      <c r="AH58" s="33" t="s">
        <v>56</v>
      </c>
      <c r="AI58" s="33" t="s">
        <v>57</v>
      </c>
      <c r="AJ58" s="33" t="s">
        <v>58</v>
      </c>
      <c r="AK58" s="33" t="s">
        <v>56</v>
      </c>
      <c r="AL58" s="27"/>
      <c r="AM58" s="34" t="s">
        <v>57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4267</v>
      </c>
      <c r="C59" s="25" t="s">
        <v>4268</v>
      </c>
      <c r="D59" s="23" t="s">
        <v>4266</v>
      </c>
      <c r="E59" s="42">
        <v>46132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 t="s">
        <v>4158</v>
      </c>
      <c r="L59" s="28" t="s">
        <v>56</v>
      </c>
      <c r="M59" s="29" t="str">
        <f t="shared" si="5"/>
        <v>⚠ Check</v>
      </c>
      <c r="N59" s="42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57</v>
      </c>
      <c r="T59" s="27" t="s">
        <v>4158</v>
      </c>
      <c r="U59" s="28" t="s">
        <v>56</v>
      </c>
      <c r="V59" s="29" t="str">
        <f t="shared" si="6"/>
        <v>⚠ Check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56</v>
      </c>
      <c r="AE59" s="32" t="str">
        <f t="shared" si="7"/>
        <v>✓ OK</v>
      </c>
      <c r="AF59" s="33" t="s">
        <v>61</v>
      </c>
      <c r="AG59" s="33" t="s">
        <v>55</v>
      </c>
      <c r="AH59" s="33" t="s">
        <v>56</v>
      </c>
      <c r="AI59" s="33" t="s">
        <v>57</v>
      </c>
      <c r="AJ59" s="33" t="s">
        <v>58</v>
      </c>
      <c r="AK59" s="33" t="s">
        <v>56</v>
      </c>
      <c r="AL59" s="27"/>
      <c r="AM59" s="34" t="s">
        <v>57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4269</v>
      </c>
      <c r="C60" s="41" t="s">
        <v>4270</v>
      </c>
      <c r="D60" s="39" t="s">
        <v>4266</v>
      </c>
      <c r="E60" s="42">
        <v>46132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56</v>
      </c>
      <c r="Z60" s="30" t="s">
        <v>57</v>
      </c>
      <c r="AA60" s="30" t="s">
        <v>58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 t="s">
        <v>61</v>
      </c>
      <c r="AG60" s="33" t="s">
        <v>55</v>
      </c>
      <c r="AH60" s="33" t="s">
        <v>56</v>
      </c>
      <c r="AI60" s="33" t="s">
        <v>57</v>
      </c>
      <c r="AJ60" s="33" t="s">
        <v>58</v>
      </c>
      <c r="AK60" s="33" t="s">
        <v>56</v>
      </c>
      <c r="AL60" s="27"/>
      <c r="AM60" s="34" t="s">
        <v>57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4271</v>
      </c>
      <c r="C61" s="25" t="s">
        <v>4272</v>
      </c>
      <c r="D61" s="23" t="s">
        <v>4266</v>
      </c>
      <c r="E61" s="42">
        <v>46129</v>
      </c>
      <c r="F61" s="26" t="s">
        <v>55</v>
      </c>
      <c r="G61" s="26" t="s">
        <v>57</v>
      </c>
      <c r="H61" s="26" t="s">
        <v>57</v>
      </c>
      <c r="I61" s="26" t="s">
        <v>90</v>
      </c>
      <c r="J61" s="26" t="s">
        <v>57</v>
      </c>
      <c r="K61" s="27" t="s">
        <v>91</v>
      </c>
      <c r="L61" s="28" t="s">
        <v>56</v>
      </c>
      <c r="M61" s="29" t="str">
        <f t="shared" si="5"/>
        <v>⚠ Missing</v>
      </c>
      <c r="N61" s="42">
        <v>46196</v>
      </c>
      <c r="O61" s="26" t="s">
        <v>55</v>
      </c>
      <c r="P61" s="26" t="s">
        <v>57</v>
      </c>
      <c r="Q61" s="26" t="s">
        <v>57</v>
      </c>
      <c r="R61" s="26" t="s">
        <v>90</v>
      </c>
      <c r="S61" s="26" t="s">
        <v>57</v>
      </c>
      <c r="T61" s="27" t="s">
        <v>91</v>
      </c>
      <c r="U61" s="28" t="s">
        <v>56</v>
      </c>
      <c r="V61" s="29" t="str">
        <f t="shared" si="6"/>
        <v>⚠ Missing</v>
      </c>
      <c r="W61" s="70">
        <v>46248</v>
      </c>
      <c r="X61" s="30" t="s">
        <v>55</v>
      </c>
      <c r="Y61" s="30" t="s">
        <v>57</v>
      </c>
      <c r="Z61" s="30" t="s">
        <v>57</v>
      </c>
      <c r="AA61" s="30" t="s">
        <v>90</v>
      </c>
      <c r="AB61" s="30" t="s">
        <v>57</v>
      </c>
      <c r="AC61" s="27" t="s">
        <v>91</v>
      </c>
      <c r="AD61" s="31" t="s">
        <v>56</v>
      </c>
      <c r="AE61" s="32" t="str">
        <f t="shared" si="7"/>
        <v>⚠ Missing</v>
      </c>
      <c r="AF61" s="33" t="s">
        <v>61</v>
      </c>
      <c r="AG61" s="33" t="s">
        <v>55</v>
      </c>
      <c r="AH61" s="33" t="s">
        <v>57</v>
      </c>
      <c r="AI61" s="33" t="s">
        <v>57</v>
      </c>
      <c r="AJ61" s="33" t="s">
        <v>90</v>
      </c>
      <c r="AK61" s="33" t="s">
        <v>57</v>
      </c>
      <c r="AL61" s="27" t="s">
        <v>91</v>
      </c>
      <c r="AM61" s="34" t="s">
        <v>56</v>
      </c>
      <c r="AN61" s="35" t="str">
        <f t="shared" si="8"/>
        <v>⚠ Missing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4273</v>
      </c>
      <c r="C62" s="41" t="s">
        <v>4274</v>
      </c>
      <c r="D62" s="39" t="s">
        <v>4266</v>
      </c>
      <c r="E62" s="42">
        <v>46129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56</v>
      </c>
      <c r="Z62" s="30" t="s">
        <v>57</v>
      </c>
      <c r="AA62" s="30" t="s">
        <v>58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 t="s">
        <v>61</v>
      </c>
      <c r="AG62" s="33" t="s">
        <v>55</v>
      </c>
      <c r="AH62" s="33" t="s">
        <v>56</v>
      </c>
      <c r="AI62" s="33" t="s">
        <v>57</v>
      </c>
      <c r="AJ62" s="33" t="s">
        <v>58</v>
      </c>
      <c r="AK62" s="33" t="s">
        <v>56</v>
      </c>
      <c r="AL62" s="27"/>
      <c r="AM62" s="34" t="s">
        <v>57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4275</v>
      </c>
      <c r="C63" s="25" t="s">
        <v>4276</v>
      </c>
      <c r="D63" s="23" t="s">
        <v>4266</v>
      </c>
      <c r="E63" s="42">
        <v>46132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59</v>
      </c>
      <c r="L63" s="28" t="s">
        <v>56</v>
      </c>
      <c r="M63" s="29" t="str">
        <f t="shared" si="5"/>
        <v>⚠ Check</v>
      </c>
      <c r="N63" s="42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57</v>
      </c>
      <c r="T63" s="27" t="s">
        <v>59</v>
      </c>
      <c r="U63" s="28" t="s">
        <v>56</v>
      </c>
      <c r="V63" s="29" t="str">
        <f t="shared" si="6"/>
        <v>⚠ Check</v>
      </c>
      <c r="W63" s="70">
        <v>46248</v>
      </c>
      <c r="X63" s="30" t="s">
        <v>55</v>
      </c>
      <c r="Y63" s="30" t="s">
        <v>56</v>
      </c>
      <c r="Z63" s="30" t="s">
        <v>57</v>
      </c>
      <c r="AA63" s="30" t="s">
        <v>58</v>
      </c>
      <c r="AB63" s="30" t="s">
        <v>56</v>
      </c>
      <c r="AC63" s="27"/>
      <c r="AD63" s="31" t="s">
        <v>56</v>
      </c>
      <c r="AE63" s="32" t="str">
        <f t="shared" si="7"/>
        <v>✓ OK</v>
      </c>
      <c r="AF63" s="33" t="s">
        <v>61</v>
      </c>
      <c r="AG63" s="33" t="s">
        <v>55</v>
      </c>
      <c r="AH63" s="33" t="s">
        <v>56</v>
      </c>
      <c r="AI63" s="33" t="s">
        <v>57</v>
      </c>
      <c r="AJ63" s="33" t="s">
        <v>58</v>
      </c>
      <c r="AK63" s="33" t="s">
        <v>56</v>
      </c>
      <c r="AL63" s="27"/>
      <c r="AM63" s="34" t="s">
        <v>57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4277</v>
      </c>
      <c r="C64" s="41" t="s">
        <v>4278</v>
      </c>
      <c r="D64" s="39" t="s">
        <v>4266</v>
      </c>
      <c r="E64" s="42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59</v>
      </c>
      <c r="L64" s="28" t="s">
        <v>56</v>
      </c>
      <c r="M64" s="29" t="str">
        <f t="shared" si="5"/>
        <v>⚠ Check</v>
      </c>
      <c r="N64" s="42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57</v>
      </c>
      <c r="T64" s="27" t="s">
        <v>59</v>
      </c>
      <c r="U64" s="28" t="s">
        <v>56</v>
      </c>
      <c r="V64" s="29" t="str">
        <f t="shared" si="6"/>
        <v>⚠ Check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56</v>
      </c>
      <c r="AE64" s="32" t="str">
        <f t="shared" si="7"/>
        <v>✓ OK</v>
      </c>
      <c r="AF64" s="33" t="s">
        <v>61</v>
      </c>
      <c r="AG64" s="33" t="s">
        <v>55</v>
      </c>
      <c r="AH64" s="33" t="s">
        <v>56</v>
      </c>
      <c r="AI64" s="33" t="s">
        <v>57</v>
      </c>
      <c r="AJ64" s="33" t="s">
        <v>58</v>
      </c>
      <c r="AK64" s="33" t="s">
        <v>56</v>
      </c>
      <c r="AL64" s="27"/>
      <c r="AM64" s="34" t="s">
        <v>57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4279</v>
      </c>
      <c r="C65" s="25" t="s">
        <v>4280</v>
      </c>
      <c r="D65" s="23" t="s">
        <v>4266</v>
      </c>
      <c r="E65" s="42">
        <v>46129</v>
      </c>
      <c r="F65" s="26" t="s">
        <v>55</v>
      </c>
      <c r="G65" s="26" t="s">
        <v>56</v>
      </c>
      <c r="H65" s="26" t="s">
        <v>57</v>
      </c>
      <c r="I65" s="26" t="s">
        <v>1132</v>
      </c>
      <c r="J65" s="26" t="s">
        <v>57</v>
      </c>
      <c r="K65" s="27" t="s">
        <v>1117</v>
      </c>
      <c r="L65" s="28" t="s">
        <v>56</v>
      </c>
      <c r="M65" s="29" t="str">
        <f t="shared" si="5"/>
        <v>⚠ Check</v>
      </c>
      <c r="N65" s="42">
        <v>46196</v>
      </c>
      <c r="O65" s="26" t="s">
        <v>55</v>
      </c>
      <c r="P65" s="26" t="s">
        <v>56</v>
      </c>
      <c r="Q65" s="26" t="s">
        <v>57</v>
      </c>
      <c r="R65" s="26" t="s">
        <v>1132</v>
      </c>
      <c r="S65" s="26" t="s">
        <v>57</v>
      </c>
      <c r="T65" s="27" t="s">
        <v>1117</v>
      </c>
      <c r="U65" s="28" t="s">
        <v>56</v>
      </c>
      <c r="V65" s="29" t="str">
        <f t="shared" si="6"/>
        <v>⚠ Check</v>
      </c>
      <c r="W65" s="70">
        <v>46248</v>
      </c>
      <c r="X65" s="30" t="s">
        <v>55</v>
      </c>
      <c r="Y65" s="30" t="s">
        <v>56</v>
      </c>
      <c r="Z65" s="30" t="s">
        <v>57</v>
      </c>
      <c r="AA65" s="30" t="s">
        <v>1132</v>
      </c>
      <c r="AB65" s="30" t="s">
        <v>57</v>
      </c>
      <c r="AC65" s="27" t="s">
        <v>1117</v>
      </c>
      <c r="AD65" s="31" t="s">
        <v>56</v>
      </c>
      <c r="AE65" s="32" t="str">
        <f t="shared" si="7"/>
        <v>⚠ Check</v>
      </c>
      <c r="AF65" s="33" t="s">
        <v>61</v>
      </c>
      <c r="AG65" s="33" t="s">
        <v>55</v>
      </c>
      <c r="AH65" s="33" t="s">
        <v>56</v>
      </c>
      <c r="AI65" s="33" t="s">
        <v>57</v>
      </c>
      <c r="AJ65" s="33" t="s">
        <v>1132</v>
      </c>
      <c r="AK65" s="33" t="s">
        <v>57</v>
      </c>
      <c r="AL65" s="27" t="s">
        <v>1117</v>
      </c>
      <c r="AM65" s="34" t="s">
        <v>56</v>
      </c>
      <c r="AN65" s="35" t="str">
        <f t="shared" si="8"/>
        <v>⚠ Check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4281</v>
      </c>
      <c r="C66" s="41" t="s">
        <v>4282</v>
      </c>
      <c r="D66" s="39" t="s">
        <v>4266</v>
      </c>
      <c r="E66" s="42">
        <v>46129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56</v>
      </c>
      <c r="Z66" s="30" t="s">
        <v>57</v>
      </c>
      <c r="AA66" s="30" t="s">
        <v>58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 t="s">
        <v>61</v>
      </c>
      <c r="AG66" s="33" t="s">
        <v>55</v>
      </c>
      <c r="AH66" s="33" t="s">
        <v>56</v>
      </c>
      <c r="AI66" s="33" t="s">
        <v>57</v>
      </c>
      <c r="AJ66" s="33" t="s">
        <v>58</v>
      </c>
      <c r="AK66" s="33" t="s">
        <v>56</v>
      </c>
      <c r="AL66" s="27"/>
      <c r="AM66" s="34" t="s">
        <v>57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4283</v>
      </c>
      <c r="C67" s="25" t="s">
        <v>4284</v>
      </c>
      <c r="D67" s="23" t="s">
        <v>4266</v>
      </c>
      <c r="E67" s="42">
        <v>46129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56</v>
      </c>
      <c r="Z67" s="30" t="s">
        <v>57</v>
      </c>
      <c r="AA67" s="30" t="s">
        <v>58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 t="s">
        <v>61</v>
      </c>
      <c r="AG67" s="33" t="s">
        <v>55</v>
      </c>
      <c r="AH67" s="33" t="s">
        <v>56</v>
      </c>
      <c r="AI67" s="33" t="s">
        <v>57</v>
      </c>
      <c r="AJ67" s="33" t="s">
        <v>58</v>
      </c>
      <c r="AK67" s="33" t="s">
        <v>56</v>
      </c>
      <c r="AL67" s="27"/>
      <c r="AM67" s="34" t="s">
        <v>57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4285</v>
      </c>
      <c r="C68" s="41" t="s">
        <v>4286</v>
      </c>
      <c r="D68" s="39" t="s">
        <v>4266</v>
      </c>
      <c r="E68" s="42">
        <v>46132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56</v>
      </c>
      <c r="Z68" s="30" t="s">
        <v>57</v>
      </c>
      <c r="AA68" s="30" t="s">
        <v>58</v>
      </c>
      <c r="AB68" s="30" t="s">
        <v>56</v>
      </c>
      <c r="AC68" s="27"/>
      <c r="AD68" s="31" t="s">
        <v>57</v>
      </c>
      <c r="AE68" s="32" t="str">
        <f t="shared" si="7"/>
        <v>✓ OK</v>
      </c>
      <c r="AF68" s="33" t="s">
        <v>61</v>
      </c>
      <c r="AG68" s="33" t="s">
        <v>55</v>
      </c>
      <c r="AH68" s="33" t="s">
        <v>56</v>
      </c>
      <c r="AI68" s="33" t="s">
        <v>57</v>
      </c>
      <c r="AJ68" s="33" t="s">
        <v>58</v>
      </c>
      <c r="AK68" s="33" t="s">
        <v>56</v>
      </c>
      <c r="AL68" s="27"/>
      <c r="AM68" s="34" t="s">
        <v>57</v>
      </c>
      <c r="AN68" s="35" t="str">
        <f t="shared" si="8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4287</v>
      </c>
      <c r="C69" s="25" t="s">
        <v>4288</v>
      </c>
      <c r="D69" s="23" t="s">
        <v>4266</v>
      </c>
      <c r="E69" s="42">
        <v>46129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77" si="10">IF(E69="","",IF(H69="Yes","❌ Disc",IF(G69="No","⚠ Missing",IF(J69="Yes","✓ OK","⚠ Check"))))</f>
        <v>✓ OK</v>
      </c>
      <c r="N69" s="42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77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77" si="12">IF(W69="","",IF(Z69="Yes","❌ Disc",IF(Y69="No","⚠ Missing",IF(AB69="Yes","✓ OK","⚠ Check"))))</f>
        <v>✓ OK</v>
      </c>
      <c r="AF69" s="33" t="s">
        <v>61</v>
      </c>
      <c r="AG69" s="33" t="s">
        <v>55</v>
      </c>
      <c r="AH69" s="33" t="s">
        <v>56</v>
      </c>
      <c r="AI69" s="33" t="s">
        <v>57</v>
      </c>
      <c r="AJ69" s="33" t="s">
        <v>58</v>
      </c>
      <c r="AK69" s="33" t="s">
        <v>56</v>
      </c>
      <c r="AL69" s="27"/>
      <c r="AM69" s="34" t="s">
        <v>57</v>
      </c>
      <c r="AN69" s="35" t="str">
        <f t="shared" ref="AN69:AN77" si="13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4289</v>
      </c>
      <c r="C70" s="41" t="s">
        <v>4290</v>
      </c>
      <c r="D70" s="39" t="s">
        <v>4266</v>
      </c>
      <c r="E70" s="42">
        <v>46129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4158</v>
      </c>
      <c r="L70" s="28" t="s">
        <v>56</v>
      </c>
      <c r="M70" s="29" t="str">
        <f t="shared" si="10"/>
        <v>⚠ Check</v>
      </c>
      <c r="N70" s="42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57</v>
      </c>
      <c r="T70" s="27" t="s">
        <v>4158</v>
      </c>
      <c r="U70" s="28" t="s">
        <v>56</v>
      </c>
      <c r="V70" s="29" t="str">
        <f t="shared" si="11"/>
        <v>⚠ Check</v>
      </c>
      <c r="W70" s="70">
        <v>46248</v>
      </c>
      <c r="X70" s="30" t="s">
        <v>55</v>
      </c>
      <c r="Y70" s="30" t="s">
        <v>56</v>
      </c>
      <c r="Z70" s="30" t="s">
        <v>57</v>
      </c>
      <c r="AA70" s="30" t="s">
        <v>58</v>
      </c>
      <c r="AB70" s="30" t="s">
        <v>56</v>
      </c>
      <c r="AC70" s="27"/>
      <c r="AD70" s="31" t="s">
        <v>56</v>
      </c>
      <c r="AE70" s="32" t="str">
        <f t="shared" si="12"/>
        <v>✓ OK</v>
      </c>
      <c r="AF70" s="33" t="s">
        <v>61</v>
      </c>
      <c r="AG70" s="33" t="s">
        <v>55</v>
      </c>
      <c r="AH70" s="33" t="s">
        <v>56</v>
      </c>
      <c r="AI70" s="33" t="s">
        <v>57</v>
      </c>
      <c r="AJ70" s="33" t="s">
        <v>58</v>
      </c>
      <c r="AK70" s="33" t="s">
        <v>56</v>
      </c>
      <c r="AL70" s="27"/>
      <c r="AM70" s="34" t="s">
        <v>57</v>
      </c>
      <c r="AN70" s="35" t="str">
        <f t="shared" si="13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4291</v>
      </c>
      <c r="C71" s="25" t="s">
        <v>4292</v>
      </c>
      <c r="D71" s="23" t="s">
        <v>4266</v>
      </c>
      <c r="E71" s="42">
        <v>46129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 t="s">
        <v>61</v>
      </c>
      <c r="AG71" s="33" t="s">
        <v>55</v>
      </c>
      <c r="AH71" s="33" t="s">
        <v>56</v>
      </c>
      <c r="AI71" s="33" t="s">
        <v>57</v>
      </c>
      <c r="AJ71" s="33" t="s">
        <v>58</v>
      </c>
      <c r="AK71" s="33" t="s">
        <v>56</v>
      </c>
      <c r="AL71" s="27"/>
      <c r="AM71" s="34" t="s">
        <v>57</v>
      </c>
      <c r="AN71" s="35" t="str">
        <f t="shared" si="13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4293</v>
      </c>
      <c r="C72" s="41" t="s">
        <v>4294</v>
      </c>
      <c r="D72" s="39" t="s">
        <v>4266</v>
      </c>
      <c r="E72" s="42">
        <v>46129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 t="s">
        <v>61</v>
      </c>
      <c r="AG72" s="33" t="s">
        <v>55</v>
      </c>
      <c r="AH72" s="33" t="s">
        <v>56</v>
      </c>
      <c r="AI72" s="33" t="s">
        <v>57</v>
      </c>
      <c r="AJ72" s="33" t="s">
        <v>58</v>
      </c>
      <c r="AK72" s="33" t="s">
        <v>56</v>
      </c>
      <c r="AL72" s="27"/>
      <c r="AM72" s="34" t="s">
        <v>57</v>
      </c>
      <c r="AN72" s="35" t="str">
        <f t="shared" si="13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4295</v>
      </c>
      <c r="C73" s="25" t="s">
        <v>4296</v>
      </c>
      <c r="D73" s="23" t="s">
        <v>4266</v>
      </c>
      <c r="E73" s="42">
        <v>46129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57</v>
      </c>
      <c r="K73" s="27" t="s">
        <v>4158</v>
      </c>
      <c r="L73" s="28" t="s">
        <v>56</v>
      </c>
      <c r="M73" s="29" t="str">
        <f t="shared" si="10"/>
        <v>⚠ Check</v>
      </c>
      <c r="N73" s="42">
        <v>46196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57</v>
      </c>
      <c r="T73" s="27" t="s">
        <v>4158</v>
      </c>
      <c r="U73" s="28" t="s">
        <v>56</v>
      </c>
      <c r="V73" s="29" t="str">
        <f t="shared" si="11"/>
        <v>⚠ Check</v>
      </c>
      <c r="W73" s="70">
        <v>46248</v>
      </c>
      <c r="X73" s="30" t="s">
        <v>55</v>
      </c>
      <c r="Y73" s="30" t="s">
        <v>56</v>
      </c>
      <c r="Z73" s="30" t="s">
        <v>57</v>
      </c>
      <c r="AA73" s="30" t="s">
        <v>58</v>
      </c>
      <c r="AB73" s="30" t="s">
        <v>56</v>
      </c>
      <c r="AC73" s="27"/>
      <c r="AD73" s="31" t="s">
        <v>56</v>
      </c>
      <c r="AE73" s="32" t="str">
        <f t="shared" si="12"/>
        <v>✓ OK</v>
      </c>
      <c r="AF73" s="33" t="s">
        <v>61</v>
      </c>
      <c r="AG73" s="33" t="s">
        <v>55</v>
      </c>
      <c r="AH73" s="33" t="s">
        <v>56</v>
      </c>
      <c r="AI73" s="33" t="s">
        <v>57</v>
      </c>
      <c r="AJ73" s="33" t="s">
        <v>58</v>
      </c>
      <c r="AK73" s="33" t="s">
        <v>56</v>
      </c>
      <c r="AL73" s="27"/>
      <c r="AM73" s="34" t="s">
        <v>57</v>
      </c>
      <c r="AN73" s="35" t="str">
        <f t="shared" si="13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4297</v>
      </c>
      <c r="C74" s="41" t="s">
        <v>4298</v>
      </c>
      <c r="D74" s="39" t="s">
        <v>4266</v>
      </c>
      <c r="E74" s="42">
        <v>46129</v>
      </c>
      <c r="F74" s="26" t="s">
        <v>55</v>
      </c>
      <c r="G74" s="26" t="s">
        <v>56</v>
      </c>
      <c r="H74" s="26" t="s">
        <v>57</v>
      </c>
      <c r="I74" s="26" t="s">
        <v>1132</v>
      </c>
      <c r="J74" s="26" t="s">
        <v>57</v>
      </c>
      <c r="K74" s="27" t="s">
        <v>1117</v>
      </c>
      <c r="L74" s="28" t="s">
        <v>56</v>
      </c>
      <c r="M74" s="29" t="str">
        <f t="shared" si="10"/>
        <v>⚠ Check</v>
      </c>
      <c r="N74" s="42">
        <v>46196</v>
      </c>
      <c r="O74" s="26" t="s">
        <v>55</v>
      </c>
      <c r="P74" s="26" t="s">
        <v>56</v>
      </c>
      <c r="Q74" s="26" t="s">
        <v>57</v>
      </c>
      <c r="R74" s="26" t="s">
        <v>1132</v>
      </c>
      <c r="S74" s="26" t="s">
        <v>57</v>
      </c>
      <c r="T74" s="27" t="s">
        <v>1117</v>
      </c>
      <c r="U74" s="28" t="s">
        <v>56</v>
      </c>
      <c r="V74" s="29" t="str">
        <f t="shared" si="11"/>
        <v>⚠ Check</v>
      </c>
      <c r="W74" s="70">
        <v>46248</v>
      </c>
      <c r="X74" s="30" t="s">
        <v>55</v>
      </c>
      <c r="Y74" s="30" t="s">
        <v>56</v>
      </c>
      <c r="Z74" s="30" t="s">
        <v>57</v>
      </c>
      <c r="AA74" s="30" t="s">
        <v>1132</v>
      </c>
      <c r="AB74" s="30" t="s">
        <v>57</v>
      </c>
      <c r="AC74" s="27" t="s">
        <v>1117</v>
      </c>
      <c r="AD74" s="31" t="s">
        <v>56</v>
      </c>
      <c r="AE74" s="32" t="str">
        <f t="shared" si="12"/>
        <v>⚠ Check</v>
      </c>
      <c r="AF74" s="33" t="s">
        <v>61</v>
      </c>
      <c r="AG74" s="33" t="s">
        <v>55</v>
      </c>
      <c r="AH74" s="33" t="s">
        <v>56</v>
      </c>
      <c r="AI74" s="33" t="s">
        <v>57</v>
      </c>
      <c r="AJ74" s="33" t="s">
        <v>1132</v>
      </c>
      <c r="AK74" s="33" t="s">
        <v>57</v>
      </c>
      <c r="AL74" s="27" t="s">
        <v>1117</v>
      </c>
      <c r="AM74" s="34" t="s">
        <v>56</v>
      </c>
      <c r="AN74" s="35" t="str">
        <f t="shared" si="13"/>
        <v>⚠ Check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4299</v>
      </c>
      <c r="C75" s="25" t="s">
        <v>4300</v>
      </c>
      <c r="D75" s="23" t="s">
        <v>4266</v>
      </c>
      <c r="E75" s="42">
        <v>46129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 t="s">
        <v>61</v>
      </c>
      <c r="AG75" s="33" t="s">
        <v>55</v>
      </c>
      <c r="AH75" s="33" t="s">
        <v>56</v>
      </c>
      <c r="AI75" s="33" t="s">
        <v>57</v>
      </c>
      <c r="AJ75" s="33" t="s">
        <v>58</v>
      </c>
      <c r="AK75" s="33" t="s">
        <v>56</v>
      </c>
      <c r="AL75" s="27"/>
      <c r="AM75" s="34" t="s">
        <v>57</v>
      </c>
      <c r="AN75" s="35" t="str">
        <f t="shared" si="13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4301</v>
      </c>
      <c r="C76" s="41" t="s">
        <v>4302</v>
      </c>
      <c r="D76" s="39" t="s">
        <v>4266</v>
      </c>
      <c r="E76" s="42">
        <v>46129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56</v>
      </c>
      <c r="Z76" s="30" t="s">
        <v>57</v>
      </c>
      <c r="AA76" s="30" t="s">
        <v>58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 t="s">
        <v>61</v>
      </c>
      <c r="AG76" s="33" t="s">
        <v>55</v>
      </c>
      <c r="AH76" s="33" t="s">
        <v>56</v>
      </c>
      <c r="AI76" s="33" t="s">
        <v>57</v>
      </c>
      <c r="AJ76" s="33" t="s">
        <v>58</v>
      </c>
      <c r="AK76" s="33" t="s">
        <v>56</v>
      </c>
      <c r="AL76" s="27"/>
      <c r="AM76" s="34" t="s">
        <v>57</v>
      </c>
      <c r="AN76" s="35" t="str">
        <f t="shared" si="13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4303</v>
      </c>
      <c r="C77" s="25" t="s">
        <v>4304</v>
      </c>
      <c r="D77" s="23" t="s">
        <v>4266</v>
      </c>
      <c r="E77" s="42">
        <v>46129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56</v>
      </c>
      <c r="Z77" s="30" t="s">
        <v>57</v>
      </c>
      <c r="AA77" s="30" t="s">
        <v>58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 t="s">
        <v>61</v>
      </c>
      <c r="AG77" s="33" t="s">
        <v>55</v>
      </c>
      <c r="AH77" s="33" t="s">
        <v>56</v>
      </c>
      <c r="AI77" s="33" t="s">
        <v>57</v>
      </c>
      <c r="AJ77" s="33" t="s">
        <v>58</v>
      </c>
      <c r="AK77" s="33" t="s">
        <v>56</v>
      </c>
      <c r="AL77" s="27"/>
      <c r="AM77" s="34" t="s">
        <v>57</v>
      </c>
      <c r="AN77" s="35" t="str">
        <f t="shared" si="13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80" priority="55">
      <formula>MOD(ROW(),2)=0</formula>
    </cfRule>
  </conditionalFormatting>
  <conditionalFormatting sqref="G5:G77">
    <cfRule type="expression" dxfId="379" priority="14">
      <formula>G5="Yes"</formula>
    </cfRule>
    <cfRule type="expression" dxfId="378" priority="15">
      <formula>G5="No"</formula>
    </cfRule>
  </conditionalFormatting>
  <conditionalFormatting sqref="H5:H77">
    <cfRule type="expression" dxfId="377" priority="16">
      <formula>H5="Yes"</formula>
    </cfRule>
  </conditionalFormatting>
  <conditionalFormatting sqref="J5:J77">
    <cfRule type="expression" dxfId="376" priority="17">
      <formula>J5="Yes"</formula>
    </cfRule>
    <cfRule type="expression" dxfId="375" priority="18">
      <formula>J5="No"</formula>
    </cfRule>
  </conditionalFormatting>
  <conditionalFormatting sqref="M5:M77">
    <cfRule type="expression" dxfId="374" priority="13">
      <formula>M5="⚠ Check"</formula>
    </cfRule>
    <cfRule type="expression" dxfId="373" priority="10">
      <formula>M5="✓ OK"</formula>
    </cfRule>
    <cfRule type="expression" dxfId="372" priority="11">
      <formula>M5="❌ Disc"</formula>
    </cfRule>
    <cfRule type="expression" dxfId="371" priority="12">
      <formula>M5="⚠ Missing"</formula>
    </cfRule>
  </conditionalFormatting>
  <conditionalFormatting sqref="P5:P77">
    <cfRule type="expression" dxfId="370" priority="5">
      <formula>P5="Yes"</formula>
    </cfRule>
    <cfRule type="expression" dxfId="369" priority="6">
      <formula>P5="No"</formula>
    </cfRule>
    <cfRule type="expression" dxfId="368" priority="23">
      <formula>P5="Yes"</formula>
    </cfRule>
    <cfRule type="expression" dxfId="367" priority="24">
      <formula>P5="No"</formula>
    </cfRule>
  </conditionalFormatting>
  <conditionalFormatting sqref="Q5:Q77">
    <cfRule type="expression" dxfId="366" priority="7">
      <formula>Q5="Yes"</formula>
    </cfRule>
  </conditionalFormatting>
  <conditionalFormatting sqref="S5:S77">
    <cfRule type="expression" dxfId="365" priority="8">
      <formula>S5="Yes"</formula>
    </cfRule>
    <cfRule type="expression" dxfId="364" priority="9">
      <formula>S5="No"</formula>
    </cfRule>
    <cfRule type="expression" dxfId="363" priority="26">
      <formula>S5="Yes"</formula>
    </cfRule>
    <cfRule type="expression" dxfId="362" priority="27">
      <formula>S5="No"</formula>
    </cfRule>
  </conditionalFormatting>
  <conditionalFormatting sqref="V5:V77">
    <cfRule type="expression" dxfId="361" priority="2">
      <formula>V5="❌ Disc"</formula>
    </cfRule>
    <cfRule type="expression" dxfId="360" priority="3">
      <formula>V5="⚠ Missing"</formula>
    </cfRule>
    <cfRule type="expression" dxfId="359" priority="4">
      <formula>V5="⚠ Check"</formula>
    </cfRule>
    <cfRule type="expression" dxfId="358" priority="1">
      <formula>V5="✓ OK"</formula>
    </cfRule>
    <cfRule type="expression" dxfId="357" priority="19">
      <formula>V5="✓ OK"</formula>
    </cfRule>
    <cfRule type="expression" dxfId="356" priority="20">
      <formula>V5="❌ Disc"</formula>
    </cfRule>
    <cfRule type="expression" dxfId="355" priority="21">
      <formula>V5="⚠ Missing"</formula>
    </cfRule>
    <cfRule type="expression" dxfId="354" priority="22">
      <formula>V5="⚠ Check"</formula>
    </cfRule>
  </conditionalFormatting>
  <conditionalFormatting sqref="Y5:Y77">
    <cfRule type="expression" dxfId="353" priority="32">
      <formula>Y5="Yes"</formula>
    </cfRule>
    <cfRule type="expression" dxfId="352" priority="33">
      <formula>Y5="No"</formula>
    </cfRule>
  </conditionalFormatting>
  <conditionalFormatting sqref="Z5:Z77">
    <cfRule type="expression" dxfId="351" priority="34">
      <formula>Z5="Yes"</formula>
    </cfRule>
  </conditionalFormatting>
  <conditionalFormatting sqref="AB5:AB77">
    <cfRule type="expression" dxfId="350" priority="36">
      <formula>AB5="No"</formula>
    </cfRule>
    <cfRule type="expression" dxfId="349" priority="35">
      <formula>AB5="Yes"</formula>
    </cfRule>
  </conditionalFormatting>
  <conditionalFormatting sqref="AE5:AE77">
    <cfRule type="expression" dxfId="348" priority="31">
      <formula>AE5="⚠ Check"</formula>
    </cfRule>
    <cfRule type="expression" dxfId="347" priority="29">
      <formula>AE5="❌ Disc"</formula>
    </cfRule>
    <cfRule type="expression" dxfId="346" priority="28">
      <formula>AE5="✓ OK"</formula>
    </cfRule>
    <cfRule type="expression" dxfId="345" priority="30">
      <formula>AE5="⚠ Missing"</formula>
    </cfRule>
  </conditionalFormatting>
  <conditionalFormatting sqref="AH5:AH77">
    <cfRule type="expression" dxfId="344" priority="41">
      <formula>AH5="Yes"</formula>
    </cfRule>
    <cfRule type="expression" dxfId="343" priority="42">
      <formula>AH5="No"</formula>
    </cfRule>
  </conditionalFormatting>
  <conditionalFormatting sqref="AI5:AI77">
    <cfRule type="expression" dxfId="342" priority="43">
      <formula>AI5="Yes"</formula>
    </cfRule>
  </conditionalFormatting>
  <conditionalFormatting sqref="AK5:AK77">
    <cfRule type="expression" dxfId="341" priority="44">
      <formula>AK5="Yes"</formula>
    </cfRule>
    <cfRule type="expression" dxfId="340" priority="45">
      <formula>AK5="No"</formula>
    </cfRule>
  </conditionalFormatting>
  <conditionalFormatting sqref="AN5:AN77">
    <cfRule type="expression" dxfId="339" priority="37">
      <formula>AN5="✓ OK"</formula>
    </cfRule>
    <cfRule type="expression" dxfId="338" priority="38">
      <formula>AN5="❌ Disc"</formula>
    </cfRule>
    <cfRule type="expression" dxfId="337" priority="39">
      <formula>AN5="⚠ Missing"</formula>
    </cfRule>
    <cfRule type="expression" dxfId="336" priority="40">
      <formula>AN5="⚠ Check"</formula>
    </cfRule>
  </conditionalFormatting>
  <conditionalFormatting sqref="AQ5:AQ77">
    <cfRule type="expression" dxfId="335" priority="50">
      <formula>AQ5="Yes"</formula>
    </cfRule>
    <cfRule type="expression" dxfId="334" priority="51">
      <formula>AQ5="No"</formula>
    </cfRule>
  </conditionalFormatting>
  <conditionalFormatting sqref="AR5:AR77">
    <cfRule type="expression" dxfId="333" priority="52">
      <formula>AR5="Yes"</formula>
    </cfRule>
  </conditionalFormatting>
  <conditionalFormatting sqref="AT5:AT77">
    <cfRule type="expression" dxfId="332" priority="53">
      <formula>AT5="Yes"</formula>
    </cfRule>
    <cfRule type="expression" dxfId="331" priority="54">
      <formula>AT5="No"</formula>
    </cfRule>
  </conditionalFormatting>
  <conditionalFormatting sqref="AW5:AW77">
    <cfRule type="expression" dxfId="330" priority="46">
      <formula>AW5="✓ OK"</formula>
    </cfRule>
    <cfRule type="expression" dxfId="329" priority="47">
      <formula>AW5="❌ Disc"</formula>
    </cfRule>
    <cfRule type="expression" dxfId="328" priority="48">
      <formula>AW5="⚠ Missing"</formula>
    </cfRule>
    <cfRule type="expression" dxfId="327" priority="49">
      <formula>AW5="⚠ Check"</formula>
    </cfRule>
  </conditionalFormatting>
  <dataValidations count="2">
    <dataValidation type="list" allowBlank="1" sqref="G5:H77 J5:J77 P5:Q77 S5:S77 Y5:Z77 AB5:AB77 AH5:AI77 AK5:AK77 AQ5:AR77 AT5:AT77" xr:uid="{00000000-0002-0000-0600-000000000000}">
      <formula1>"Yes,No"</formula1>
    </dataValidation>
    <dataValidation type="list" allowBlank="1" sqref="I5:I77 R5:R77 AA5:AA77 AJ5:AJ77 AS5:AS77" xr:uid="{00000000-0002-0000-06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AG5" activePane="bottomRight" state="frozen"/>
      <selection pane="topRight" activeCell="H13" sqref="H13"/>
      <selection pane="bottomLeft" activeCell="H13" sqref="H13"/>
      <selection pane="bottomRight" activeCell="AG9" sqref="AG9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4305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4306</v>
      </c>
      <c r="C5" s="25" t="s">
        <v>4307</v>
      </c>
      <c r="D5" s="23" t="s">
        <v>4308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5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15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15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4309</v>
      </c>
      <c r="C6" s="41" t="s">
        <v>4310</v>
      </c>
      <c r="D6" s="39" t="s">
        <v>4308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4311</v>
      </c>
      <c r="C7" s="25" t="s">
        <v>4312</v>
      </c>
      <c r="D7" s="23" t="s">
        <v>4308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4313</v>
      </c>
      <c r="C8" s="41" t="s">
        <v>4314</v>
      </c>
      <c r="D8" s="39" t="s">
        <v>4308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4315</v>
      </c>
      <c r="C9" s="25" t="s">
        <v>4316</v>
      </c>
      <c r="D9" s="23" t="s">
        <v>4308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57</v>
      </c>
      <c r="AI9" s="33" t="s">
        <v>56</v>
      </c>
      <c r="AJ9" s="33" t="s">
        <v>60</v>
      </c>
      <c r="AK9" s="33" t="s">
        <v>57</v>
      </c>
      <c r="AL9" s="27"/>
      <c r="AM9" s="34" t="s">
        <v>57</v>
      </c>
      <c r="AN9" s="35" t="str">
        <f t="shared" si="3"/>
        <v>❌ Disc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4317</v>
      </c>
      <c r="C10" s="41" t="s">
        <v>4318</v>
      </c>
      <c r="D10" s="39" t="s">
        <v>4308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4319</v>
      </c>
      <c r="C11" s="25" t="s">
        <v>4320</v>
      </c>
      <c r="D11" s="23" t="s">
        <v>4308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4321</v>
      </c>
      <c r="C12" s="41" t="s">
        <v>4322</v>
      </c>
      <c r="D12" s="39" t="s">
        <v>4308</v>
      </c>
      <c r="E12" s="42">
        <v>46129</v>
      </c>
      <c r="F12" s="26" t="s">
        <v>55</v>
      </c>
      <c r="G12" s="26" t="s">
        <v>57</v>
      </c>
      <c r="H12" s="26" t="s">
        <v>57</v>
      </c>
      <c r="I12" s="26" t="s">
        <v>90</v>
      </c>
      <c r="J12" s="26" t="s">
        <v>57</v>
      </c>
      <c r="K12" s="27" t="s">
        <v>91</v>
      </c>
      <c r="L12" s="28" t="s">
        <v>56</v>
      </c>
      <c r="M12" s="29" t="str">
        <f t="shared" si="0"/>
        <v>⚠ Missing</v>
      </c>
      <c r="N12" s="42">
        <v>46196</v>
      </c>
      <c r="O12" s="26" t="s">
        <v>55</v>
      </c>
      <c r="P12" s="26" t="s">
        <v>57</v>
      </c>
      <c r="Q12" s="26" t="s">
        <v>57</v>
      </c>
      <c r="R12" s="26" t="s">
        <v>90</v>
      </c>
      <c r="S12" s="26" t="s">
        <v>57</v>
      </c>
      <c r="T12" s="27" t="s">
        <v>91</v>
      </c>
      <c r="U12" s="28" t="s">
        <v>56</v>
      </c>
      <c r="V12" s="29" t="str">
        <f t="shared" si="1"/>
        <v>⚠ Missing</v>
      </c>
      <c r="W12" s="70">
        <v>46248</v>
      </c>
      <c r="X12" s="30" t="s">
        <v>55</v>
      </c>
      <c r="Y12" s="30" t="s">
        <v>57</v>
      </c>
      <c r="Z12" s="30" t="s">
        <v>57</v>
      </c>
      <c r="AA12" s="30" t="s">
        <v>90</v>
      </c>
      <c r="AB12" s="30" t="s">
        <v>57</v>
      </c>
      <c r="AC12" s="27" t="s">
        <v>91</v>
      </c>
      <c r="AD12" s="31" t="s">
        <v>56</v>
      </c>
      <c r="AE12" s="32" t="str">
        <f t="shared" si="2"/>
        <v>⚠ Missing</v>
      </c>
      <c r="AF12" s="33" t="s">
        <v>61</v>
      </c>
      <c r="AG12" s="33" t="s">
        <v>55</v>
      </c>
      <c r="AH12" s="33" t="s">
        <v>57</v>
      </c>
      <c r="AI12" s="33" t="s">
        <v>57</v>
      </c>
      <c r="AJ12" s="33" t="s">
        <v>90</v>
      </c>
      <c r="AK12" s="33" t="s">
        <v>57</v>
      </c>
      <c r="AL12" s="27" t="s">
        <v>91</v>
      </c>
      <c r="AM12" s="34" t="s">
        <v>56</v>
      </c>
      <c r="AN12" s="35" t="str">
        <f t="shared" si="3"/>
        <v>⚠ Missing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4323</v>
      </c>
      <c r="C13" s="25" t="s">
        <v>4324</v>
      </c>
      <c r="D13" s="23" t="s">
        <v>4308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4325</v>
      </c>
      <c r="C14" s="41" t="s">
        <v>4326</v>
      </c>
      <c r="D14" s="39" t="s">
        <v>4308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4327</v>
      </c>
      <c r="C15" s="25" t="s">
        <v>4328</v>
      </c>
      <c r="D15" s="23" t="s">
        <v>4308</v>
      </c>
      <c r="E15" s="42">
        <v>46132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26" priority="15">
      <formula>G5="Yes"</formula>
    </cfRule>
    <cfRule type="expression" dxfId="325" priority="16">
      <formula>G5="No"</formula>
    </cfRule>
  </conditionalFormatting>
  <conditionalFormatting sqref="H5:H15">
    <cfRule type="expression" dxfId="324" priority="17">
      <formula>H5="Yes"</formula>
    </cfRule>
  </conditionalFormatting>
  <conditionalFormatting sqref="J5:J15">
    <cfRule type="expression" dxfId="323" priority="18">
      <formula>J5="Yes"</formula>
    </cfRule>
    <cfRule type="expression" dxfId="322" priority="19">
      <formula>J5="No"</formula>
    </cfRule>
  </conditionalFormatting>
  <conditionalFormatting sqref="M5:M15">
    <cfRule type="expression" dxfId="321" priority="13">
      <formula>M5="⚠ Missing"</formula>
    </cfRule>
    <cfRule type="expression" dxfId="320" priority="11">
      <formula>M5="✓ OK"</formula>
    </cfRule>
    <cfRule type="expression" dxfId="319" priority="12">
      <formula>M5="❌ Disc"</formula>
    </cfRule>
    <cfRule type="expression" dxfId="318" priority="14">
      <formula>M5="⚠ Check"</formula>
    </cfRule>
  </conditionalFormatting>
  <conditionalFormatting sqref="N5:N15">
    <cfRule type="expression" dxfId="317" priority="1">
      <formula>MOD(ROW(),2)=0</formula>
    </cfRule>
  </conditionalFormatting>
  <conditionalFormatting sqref="O5:AW15 A5:M15">
    <cfRule type="expression" dxfId="316" priority="56">
      <formula>MOD(ROW(),2)=0</formula>
    </cfRule>
  </conditionalFormatting>
  <conditionalFormatting sqref="P5:P15">
    <cfRule type="expression" dxfId="315" priority="6">
      <formula>P5="Yes"</formula>
    </cfRule>
    <cfRule type="expression" dxfId="314" priority="7">
      <formula>P5="No"</formula>
    </cfRule>
    <cfRule type="expression" dxfId="313" priority="24">
      <formula>P5="Yes"</formula>
    </cfRule>
    <cfRule type="expression" dxfId="312" priority="25">
      <formula>P5="No"</formula>
    </cfRule>
  </conditionalFormatting>
  <conditionalFormatting sqref="Q5:Q15">
    <cfRule type="expression" dxfId="311" priority="8">
      <formula>Q5="Yes"</formula>
    </cfRule>
  </conditionalFormatting>
  <conditionalFormatting sqref="S5:S15">
    <cfRule type="expression" dxfId="310" priority="9">
      <formula>S5="Yes"</formula>
    </cfRule>
    <cfRule type="expression" dxfId="309" priority="10">
      <formula>S5="No"</formula>
    </cfRule>
    <cfRule type="expression" dxfId="308" priority="27">
      <formula>S5="Yes"</formula>
    </cfRule>
    <cfRule type="expression" dxfId="307" priority="28">
      <formula>S5="No"</formula>
    </cfRule>
  </conditionalFormatting>
  <conditionalFormatting sqref="V5:V15">
    <cfRule type="expression" dxfId="306" priority="2">
      <formula>V5="✓ OK"</formula>
    </cfRule>
    <cfRule type="expression" dxfId="305" priority="3">
      <formula>V5="❌ Disc"</formula>
    </cfRule>
    <cfRule type="expression" dxfId="304" priority="4">
      <formula>V5="⚠ Missing"</formula>
    </cfRule>
    <cfRule type="expression" dxfId="303" priority="5">
      <formula>V5="⚠ Check"</formula>
    </cfRule>
    <cfRule type="expression" dxfId="302" priority="20">
      <formula>V5="✓ OK"</formula>
    </cfRule>
    <cfRule type="expression" dxfId="301" priority="21">
      <formula>V5="❌ Disc"</formula>
    </cfRule>
    <cfRule type="expression" dxfId="300" priority="22">
      <formula>V5="⚠ Missing"</formula>
    </cfRule>
    <cfRule type="expression" dxfId="299" priority="23">
      <formula>V5="⚠ Check"</formula>
    </cfRule>
  </conditionalFormatting>
  <conditionalFormatting sqref="Y5:Y15">
    <cfRule type="expression" dxfId="298" priority="33">
      <formula>Y5="Yes"</formula>
    </cfRule>
    <cfRule type="expression" dxfId="297" priority="34">
      <formula>Y5="No"</formula>
    </cfRule>
  </conditionalFormatting>
  <conditionalFormatting sqref="Z5:Z15">
    <cfRule type="expression" dxfId="296" priority="35">
      <formula>Z5="Yes"</formula>
    </cfRule>
  </conditionalFormatting>
  <conditionalFormatting sqref="AB5:AB15">
    <cfRule type="expression" dxfId="295" priority="36">
      <formula>AB5="Yes"</formula>
    </cfRule>
    <cfRule type="expression" dxfId="294" priority="37">
      <formula>AB5="No"</formula>
    </cfRule>
  </conditionalFormatting>
  <conditionalFormatting sqref="AE5:AE15">
    <cfRule type="expression" dxfId="293" priority="30">
      <formula>AE5="❌ Disc"</formula>
    </cfRule>
    <cfRule type="expression" dxfId="292" priority="31">
      <formula>AE5="⚠ Missing"</formula>
    </cfRule>
    <cfRule type="expression" dxfId="291" priority="29">
      <formula>AE5="✓ OK"</formula>
    </cfRule>
    <cfRule type="expression" dxfId="290" priority="32">
      <formula>AE5="⚠ Check"</formula>
    </cfRule>
  </conditionalFormatting>
  <conditionalFormatting sqref="AH5:AH15">
    <cfRule type="expression" dxfId="289" priority="42">
      <formula>AH5="Yes"</formula>
    </cfRule>
    <cfRule type="expression" dxfId="288" priority="43">
      <formula>AH5="No"</formula>
    </cfRule>
  </conditionalFormatting>
  <conditionalFormatting sqref="AI5:AI15">
    <cfRule type="expression" dxfId="287" priority="44">
      <formula>AI5="Yes"</formula>
    </cfRule>
  </conditionalFormatting>
  <conditionalFormatting sqref="AK5:AK15">
    <cfRule type="expression" dxfId="286" priority="45">
      <formula>AK5="Yes"</formula>
    </cfRule>
    <cfRule type="expression" dxfId="285" priority="46">
      <formula>AK5="No"</formula>
    </cfRule>
  </conditionalFormatting>
  <conditionalFormatting sqref="AN5:AN15">
    <cfRule type="expression" dxfId="284" priority="38">
      <formula>AN5="✓ OK"</formula>
    </cfRule>
    <cfRule type="expression" dxfId="283" priority="39">
      <formula>AN5="❌ Disc"</formula>
    </cfRule>
    <cfRule type="expression" dxfId="282" priority="40">
      <formula>AN5="⚠ Missing"</formula>
    </cfRule>
    <cfRule type="expression" dxfId="281" priority="41">
      <formula>AN5="⚠ Check"</formula>
    </cfRule>
  </conditionalFormatting>
  <conditionalFormatting sqref="AQ5:AQ15">
    <cfRule type="expression" dxfId="280" priority="51">
      <formula>AQ5="Yes"</formula>
    </cfRule>
    <cfRule type="expression" dxfId="279" priority="52">
      <formula>AQ5="No"</formula>
    </cfRule>
  </conditionalFormatting>
  <conditionalFormatting sqref="AR5:AR15">
    <cfRule type="expression" dxfId="278" priority="53">
      <formula>AR5="Yes"</formula>
    </cfRule>
  </conditionalFormatting>
  <conditionalFormatting sqref="AT5:AT15">
    <cfRule type="expression" dxfId="277" priority="54">
      <formula>AT5="Yes"</formula>
    </cfRule>
    <cfRule type="expression" dxfId="276" priority="55">
      <formula>AT5="No"</formula>
    </cfRule>
  </conditionalFormatting>
  <conditionalFormatting sqref="AW5:AW15">
    <cfRule type="expression" dxfId="275" priority="47">
      <formula>AW5="✓ OK"</formula>
    </cfRule>
    <cfRule type="expression" dxfId="274" priority="48">
      <formula>AW5="❌ Disc"</formula>
    </cfRule>
    <cfRule type="expression" dxfId="273" priority="49">
      <formula>AW5="⚠ Missing"</formula>
    </cfRule>
    <cfRule type="expression" dxfId="272" priority="50">
      <formula>AW5="⚠ Check"</formula>
    </cfRule>
  </conditionalFormatting>
  <dataValidations count="2">
    <dataValidation type="list" allowBlank="1" sqref="G5:H15 J5:J15 P5:Q15 S5:S15 Y5:Z15 AB5:AB15 AH5:AI15 AK5:AK15 AQ5:AR15 AT5:AT15" xr:uid="{00000000-0002-0000-0700-000000000000}">
      <formula1>"Yes,No"</formula1>
    </dataValidation>
    <dataValidation type="list" allowBlank="1" sqref="I5:I15 R5:R15 AA5:AA15 AJ5:AJ15 AS5:AS15" xr:uid="{00000000-0002-0000-07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AA16" activePane="bottomRight" state="frozen"/>
      <selection pane="topRight" activeCell="H13" sqref="H13"/>
      <selection pane="bottomLeft" activeCell="H13" sqref="H13"/>
      <selection pane="bottomRight" activeCell="AA26" sqref="AA2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4329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4330</v>
      </c>
      <c r="C5" s="25" t="s">
        <v>4331</v>
      </c>
      <c r="D5" s="23" t="s">
        <v>4332</v>
      </c>
      <c r="E5" s="42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26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2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4333</v>
      </c>
      <c r="C6" s="41" t="s">
        <v>4334</v>
      </c>
      <c r="D6" s="39" t="s">
        <v>4332</v>
      </c>
      <c r="E6" s="42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4335</v>
      </c>
      <c r="C7" s="25" t="s">
        <v>4336</v>
      </c>
      <c r="D7" s="23" t="s">
        <v>4332</v>
      </c>
      <c r="E7" s="42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4337</v>
      </c>
      <c r="C8" s="41" t="s">
        <v>4338</v>
      </c>
      <c r="D8" s="39" t="s">
        <v>4332</v>
      </c>
      <c r="E8" s="42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4339</v>
      </c>
      <c r="C9" s="25" t="s">
        <v>4340</v>
      </c>
      <c r="D9" s="23" t="s">
        <v>4332</v>
      </c>
      <c r="E9" s="42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4341</v>
      </c>
      <c r="C10" s="41" t="s">
        <v>4342</v>
      </c>
      <c r="D10" s="39" t="s">
        <v>4332</v>
      </c>
      <c r="E10" s="42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4343</v>
      </c>
      <c r="C11" s="25" t="s">
        <v>4344</v>
      </c>
      <c r="D11" s="23" t="s">
        <v>4332</v>
      </c>
      <c r="E11" s="42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4345</v>
      </c>
      <c r="C12" s="41" t="s">
        <v>4346</v>
      </c>
      <c r="D12" s="39" t="s">
        <v>4332</v>
      </c>
      <c r="E12" s="42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4347</v>
      </c>
      <c r="C13" s="25" t="s">
        <v>4348</v>
      </c>
      <c r="D13" s="23" t="s">
        <v>4332</v>
      </c>
      <c r="E13" s="42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4349</v>
      </c>
      <c r="C14" s="41" t="s">
        <v>4350</v>
      </c>
      <c r="D14" s="39" t="s">
        <v>4332</v>
      </c>
      <c r="E14" s="42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4351</v>
      </c>
      <c r="C15" s="25" t="s">
        <v>4352</v>
      </c>
      <c r="D15" s="23" t="s">
        <v>4332</v>
      </c>
      <c r="E15" s="42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4353</v>
      </c>
      <c r="C16" s="41" t="s">
        <v>4354</v>
      </c>
      <c r="D16" s="39" t="s">
        <v>4332</v>
      </c>
      <c r="E16" s="42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4355</v>
      </c>
      <c r="C17" s="25" t="s">
        <v>4356</v>
      </c>
      <c r="D17" s="23" t="s">
        <v>4332</v>
      </c>
      <c r="E17" s="42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4357</v>
      </c>
      <c r="C18" s="41" t="s">
        <v>4358</v>
      </c>
      <c r="D18" s="39" t="s">
        <v>4332</v>
      </c>
      <c r="E18" s="42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4359</v>
      </c>
      <c r="C19" s="25" t="s">
        <v>4360</v>
      </c>
      <c r="D19" s="23" t="s">
        <v>4332</v>
      </c>
      <c r="E19" s="42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4361</v>
      </c>
      <c r="C20" s="41" t="s">
        <v>4362</v>
      </c>
      <c r="D20" s="39" t="s">
        <v>4332</v>
      </c>
      <c r="E20" s="42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4363</v>
      </c>
      <c r="C21" s="25" t="s">
        <v>4364</v>
      </c>
      <c r="D21" s="23" t="s">
        <v>4332</v>
      </c>
      <c r="E21" s="42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4365</v>
      </c>
      <c r="C22" s="41" t="s">
        <v>4366</v>
      </c>
      <c r="D22" s="39" t="s">
        <v>4367</v>
      </c>
      <c r="E22" s="42">
        <v>46132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4368</v>
      </c>
      <c r="C23" s="25" t="s">
        <v>4369</v>
      </c>
      <c r="D23" s="23" t="s">
        <v>4367</v>
      </c>
      <c r="E23" s="42">
        <v>46132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4370</v>
      </c>
      <c r="C24" s="41" t="s">
        <v>4371</v>
      </c>
      <c r="D24" s="39" t="s">
        <v>4367</v>
      </c>
      <c r="E24" s="42">
        <v>46132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4372</v>
      </c>
      <c r="C25" s="25" t="s">
        <v>4373</v>
      </c>
      <c r="D25" s="23" t="s">
        <v>4367</v>
      </c>
      <c r="E25" s="42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4374</v>
      </c>
      <c r="C26" s="41" t="s">
        <v>4375</v>
      </c>
      <c r="D26" s="39" t="s">
        <v>4367</v>
      </c>
      <c r="E26" s="42">
        <v>46132</v>
      </c>
      <c r="F26" s="26" t="s">
        <v>55</v>
      </c>
      <c r="G26" s="26" t="s">
        <v>57</v>
      </c>
      <c r="H26" s="26" t="s">
        <v>57</v>
      </c>
      <c r="I26" s="26" t="s">
        <v>90</v>
      </c>
      <c r="J26" s="26" t="s">
        <v>57</v>
      </c>
      <c r="K26" s="27" t="s">
        <v>91</v>
      </c>
      <c r="L26" s="28" t="s">
        <v>56</v>
      </c>
      <c r="M26" s="29" t="str">
        <f t="shared" si="0"/>
        <v>⚠ Missing</v>
      </c>
      <c r="N26" s="42">
        <v>46196</v>
      </c>
      <c r="O26" s="26" t="s">
        <v>55</v>
      </c>
      <c r="P26" s="26" t="s">
        <v>57</v>
      </c>
      <c r="Q26" s="26" t="s">
        <v>57</v>
      </c>
      <c r="R26" s="26" t="s">
        <v>90</v>
      </c>
      <c r="S26" s="26" t="s">
        <v>57</v>
      </c>
      <c r="T26" s="27" t="s">
        <v>91</v>
      </c>
      <c r="U26" s="28" t="s">
        <v>56</v>
      </c>
      <c r="V26" s="29" t="str">
        <f t="shared" si="1"/>
        <v>⚠ Missing</v>
      </c>
      <c r="W26" s="70">
        <v>46248</v>
      </c>
      <c r="X26" s="30" t="s">
        <v>55</v>
      </c>
      <c r="Y26" s="30" t="s">
        <v>57</v>
      </c>
      <c r="Z26" s="30" t="s">
        <v>57</v>
      </c>
      <c r="AA26" s="30" t="s">
        <v>90</v>
      </c>
      <c r="AB26" s="30" t="s">
        <v>57</v>
      </c>
      <c r="AC26" s="27" t="s">
        <v>91</v>
      </c>
      <c r="AD26" s="31" t="s">
        <v>56</v>
      </c>
      <c r="AE26" s="32" t="str">
        <f t="shared" si="2"/>
        <v>⚠ Missing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90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71" priority="15">
      <formula>G5="Yes"</formula>
    </cfRule>
    <cfRule type="expression" dxfId="270" priority="16">
      <formula>G5="No"</formula>
    </cfRule>
  </conditionalFormatting>
  <conditionalFormatting sqref="H5:H26">
    <cfRule type="expression" dxfId="269" priority="17">
      <formula>H5="Yes"</formula>
    </cfRule>
  </conditionalFormatting>
  <conditionalFormatting sqref="J5:J26">
    <cfRule type="expression" dxfId="268" priority="18">
      <formula>J5="Yes"</formula>
    </cfRule>
    <cfRule type="expression" dxfId="267" priority="19">
      <formula>J5="No"</formula>
    </cfRule>
  </conditionalFormatting>
  <conditionalFormatting sqref="M5:M26">
    <cfRule type="expression" dxfId="266" priority="13">
      <formula>M5="⚠ Missing"</formula>
    </cfRule>
    <cfRule type="expression" dxfId="265" priority="11">
      <formula>M5="✓ OK"</formula>
    </cfRule>
    <cfRule type="expression" dxfId="264" priority="12">
      <formula>M5="❌ Disc"</formula>
    </cfRule>
    <cfRule type="expression" dxfId="263" priority="14">
      <formula>M5="⚠ Check"</formula>
    </cfRule>
  </conditionalFormatting>
  <conditionalFormatting sqref="N5:N26">
    <cfRule type="expression" dxfId="262" priority="1">
      <formula>MOD(ROW(),2)=0</formula>
    </cfRule>
  </conditionalFormatting>
  <conditionalFormatting sqref="A5:M26 O5:AW26">
    <cfRule type="expression" dxfId="261" priority="56">
      <formula>MOD(ROW(),2)=0</formula>
    </cfRule>
  </conditionalFormatting>
  <conditionalFormatting sqref="P5:P26">
    <cfRule type="expression" dxfId="260" priority="6">
      <formula>P5="Yes"</formula>
    </cfRule>
    <cfRule type="expression" dxfId="259" priority="7">
      <formula>P5="No"</formula>
    </cfRule>
    <cfRule type="expression" dxfId="258" priority="24">
      <formula>P5="Yes"</formula>
    </cfRule>
    <cfRule type="expression" dxfId="257" priority="25">
      <formula>P5="No"</formula>
    </cfRule>
  </conditionalFormatting>
  <conditionalFormatting sqref="Q5:Q26">
    <cfRule type="expression" dxfId="256" priority="8">
      <formula>Q5="Yes"</formula>
    </cfRule>
  </conditionalFormatting>
  <conditionalFormatting sqref="S5:S26">
    <cfRule type="expression" dxfId="255" priority="9">
      <formula>S5="Yes"</formula>
    </cfRule>
    <cfRule type="expression" dxfId="254" priority="10">
      <formula>S5="No"</formula>
    </cfRule>
    <cfRule type="expression" dxfId="253" priority="27">
      <formula>S5="Yes"</formula>
    </cfRule>
    <cfRule type="expression" dxfId="252" priority="28">
      <formula>S5="No"</formula>
    </cfRule>
  </conditionalFormatting>
  <conditionalFormatting sqref="V5:V26">
    <cfRule type="expression" dxfId="251" priority="2">
      <formula>V5="✓ OK"</formula>
    </cfRule>
    <cfRule type="expression" dxfId="250" priority="3">
      <formula>V5="❌ Disc"</formula>
    </cfRule>
    <cfRule type="expression" dxfId="249" priority="4">
      <formula>V5="⚠ Missing"</formula>
    </cfRule>
    <cfRule type="expression" dxfId="248" priority="5">
      <formula>V5="⚠ Check"</formula>
    </cfRule>
    <cfRule type="expression" dxfId="247" priority="20">
      <formula>V5="✓ OK"</formula>
    </cfRule>
    <cfRule type="expression" dxfId="246" priority="21">
      <formula>V5="❌ Disc"</formula>
    </cfRule>
    <cfRule type="expression" dxfId="245" priority="22">
      <formula>V5="⚠ Missing"</formula>
    </cfRule>
    <cfRule type="expression" dxfId="244" priority="23">
      <formula>V5="⚠ Check"</formula>
    </cfRule>
  </conditionalFormatting>
  <conditionalFormatting sqref="Y5:Y26">
    <cfRule type="expression" dxfId="243" priority="33">
      <formula>Y5="Yes"</formula>
    </cfRule>
    <cfRule type="expression" dxfId="242" priority="34">
      <formula>Y5="No"</formula>
    </cfRule>
  </conditionalFormatting>
  <conditionalFormatting sqref="Z5:Z26">
    <cfRule type="expression" dxfId="241" priority="35">
      <formula>Z5="Yes"</formula>
    </cfRule>
  </conditionalFormatting>
  <conditionalFormatting sqref="AB5:AB26">
    <cfRule type="expression" dxfId="240" priority="36">
      <formula>AB5="Yes"</formula>
    </cfRule>
    <cfRule type="expression" dxfId="239" priority="37">
      <formula>AB5="No"</formula>
    </cfRule>
  </conditionalFormatting>
  <conditionalFormatting sqref="AE5:AE26">
    <cfRule type="expression" dxfId="238" priority="30">
      <formula>AE5="❌ Disc"</formula>
    </cfRule>
    <cfRule type="expression" dxfId="237" priority="31">
      <formula>AE5="⚠ Missing"</formula>
    </cfRule>
    <cfRule type="expression" dxfId="236" priority="29">
      <formula>AE5="✓ OK"</formula>
    </cfRule>
    <cfRule type="expression" dxfId="235" priority="32">
      <formula>AE5="⚠ Check"</formula>
    </cfRule>
  </conditionalFormatting>
  <conditionalFormatting sqref="AH5:AH26">
    <cfRule type="expression" dxfId="234" priority="42">
      <formula>AH5="Yes"</formula>
    </cfRule>
    <cfRule type="expression" dxfId="233" priority="43">
      <formula>AH5="No"</formula>
    </cfRule>
  </conditionalFormatting>
  <conditionalFormatting sqref="AI5:AI26">
    <cfRule type="expression" dxfId="232" priority="44">
      <formula>AI5="Yes"</formula>
    </cfRule>
  </conditionalFormatting>
  <conditionalFormatting sqref="AK5:AK26">
    <cfRule type="expression" dxfId="231" priority="45">
      <formula>AK5="Yes"</formula>
    </cfRule>
    <cfRule type="expression" dxfId="230" priority="46">
      <formula>AK5="No"</formula>
    </cfRule>
  </conditionalFormatting>
  <conditionalFormatting sqref="AN5:AN26">
    <cfRule type="expression" dxfId="229" priority="38">
      <formula>AN5="✓ OK"</formula>
    </cfRule>
    <cfRule type="expression" dxfId="228" priority="39">
      <formula>AN5="❌ Disc"</formula>
    </cfRule>
    <cfRule type="expression" dxfId="227" priority="40">
      <formula>AN5="⚠ Missing"</formula>
    </cfRule>
    <cfRule type="expression" dxfId="226" priority="41">
      <formula>AN5="⚠ Check"</formula>
    </cfRule>
  </conditionalFormatting>
  <conditionalFormatting sqref="AQ5:AQ26">
    <cfRule type="expression" dxfId="225" priority="51">
      <formula>AQ5="Yes"</formula>
    </cfRule>
    <cfRule type="expression" dxfId="224" priority="52">
      <formula>AQ5="No"</formula>
    </cfRule>
  </conditionalFormatting>
  <conditionalFormatting sqref="AR5:AR26">
    <cfRule type="expression" dxfId="223" priority="53">
      <formula>AR5="Yes"</formula>
    </cfRule>
  </conditionalFormatting>
  <conditionalFormatting sqref="AT5:AT26">
    <cfRule type="expression" dxfId="222" priority="54">
      <formula>AT5="Yes"</formula>
    </cfRule>
    <cfRule type="expression" dxfId="221" priority="55">
      <formula>AT5="No"</formula>
    </cfRule>
  </conditionalFormatting>
  <conditionalFormatting sqref="AW5:AW26">
    <cfRule type="expression" dxfId="220" priority="47">
      <formula>AW5="✓ OK"</formula>
    </cfRule>
    <cfRule type="expression" dxfId="219" priority="48">
      <formula>AW5="❌ Disc"</formula>
    </cfRule>
    <cfRule type="expression" dxfId="218" priority="49">
      <formula>AW5="⚠ Missing"</formula>
    </cfRule>
    <cfRule type="expression" dxfId="217" priority="50">
      <formula>AW5="⚠ Check"</formula>
    </cfRule>
  </conditionalFormatting>
  <dataValidations count="2">
    <dataValidation type="list" allowBlank="1" sqref="G5:H26 J5:J26 P5:Q26 S5:S26 Y5:Z26 AB5:AB26 AT5:AT26 AH5:AI26 AQ5:AR26 AK5:AK26" xr:uid="{00000000-0002-0000-0800-000000000000}">
      <formula1>"Yes,No"</formula1>
    </dataValidation>
    <dataValidation type="list" allowBlank="1" sqref="I5:I26 R5:R26 AA5:AA26 AJ5:AJ26 AS5:AS26" xr:uid="{00000000-0002-0000-08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AG28" activePane="bottomRight" state="frozen"/>
      <selection pane="topRight" activeCell="H13" sqref="H13"/>
      <selection pane="bottomLeft" activeCell="H13" sqref="H13"/>
      <selection pane="bottomRight" activeCell="AH40" sqref="AH4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4376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4377</v>
      </c>
      <c r="C5" s="25" t="s">
        <v>4378</v>
      </c>
      <c r="D5" s="23" t="s">
        <v>996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42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39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39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4379</v>
      </c>
      <c r="C6" s="41" t="s">
        <v>4380</v>
      </c>
      <c r="D6" s="39" t="s">
        <v>996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4381</v>
      </c>
      <c r="C7" s="25" t="s">
        <v>4382</v>
      </c>
      <c r="D7" s="23" t="s">
        <v>996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4383</v>
      </c>
      <c r="C8" s="41" t="s">
        <v>4384</v>
      </c>
      <c r="D8" s="39" t="s">
        <v>996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4385</v>
      </c>
      <c r="C9" s="25" t="s">
        <v>4386</v>
      </c>
      <c r="D9" s="23" t="s">
        <v>996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4387</v>
      </c>
      <c r="C10" s="41" t="s">
        <v>4388</v>
      </c>
      <c r="D10" s="39" t="s">
        <v>996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4389</v>
      </c>
      <c r="C11" s="25" t="s">
        <v>4390</v>
      </c>
      <c r="D11" s="23" t="s">
        <v>996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4391</v>
      </c>
      <c r="C12" s="41" t="s">
        <v>4392</v>
      </c>
      <c r="D12" s="39" t="s">
        <v>996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4393</v>
      </c>
      <c r="C13" s="25" t="s">
        <v>4394</v>
      </c>
      <c r="D13" s="23" t="s">
        <v>4308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4395</v>
      </c>
      <c r="C14" s="41" t="s">
        <v>4396</v>
      </c>
      <c r="D14" s="39" t="s">
        <v>4308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4397</v>
      </c>
      <c r="C15" s="25" t="s">
        <v>4398</v>
      </c>
      <c r="D15" s="23" t="s">
        <v>4308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4399</v>
      </c>
      <c r="C16" s="41" t="s">
        <v>4400</v>
      </c>
      <c r="D16" s="39" t="s">
        <v>4308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4401</v>
      </c>
      <c r="C17" s="25" t="s">
        <v>4402</v>
      </c>
      <c r="D17" s="23" t="s">
        <v>4308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4403</v>
      </c>
      <c r="C18" s="41" t="s">
        <v>4404</v>
      </c>
      <c r="D18" s="39" t="s">
        <v>4308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4405</v>
      </c>
      <c r="C19" s="25" t="s">
        <v>4406</v>
      </c>
      <c r="D19" s="23" t="s">
        <v>4308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4407</v>
      </c>
      <c r="C20" s="41" t="s">
        <v>4408</v>
      </c>
      <c r="D20" s="39" t="s">
        <v>4308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4409</v>
      </c>
      <c r="C21" s="25" t="s">
        <v>4410</v>
      </c>
      <c r="D21" s="23" t="s">
        <v>4308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4411</v>
      </c>
      <c r="C22" s="41" t="s">
        <v>4412</v>
      </c>
      <c r="D22" s="39" t="s">
        <v>4308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4413</v>
      </c>
      <c r="C23" s="25" t="s">
        <v>4414</v>
      </c>
      <c r="D23" s="23" t="s">
        <v>4308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4415</v>
      </c>
      <c r="C24" s="41" t="s">
        <v>4416</v>
      </c>
      <c r="D24" s="39" t="s">
        <v>4308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4417</v>
      </c>
      <c r="C25" s="25" t="s">
        <v>4418</v>
      </c>
      <c r="D25" s="23" t="s">
        <v>4308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4419</v>
      </c>
      <c r="C26" s="41" t="s">
        <v>4420</v>
      </c>
      <c r="D26" s="39" t="s">
        <v>4308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58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4421</v>
      </c>
      <c r="C27" s="25" t="s">
        <v>4422</v>
      </c>
      <c r="D27" s="23" t="s">
        <v>4308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56</v>
      </c>
      <c r="AI27" s="33" t="s">
        <v>57</v>
      </c>
      <c r="AJ27" s="33" t="s">
        <v>58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4423</v>
      </c>
      <c r="C28" s="41" t="s">
        <v>4424</v>
      </c>
      <c r="D28" s="39" t="s">
        <v>4308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56</v>
      </c>
      <c r="AI28" s="33" t="s">
        <v>57</v>
      </c>
      <c r="AJ28" s="33" t="s">
        <v>58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4425</v>
      </c>
      <c r="C29" s="25" t="s">
        <v>4426</v>
      </c>
      <c r="D29" s="23" t="s">
        <v>4308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 t="s">
        <v>57</v>
      </c>
      <c r="AJ29" s="33" t="s">
        <v>58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4427</v>
      </c>
      <c r="C30" s="41" t="s">
        <v>4428</v>
      </c>
      <c r="D30" s="39" t="s">
        <v>4308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4429</v>
      </c>
      <c r="C31" s="25" t="s">
        <v>4430</v>
      </c>
      <c r="D31" s="23" t="s">
        <v>4308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56</v>
      </c>
      <c r="AI31" s="33" t="s">
        <v>57</v>
      </c>
      <c r="AJ31" s="33" t="s">
        <v>58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4431</v>
      </c>
      <c r="C32" s="41" t="s">
        <v>4432</v>
      </c>
      <c r="D32" s="39" t="s">
        <v>4308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 t="s">
        <v>57</v>
      </c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4433</v>
      </c>
      <c r="C33" s="25" t="s">
        <v>4434</v>
      </c>
      <c r="D33" s="23" t="s">
        <v>4308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4435</v>
      </c>
      <c r="C34" s="41" t="s">
        <v>4436</v>
      </c>
      <c r="D34" s="39" t="s">
        <v>4308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4437</v>
      </c>
      <c r="C35" s="25" t="s">
        <v>4438</v>
      </c>
      <c r="D35" s="23" t="s">
        <v>4308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56</v>
      </c>
      <c r="AI35" s="33" t="s">
        <v>57</v>
      </c>
      <c r="AJ35" s="33" t="s">
        <v>58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4439</v>
      </c>
      <c r="C36" s="41" t="s">
        <v>4440</v>
      </c>
      <c r="D36" s="39" t="s">
        <v>4308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 t="s">
        <v>57</v>
      </c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4441</v>
      </c>
      <c r="C37" s="25" t="s">
        <v>4442</v>
      </c>
      <c r="D37" s="23" t="s">
        <v>4308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 t="s">
        <v>61</v>
      </c>
      <c r="AG37" s="33" t="s">
        <v>55</v>
      </c>
      <c r="AH37" s="33" t="s">
        <v>56</v>
      </c>
      <c r="AI37" s="33" t="s">
        <v>57</v>
      </c>
      <c r="AJ37" s="33" t="s">
        <v>58</v>
      </c>
      <c r="AK37" s="33" t="s">
        <v>56</v>
      </c>
      <c r="AL37" s="27"/>
      <c r="AM37" s="34" t="s">
        <v>57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4443</v>
      </c>
      <c r="C38" s="41" t="s">
        <v>4444</v>
      </c>
      <c r="D38" s="39" t="s">
        <v>4308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 t="s">
        <v>61</v>
      </c>
      <c r="AG38" s="33" t="s">
        <v>55</v>
      </c>
      <c r="AH38" s="33" t="s">
        <v>56</v>
      </c>
      <c r="AI38" s="33" t="s">
        <v>57</v>
      </c>
      <c r="AJ38" s="33" t="s">
        <v>58</v>
      </c>
      <c r="AK38" s="33" t="s">
        <v>56</v>
      </c>
      <c r="AL38" s="27"/>
      <c r="AM38" s="34" t="s">
        <v>57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4445</v>
      </c>
      <c r="C39" s="25" t="s">
        <v>4446</v>
      </c>
      <c r="D39" s="23" t="s">
        <v>4308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16" priority="15">
      <formula>G5="Yes"</formula>
    </cfRule>
    <cfRule type="expression" dxfId="215" priority="16">
      <formula>G5="No"</formula>
    </cfRule>
  </conditionalFormatting>
  <conditionalFormatting sqref="H5:H39">
    <cfRule type="expression" dxfId="214" priority="17">
      <formula>H5="Yes"</formula>
    </cfRule>
  </conditionalFormatting>
  <conditionalFormatting sqref="J5:J39">
    <cfRule type="expression" dxfId="213" priority="18">
      <formula>J5="Yes"</formula>
    </cfRule>
    <cfRule type="expression" dxfId="212" priority="19">
      <formula>J5="No"</formula>
    </cfRule>
  </conditionalFormatting>
  <conditionalFormatting sqref="M5:M39">
    <cfRule type="expression" dxfId="211" priority="13">
      <formula>M5="⚠ Missing"</formula>
    </cfRule>
    <cfRule type="expression" dxfId="210" priority="11">
      <formula>M5="✓ OK"</formula>
    </cfRule>
    <cfRule type="expression" dxfId="209" priority="12">
      <formula>M5="❌ Disc"</formula>
    </cfRule>
    <cfRule type="expression" dxfId="208" priority="14">
      <formula>M5="⚠ Check"</formula>
    </cfRule>
  </conditionalFormatting>
  <conditionalFormatting sqref="N5:N39">
    <cfRule type="expression" dxfId="207" priority="1">
      <formula>MOD(ROW(),2)=0</formula>
    </cfRule>
  </conditionalFormatting>
  <conditionalFormatting sqref="O5:AW39 A5:M39">
    <cfRule type="expression" dxfId="206" priority="56">
      <formula>MOD(ROW(),2)=0</formula>
    </cfRule>
  </conditionalFormatting>
  <conditionalFormatting sqref="P5:P39">
    <cfRule type="expression" dxfId="205" priority="6">
      <formula>P5="Yes"</formula>
    </cfRule>
    <cfRule type="expression" dxfId="204" priority="7">
      <formula>P5="No"</formula>
    </cfRule>
    <cfRule type="expression" dxfId="203" priority="24">
      <formula>P5="Yes"</formula>
    </cfRule>
    <cfRule type="expression" dxfId="202" priority="25">
      <formula>P5="No"</formula>
    </cfRule>
  </conditionalFormatting>
  <conditionalFormatting sqref="Q5:Q39">
    <cfRule type="expression" dxfId="201" priority="8">
      <formula>Q5="Yes"</formula>
    </cfRule>
  </conditionalFormatting>
  <conditionalFormatting sqref="S5:S39">
    <cfRule type="expression" dxfId="200" priority="9">
      <formula>S5="Yes"</formula>
    </cfRule>
    <cfRule type="expression" dxfId="199" priority="10">
      <formula>S5="No"</formula>
    </cfRule>
    <cfRule type="expression" dxfId="198" priority="27">
      <formula>S5="Yes"</formula>
    </cfRule>
    <cfRule type="expression" dxfId="197" priority="28">
      <formula>S5="No"</formula>
    </cfRule>
  </conditionalFormatting>
  <conditionalFormatting sqref="V5:V39">
    <cfRule type="expression" dxfId="196" priority="2">
      <formula>V5="✓ OK"</formula>
    </cfRule>
    <cfRule type="expression" dxfId="195" priority="3">
      <formula>V5="❌ Disc"</formula>
    </cfRule>
    <cfRule type="expression" dxfId="194" priority="4">
      <formula>V5="⚠ Missing"</formula>
    </cfRule>
    <cfRule type="expression" dxfId="193" priority="5">
      <formula>V5="⚠ Check"</formula>
    </cfRule>
    <cfRule type="expression" dxfId="192" priority="20">
      <formula>V5="✓ OK"</formula>
    </cfRule>
    <cfRule type="expression" dxfId="191" priority="21">
      <formula>V5="❌ Disc"</formula>
    </cfRule>
    <cfRule type="expression" dxfId="190" priority="22">
      <formula>V5="⚠ Missing"</formula>
    </cfRule>
    <cfRule type="expression" dxfId="189" priority="23">
      <formula>V5="⚠ Check"</formula>
    </cfRule>
  </conditionalFormatting>
  <conditionalFormatting sqref="Y5:Y39">
    <cfRule type="expression" dxfId="188" priority="33">
      <formula>Y5="Yes"</formula>
    </cfRule>
    <cfRule type="expression" dxfId="187" priority="34">
      <formula>Y5="No"</formula>
    </cfRule>
  </conditionalFormatting>
  <conditionalFormatting sqref="Z5:Z39">
    <cfRule type="expression" dxfId="186" priority="35">
      <formula>Z5="Yes"</formula>
    </cfRule>
  </conditionalFormatting>
  <conditionalFormatting sqref="AB5:AB39">
    <cfRule type="expression" dxfId="185" priority="36">
      <formula>AB5="Yes"</formula>
    </cfRule>
    <cfRule type="expression" dxfId="184" priority="37">
      <formula>AB5="No"</formula>
    </cfRule>
  </conditionalFormatting>
  <conditionalFormatting sqref="AE5:AE39">
    <cfRule type="expression" dxfId="183" priority="30">
      <formula>AE5="❌ Disc"</formula>
    </cfRule>
    <cfRule type="expression" dxfId="182" priority="31">
      <formula>AE5="⚠ Missing"</formula>
    </cfRule>
    <cfRule type="expression" dxfId="181" priority="29">
      <formula>AE5="✓ OK"</formula>
    </cfRule>
    <cfRule type="expression" dxfId="180" priority="32">
      <formula>AE5="⚠ Check"</formula>
    </cfRule>
  </conditionalFormatting>
  <conditionalFormatting sqref="AH5:AH39">
    <cfRule type="expression" dxfId="179" priority="42">
      <formula>AH5="Yes"</formula>
    </cfRule>
    <cfRule type="expression" dxfId="178" priority="43">
      <formula>AH5="No"</formula>
    </cfRule>
  </conditionalFormatting>
  <conditionalFormatting sqref="AI5:AI39">
    <cfRule type="expression" dxfId="177" priority="44">
      <formula>AI5="Yes"</formula>
    </cfRule>
  </conditionalFormatting>
  <conditionalFormatting sqref="AK5:AK39">
    <cfRule type="expression" dxfId="176" priority="45">
      <formula>AK5="Yes"</formula>
    </cfRule>
    <cfRule type="expression" dxfId="175" priority="46">
      <formula>AK5="No"</formula>
    </cfRule>
  </conditionalFormatting>
  <conditionalFormatting sqref="AN5:AN39">
    <cfRule type="expression" dxfId="174" priority="38">
      <formula>AN5="✓ OK"</formula>
    </cfRule>
    <cfRule type="expression" dxfId="173" priority="39">
      <formula>AN5="❌ Disc"</formula>
    </cfRule>
    <cfRule type="expression" dxfId="172" priority="40">
      <formula>AN5="⚠ Missing"</formula>
    </cfRule>
    <cfRule type="expression" dxfId="171" priority="41">
      <formula>AN5="⚠ Check"</formula>
    </cfRule>
  </conditionalFormatting>
  <conditionalFormatting sqref="AQ5:AQ39">
    <cfRule type="expression" dxfId="170" priority="51">
      <formula>AQ5="Yes"</formula>
    </cfRule>
    <cfRule type="expression" dxfId="169" priority="52">
      <formula>AQ5="No"</formula>
    </cfRule>
  </conditionalFormatting>
  <conditionalFormatting sqref="AR5:AR39">
    <cfRule type="expression" dxfId="168" priority="53">
      <formula>AR5="Yes"</formula>
    </cfRule>
  </conditionalFormatting>
  <conditionalFormatting sqref="AT5:AT39">
    <cfRule type="expression" dxfId="167" priority="54">
      <formula>AT5="Yes"</formula>
    </cfRule>
    <cfRule type="expression" dxfId="166" priority="55">
      <formula>AT5="No"</formula>
    </cfRule>
  </conditionalFormatting>
  <conditionalFormatting sqref="AW5:AW39">
    <cfRule type="expression" dxfId="165" priority="47">
      <formula>AW5="✓ OK"</formula>
    </cfRule>
    <cfRule type="expression" dxfId="164" priority="48">
      <formula>AW5="❌ Disc"</formula>
    </cfRule>
    <cfRule type="expression" dxfId="163" priority="49">
      <formula>AW5="⚠ Missing"</formula>
    </cfRule>
    <cfRule type="expression" dxfId="162" priority="50">
      <formula>AW5="⚠ Check"</formula>
    </cfRule>
  </conditionalFormatting>
  <dataValidations count="2">
    <dataValidation type="list" allowBlank="1" sqref="G5:H39 J5:J39 P5:Q39 S5:S39 Y5:Z39 AB5:AB39 AH5:AI39 AK5:AK39 AQ5:AR39 AT5:AT39" xr:uid="{00000000-0002-0000-0900-000000000000}">
      <formula1>"Yes,No"</formula1>
    </dataValidation>
    <dataValidation type="list" allowBlank="1" sqref="I5:I39 R5:R39 AA5:AA39 AJ5:AJ39 AS5:AS39" xr:uid="{00000000-0002-0000-09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AE41" activePane="bottomRight" state="frozen"/>
      <selection pane="topRight" activeCell="H13" sqref="H13"/>
      <selection pane="bottomLeft" activeCell="H13" sqref="H13"/>
      <selection pane="bottomRight" activeCell="AH5" sqref="AH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4447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4448</v>
      </c>
      <c r="C5" s="41" t="s">
        <v>4449</v>
      </c>
      <c r="D5" s="39" t="s">
        <v>21</v>
      </c>
      <c r="E5" s="42">
        <v>46128</v>
      </c>
      <c r="F5" s="26" t="s">
        <v>55</v>
      </c>
      <c r="G5" s="44" t="s">
        <v>833</v>
      </c>
      <c r="H5" s="26" t="s">
        <v>57</v>
      </c>
      <c r="I5" s="44" t="s">
        <v>833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833</v>
      </c>
      <c r="Q5" s="26" t="s">
        <v>57</v>
      </c>
      <c r="R5" s="44" t="s">
        <v>833</v>
      </c>
      <c r="S5" s="26" t="s">
        <v>56</v>
      </c>
      <c r="T5" s="27"/>
      <c r="U5" s="28" t="s">
        <v>57</v>
      </c>
      <c r="V5" s="29" t="str">
        <f t="shared" ref="V5:V36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833</v>
      </c>
      <c r="Z5" s="30" t="s">
        <v>57</v>
      </c>
      <c r="AA5" s="30" t="s">
        <v>833</v>
      </c>
      <c r="AB5" s="30" t="s">
        <v>56</v>
      </c>
      <c r="AC5" s="27"/>
      <c r="AD5" s="31" t="s">
        <v>57</v>
      </c>
      <c r="AE5" s="32" t="str">
        <f t="shared" ref="AE5:AE36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833</v>
      </c>
      <c r="AI5" s="33" t="s">
        <v>57</v>
      </c>
      <c r="AJ5" s="33" t="s">
        <v>833</v>
      </c>
      <c r="AK5" s="33" t="s">
        <v>56</v>
      </c>
      <c r="AL5" s="27"/>
      <c r="AM5" s="34" t="s">
        <v>57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4450</v>
      </c>
      <c r="C6" s="25" t="s">
        <v>4451</v>
      </c>
      <c r="D6" s="23" t="s">
        <v>21</v>
      </c>
      <c r="E6" s="42">
        <v>46128</v>
      </c>
      <c r="F6" s="26" t="s">
        <v>55</v>
      </c>
      <c r="G6" s="44" t="s">
        <v>833</v>
      </c>
      <c r="H6" s="26" t="s">
        <v>57</v>
      </c>
      <c r="I6" s="44" t="s">
        <v>833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833</v>
      </c>
      <c r="Q6" s="26" t="s">
        <v>57</v>
      </c>
      <c r="R6" s="44" t="s">
        <v>833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833</v>
      </c>
      <c r="Z6" s="30" t="s">
        <v>57</v>
      </c>
      <c r="AA6" s="30" t="s">
        <v>833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833</v>
      </c>
      <c r="AI6" s="33" t="s">
        <v>57</v>
      </c>
      <c r="AJ6" s="33" t="s">
        <v>833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4452</v>
      </c>
      <c r="C7" s="41" t="s">
        <v>4453</v>
      </c>
      <c r="D7" s="39" t="s">
        <v>21</v>
      </c>
      <c r="E7" s="42">
        <v>46128</v>
      </c>
      <c r="F7" s="26" t="s">
        <v>55</v>
      </c>
      <c r="G7" s="44" t="s">
        <v>56</v>
      </c>
      <c r="H7" s="26" t="s">
        <v>57</v>
      </c>
      <c r="I7" s="44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56</v>
      </c>
      <c r="Q7" s="26" t="s">
        <v>57</v>
      </c>
      <c r="R7" s="44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24" t="s">
        <v>4454</v>
      </c>
      <c r="C8" s="25" t="s">
        <v>4455</v>
      </c>
      <c r="D8" s="23" t="s">
        <v>21</v>
      </c>
      <c r="E8" s="42">
        <v>46128</v>
      </c>
      <c r="F8" s="26" t="s">
        <v>55</v>
      </c>
      <c r="G8" s="44" t="s">
        <v>833</v>
      </c>
      <c r="H8" s="26" t="s">
        <v>57</v>
      </c>
      <c r="I8" s="44" t="s">
        <v>833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833</v>
      </c>
      <c r="Q8" s="26" t="s">
        <v>57</v>
      </c>
      <c r="R8" s="44" t="s">
        <v>833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833</v>
      </c>
      <c r="Z8" s="30" t="s">
        <v>57</v>
      </c>
      <c r="AA8" s="30" t="s">
        <v>833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833</v>
      </c>
      <c r="AI8" s="33" t="s">
        <v>57</v>
      </c>
      <c r="AJ8" s="33" t="s">
        <v>833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4456</v>
      </c>
      <c r="C9" s="25" t="s">
        <v>4457</v>
      </c>
      <c r="D9" s="23" t="s">
        <v>21</v>
      </c>
      <c r="E9" s="42">
        <v>46128</v>
      </c>
      <c r="F9" s="26" t="s">
        <v>55</v>
      </c>
      <c r="G9" s="44" t="s">
        <v>833</v>
      </c>
      <c r="H9" s="26" t="s">
        <v>57</v>
      </c>
      <c r="I9" s="44" t="s">
        <v>833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833</v>
      </c>
      <c r="Q9" s="26" t="s">
        <v>57</v>
      </c>
      <c r="R9" s="44" t="s">
        <v>833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833</v>
      </c>
      <c r="Z9" s="30" t="s">
        <v>57</v>
      </c>
      <c r="AA9" s="30" t="s">
        <v>833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833</v>
      </c>
      <c r="AI9" s="33" t="s">
        <v>57</v>
      </c>
      <c r="AJ9" s="33" t="s">
        <v>833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4458</v>
      </c>
      <c r="C10" s="41" t="s">
        <v>4459</v>
      </c>
      <c r="D10" s="39" t="s">
        <v>21</v>
      </c>
      <c r="E10" s="42">
        <v>46128</v>
      </c>
      <c r="F10" s="26" t="s">
        <v>55</v>
      </c>
      <c r="G10" s="44" t="s">
        <v>56</v>
      </c>
      <c r="H10" s="26" t="s">
        <v>57</v>
      </c>
      <c r="I10" s="44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56</v>
      </c>
      <c r="Q10" s="26" t="s">
        <v>57</v>
      </c>
      <c r="R10" s="44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4460</v>
      </c>
      <c r="C11" s="41" t="s">
        <v>4461</v>
      </c>
      <c r="D11" s="39" t="s">
        <v>21</v>
      </c>
      <c r="E11" s="42">
        <v>46128</v>
      </c>
      <c r="F11" s="26" t="s">
        <v>55</v>
      </c>
      <c r="G11" s="44" t="s">
        <v>833</v>
      </c>
      <c r="H11" s="26" t="s">
        <v>57</v>
      </c>
      <c r="I11" s="44" t="s">
        <v>833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833</v>
      </c>
      <c r="Q11" s="26" t="s">
        <v>57</v>
      </c>
      <c r="R11" s="44" t="s">
        <v>833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833</v>
      </c>
      <c r="Z11" s="30" t="s">
        <v>57</v>
      </c>
      <c r="AA11" s="30" t="s">
        <v>833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833</v>
      </c>
      <c r="AI11" s="33" t="s">
        <v>57</v>
      </c>
      <c r="AJ11" s="33" t="s">
        <v>833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4462</v>
      </c>
      <c r="C12" s="25" t="s">
        <v>4463</v>
      </c>
      <c r="D12" s="23" t="s">
        <v>21</v>
      </c>
      <c r="E12" s="42">
        <v>46128</v>
      </c>
      <c r="F12" s="26" t="s">
        <v>55</v>
      </c>
      <c r="G12" s="44" t="s">
        <v>833</v>
      </c>
      <c r="H12" s="26" t="s">
        <v>57</v>
      </c>
      <c r="I12" s="44" t="s">
        <v>833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833</v>
      </c>
      <c r="Q12" s="26" t="s">
        <v>57</v>
      </c>
      <c r="R12" s="44" t="s">
        <v>833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833</v>
      </c>
      <c r="Z12" s="30" t="s">
        <v>57</v>
      </c>
      <c r="AA12" s="30" t="s">
        <v>833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833</v>
      </c>
      <c r="AI12" s="33" t="s">
        <v>57</v>
      </c>
      <c r="AJ12" s="33" t="s">
        <v>833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4464</v>
      </c>
      <c r="C13" s="41" t="s">
        <v>4465</v>
      </c>
      <c r="D13" s="39" t="s">
        <v>21</v>
      </c>
      <c r="E13" s="42">
        <v>46128</v>
      </c>
      <c r="F13" s="26" t="s">
        <v>55</v>
      </c>
      <c r="G13" s="44" t="s">
        <v>833</v>
      </c>
      <c r="H13" s="26" t="s">
        <v>57</v>
      </c>
      <c r="I13" s="44" t="s">
        <v>833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833</v>
      </c>
      <c r="Q13" s="26" t="s">
        <v>57</v>
      </c>
      <c r="R13" s="44" t="s">
        <v>833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833</v>
      </c>
      <c r="Z13" s="30" t="s">
        <v>57</v>
      </c>
      <c r="AA13" s="30" t="s">
        <v>833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833</v>
      </c>
      <c r="AI13" s="33" t="s">
        <v>57</v>
      </c>
      <c r="AJ13" s="33" t="s">
        <v>833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24" t="s">
        <v>4466</v>
      </c>
      <c r="C14" s="25" t="s">
        <v>4467</v>
      </c>
      <c r="D14" s="23" t="s">
        <v>21</v>
      </c>
      <c r="E14" s="42">
        <v>46128</v>
      </c>
      <c r="F14" s="26" t="s">
        <v>55</v>
      </c>
      <c r="G14" s="44" t="s">
        <v>833</v>
      </c>
      <c r="H14" s="26" t="s">
        <v>57</v>
      </c>
      <c r="I14" s="44" t="s">
        <v>833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833</v>
      </c>
      <c r="Q14" s="26" t="s">
        <v>57</v>
      </c>
      <c r="R14" s="44" t="s">
        <v>833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833</v>
      </c>
      <c r="Z14" s="30" t="s">
        <v>57</v>
      </c>
      <c r="AA14" s="30" t="s">
        <v>833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833</v>
      </c>
      <c r="AI14" s="33" t="s">
        <v>57</v>
      </c>
      <c r="AJ14" s="33" t="s">
        <v>833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40" t="s">
        <v>4468</v>
      </c>
      <c r="C15" s="41" t="s">
        <v>4469</v>
      </c>
      <c r="D15" s="39" t="s">
        <v>21</v>
      </c>
      <c r="E15" s="42">
        <v>46128</v>
      </c>
      <c r="F15" s="26" t="s">
        <v>55</v>
      </c>
      <c r="G15" s="44" t="s">
        <v>833</v>
      </c>
      <c r="H15" s="26" t="s">
        <v>57</v>
      </c>
      <c r="I15" s="44" t="s">
        <v>833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833</v>
      </c>
      <c r="Q15" s="26" t="s">
        <v>57</v>
      </c>
      <c r="R15" s="44" t="s">
        <v>833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833</v>
      </c>
      <c r="Z15" s="30" t="s">
        <v>57</v>
      </c>
      <c r="AA15" s="30" t="s">
        <v>833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833</v>
      </c>
      <c r="AI15" s="33" t="s">
        <v>57</v>
      </c>
      <c r="AJ15" s="33" t="s">
        <v>833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4470</v>
      </c>
      <c r="C16" s="41" t="s">
        <v>4471</v>
      </c>
      <c r="D16" s="39" t="s">
        <v>21</v>
      </c>
      <c r="E16" s="42">
        <v>46128</v>
      </c>
      <c r="F16" s="26" t="s">
        <v>55</v>
      </c>
      <c r="G16" s="44" t="s">
        <v>833</v>
      </c>
      <c r="H16" s="26" t="s">
        <v>57</v>
      </c>
      <c r="I16" s="44" t="s">
        <v>833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833</v>
      </c>
      <c r="Q16" s="26" t="s">
        <v>57</v>
      </c>
      <c r="R16" s="44" t="s">
        <v>833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833</v>
      </c>
      <c r="Z16" s="30" t="s">
        <v>57</v>
      </c>
      <c r="AA16" s="30" t="s">
        <v>833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833</v>
      </c>
      <c r="AI16" s="33" t="s">
        <v>57</v>
      </c>
      <c r="AJ16" s="33" t="s">
        <v>833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4472</v>
      </c>
      <c r="C17" s="25" t="s">
        <v>4473</v>
      </c>
      <c r="D17" s="23" t="s">
        <v>21</v>
      </c>
      <c r="E17" s="42">
        <v>46128</v>
      </c>
      <c r="F17" s="26" t="s">
        <v>55</v>
      </c>
      <c r="G17" s="44" t="s">
        <v>833</v>
      </c>
      <c r="H17" s="26" t="s">
        <v>57</v>
      </c>
      <c r="I17" s="44" t="s">
        <v>833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833</v>
      </c>
      <c r="Q17" s="26" t="s">
        <v>57</v>
      </c>
      <c r="R17" s="44" t="s">
        <v>833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833</v>
      </c>
      <c r="Z17" s="30" t="s">
        <v>57</v>
      </c>
      <c r="AA17" s="30" t="s">
        <v>833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833</v>
      </c>
      <c r="AI17" s="33" t="s">
        <v>57</v>
      </c>
      <c r="AJ17" s="33" t="s">
        <v>833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24" t="s">
        <v>4474</v>
      </c>
      <c r="C18" s="25" t="s">
        <v>4475</v>
      </c>
      <c r="D18" s="23" t="s">
        <v>21</v>
      </c>
      <c r="E18" s="42">
        <v>46128</v>
      </c>
      <c r="F18" s="26" t="s">
        <v>55</v>
      </c>
      <c r="G18" s="44" t="s">
        <v>56</v>
      </c>
      <c r="H18" s="26" t="s">
        <v>57</v>
      </c>
      <c r="I18" s="44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56</v>
      </c>
      <c r="Q18" s="26" t="s">
        <v>57</v>
      </c>
      <c r="R18" s="44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40" t="s">
        <v>4476</v>
      </c>
      <c r="C19" s="41" t="s">
        <v>4477</v>
      </c>
      <c r="D19" s="39" t="s">
        <v>21</v>
      </c>
      <c r="E19" s="42">
        <v>46128</v>
      </c>
      <c r="F19" s="26" t="s">
        <v>55</v>
      </c>
      <c r="G19" s="44" t="s">
        <v>833</v>
      </c>
      <c r="H19" s="26" t="s">
        <v>57</v>
      </c>
      <c r="I19" s="44" t="s">
        <v>833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833</v>
      </c>
      <c r="Q19" s="26" t="s">
        <v>57</v>
      </c>
      <c r="R19" s="44" t="s">
        <v>833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833</v>
      </c>
      <c r="Z19" s="30" t="s">
        <v>57</v>
      </c>
      <c r="AA19" s="30" t="s">
        <v>833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833</v>
      </c>
      <c r="AI19" s="33" t="s">
        <v>57</v>
      </c>
      <c r="AJ19" s="33" t="s">
        <v>833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24" t="s">
        <v>4478</v>
      </c>
      <c r="C20" s="25" t="s">
        <v>4479</v>
      </c>
      <c r="D20" s="23" t="s">
        <v>21</v>
      </c>
      <c r="E20" s="42">
        <v>46128</v>
      </c>
      <c r="F20" s="26" t="s">
        <v>55</v>
      </c>
      <c r="G20" s="44" t="s">
        <v>833</v>
      </c>
      <c r="H20" s="26" t="s">
        <v>57</v>
      </c>
      <c r="I20" s="44" t="s">
        <v>833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833</v>
      </c>
      <c r="Q20" s="26" t="s">
        <v>57</v>
      </c>
      <c r="R20" s="44" t="s">
        <v>833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833</v>
      </c>
      <c r="Z20" s="30" t="s">
        <v>57</v>
      </c>
      <c r="AA20" s="30" t="s">
        <v>833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833</v>
      </c>
      <c r="AI20" s="33" t="s">
        <v>57</v>
      </c>
      <c r="AJ20" s="33" t="s">
        <v>833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40" t="s">
        <v>4480</v>
      </c>
      <c r="C21" s="41" t="s">
        <v>4481</v>
      </c>
      <c r="D21" s="39" t="s">
        <v>21</v>
      </c>
      <c r="E21" s="42">
        <v>46128</v>
      </c>
      <c r="F21" s="26" t="s">
        <v>55</v>
      </c>
      <c r="G21" s="44" t="s">
        <v>833</v>
      </c>
      <c r="H21" s="26" t="s">
        <v>57</v>
      </c>
      <c r="I21" s="44" t="s">
        <v>833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833</v>
      </c>
      <c r="Q21" s="26" t="s">
        <v>57</v>
      </c>
      <c r="R21" s="44" t="s">
        <v>833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833</v>
      </c>
      <c r="Z21" s="30" t="s">
        <v>57</v>
      </c>
      <c r="AA21" s="30" t="s">
        <v>833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833</v>
      </c>
      <c r="AI21" s="33" t="s">
        <v>57</v>
      </c>
      <c r="AJ21" s="33" t="s">
        <v>833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24" t="s">
        <v>4482</v>
      </c>
      <c r="C22" s="25" t="s">
        <v>4483</v>
      </c>
      <c r="D22" s="23" t="s">
        <v>21</v>
      </c>
      <c r="E22" s="42">
        <v>46128</v>
      </c>
      <c r="F22" s="26" t="s">
        <v>55</v>
      </c>
      <c r="G22" s="44" t="s">
        <v>833</v>
      </c>
      <c r="H22" s="26" t="s">
        <v>57</v>
      </c>
      <c r="I22" s="44" t="s">
        <v>833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833</v>
      </c>
      <c r="Q22" s="26" t="s">
        <v>57</v>
      </c>
      <c r="R22" s="44" t="s">
        <v>833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833</v>
      </c>
      <c r="Z22" s="30" t="s">
        <v>57</v>
      </c>
      <c r="AA22" s="30" t="s">
        <v>833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833</v>
      </c>
      <c r="AI22" s="33" t="s">
        <v>57</v>
      </c>
      <c r="AJ22" s="33" t="s">
        <v>833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4484</v>
      </c>
      <c r="C23" s="25" t="s">
        <v>4485</v>
      </c>
      <c r="D23" s="23" t="s">
        <v>21</v>
      </c>
      <c r="E23" s="42">
        <v>46128</v>
      </c>
      <c r="F23" s="26" t="s">
        <v>55</v>
      </c>
      <c r="G23" s="44" t="s">
        <v>833</v>
      </c>
      <c r="H23" s="26" t="s">
        <v>57</v>
      </c>
      <c r="I23" s="44" t="s">
        <v>833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833</v>
      </c>
      <c r="Q23" s="26" t="s">
        <v>57</v>
      </c>
      <c r="R23" s="44" t="s">
        <v>833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833</v>
      </c>
      <c r="Z23" s="30" t="s">
        <v>57</v>
      </c>
      <c r="AA23" s="30" t="s">
        <v>833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833</v>
      </c>
      <c r="AI23" s="33" t="s">
        <v>57</v>
      </c>
      <c r="AJ23" s="33" t="s">
        <v>833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4486</v>
      </c>
      <c r="C24" s="41" t="s">
        <v>4487</v>
      </c>
      <c r="D24" s="39" t="s">
        <v>21</v>
      </c>
      <c r="E24" s="42">
        <v>46128</v>
      </c>
      <c r="F24" s="26" t="s">
        <v>55</v>
      </c>
      <c r="G24" s="44" t="s">
        <v>833</v>
      </c>
      <c r="H24" s="26" t="s">
        <v>57</v>
      </c>
      <c r="I24" s="44" t="s">
        <v>833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833</v>
      </c>
      <c r="Q24" s="26" t="s">
        <v>57</v>
      </c>
      <c r="R24" s="44" t="s">
        <v>833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833</v>
      </c>
      <c r="Z24" s="30" t="s">
        <v>57</v>
      </c>
      <c r="AA24" s="30" t="s">
        <v>833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833</v>
      </c>
      <c r="AI24" s="33" t="s">
        <v>57</v>
      </c>
      <c r="AJ24" s="33" t="s">
        <v>833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40" t="s">
        <v>4488</v>
      </c>
      <c r="C25" s="41" t="s">
        <v>4489</v>
      </c>
      <c r="D25" s="39" t="s">
        <v>21</v>
      </c>
      <c r="E25" s="42">
        <v>46128</v>
      </c>
      <c r="F25" s="26" t="s">
        <v>55</v>
      </c>
      <c r="G25" s="44" t="s">
        <v>833</v>
      </c>
      <c r="H25" s="26" t="s">
        <v>57</v>
      </c>
      <c r="I25" s="44" t="s">
        <v>833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833</v>
      </c>
      <c r="Q25" s="26" t="s">
        <v>57</v>
      </c>
      <c r="R25" s="44" t="s">
        <v>833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833</v>
      </c>
      <c r="Z25" s="30" t="s">
        <v>57</v>
      </c>
      <c r="AA25" s="30" t="s">
        <v>833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833</v>
      </c>
      <c r="AI25" s="33" t="s">
        <v>57</v>
      </c>
      <c r="AJ25" s="33" t="s">
        <v>833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4490</v>
      </c>
      <c r="C26" s="41" t="s">
        <v>4491</v>
      </c>
      <c r="D26" s="39" t="s">
        <v>21</v>
      </c>
      <c r="E26" s="42">
        <v>46128</v>
      </c>
      <c r="F26" s="26" t="s">
        <v>55</v>
      </c>
      <c r="G26" s="44" t="s">
        <v>833</v>
      </c>
      <c r="H26" s="26" t="s">
        <v>57</v>
      </c>
      <c r="I26" s="44" t="s">
        <v>833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833</v>
      </c>
      <c r="Q26" s="26" t="s">
        <v>57</v>
      </c>
      <c r="R26" s="44" t="s">
        <v>833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833</v>
      </c>
      <c r="Z26" s="30" t="s">
        <v>57</v>
      </c>
      <c r="AA26" s="30" t="s">
        <v>833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833</v>
      </c>
      <c r="AI26" s="33" t="s">
        <v>57</v>
      </c>
      <c r="AJ26" s="33" t="s">
        <v>833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40" t="s">
        <v>4492</v>
      </c>
      <c r="C27" s="41" t="s">
        <v>4493</v>
      </c>
      <c r="D27" s="39" t="s">
        <v>21</v>
      </c>
      <c r="E27" s="42">
        <v>46128</v>
      </c>
      <c r="F27" s="26" t="s">
        <v>55</v>
      </c>
      <c r="G27" s="44" t="s">
        <v>833</v>
      </c>
      <c r="H27" s="26" t="s">
        <v>57</v>
      </c>
      <c r="I27" s="44" t="s">
        <v>833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833</v>
      </c>
      <c r="Q27" s="26" t="s">
        <v>57</v>
      </c>
      <c r="R27" s="44" t="s">
        <v>833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833</v>
      </c>
      <c r="Z27" s="30" t="s">
        <v>57</v>
      </c>
      <c r="AA27" s="30" t="s">
        <v>833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833</v>
      </c>
      <c r="AI27" s="33" t="s">
        <v>57</v>
      </c>
      <c r="AJ27" s="33" t="s">
        <v>833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24" t="s">
        <v>4494</v>
      </c>
      <c r="C28" s="25" t="s">
        <v>4495</v>
      </c>
      <c r="D28" s="23" t="s">
        <v>21</v>
      </c>
      <c r="E28" s="42">
        <v>46128</v>
      </c>
      <c r="F28" s="26" t="s">
        <v>55</v>
      </c>
      <c r="G28" s="44" t="s">
        <v>833</v>
      </c>
      <c r="H28" s="26" t="s">
        <v>57</v>
      </c>
      <c r="I28" s="44" t="s">
        <v>833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833</v>
      </c>
      <c r="Q28" s="26" t="s">
        <v>57</v>
      </c>
      <c r="R28" s="44" t="s">
        <v>833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833</v>
      </c>
      <c r="Z28" s="30" t="s">
        <v>57</v>
      </c>
      <c r="AA28" s="30" t="s">
        <v>833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833</v>
      </c>
      <c r="AI28" s="33" t="s">
        <v>57</v>
      </c>
      <c r="AJ28" s="33" t="s">
        <v>833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40" t="s">
        <v>4496</v>
      </c>
      <c r="C29" s="41" t="s">
        <v>4497</v>
      </c>
      <c r="D29" s="39" t="s">
        <v>21</v>
      </c>
      <c r="E29" s="42">
        <v>46128</v>
      </c>
      <c r="F29" s="26" t="s">
        <v>55</v>
      </c>
      <c r="G29" s="44" t="s">
        <v>833</v>
      </c>
      <c r="H29" s="26" t="s">
        <v>57</v>
      </c>
      <c r="I29" s="44" t="s">
        <v>833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833</v>
      </c>
      <c r="Q29" s="26" t="s">
        <v>57</v>
      </c>
      <c r="R29" s="44" t="s">
        <v>833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833</v>
      </c>
      <c r="Z29" s="30" t="s">
        <v>57</v>
      </c>
      <c r="AA29" s="30" t="s">
        <v>833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833</v>
      </c>
      <c r="AI29" s="33" t="s">
        <v>57</v>
      </c>
      <c r="AJ29" s="33" t="s">
        <v>833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24" t="s">
        <v>4498</v>
      </c>
      <c r="C30" s="25" t="s">
        <v>4499</v>
      </c>
      <c r="D30" s="23" t="s">
        <v>21</v>
      </c>
      <c r="E30" s="42">
        <v>46128</v>
      </c>
      <c r="F30" s="26" t="s">
        <v>55</v>
      </c>
      <c r="G30" s="44" t="s">
        <v>833</v>
      </c>
      <c r="H30" s="26" t="s">
        <v>57</v>
      </c>
      <c r="I30" s="44" t="s">
        <v>833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833</v>
      </c>
      <c r="Q30" s="26" t="s">
        <v>57</v>
      </c>
      <c r="R30" s="44" t="s">
        <v>833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833</v>
      </c>
      <c r="Z30" s="30" t="s">
        <v>57</v>
      </c>
      <c r="AA30" s="30" t="s">
        <v>833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833</v>
      </c>
      <c r="AI30" s="33" t="s">
        <v>57</v>
      </c>
      <c r="AJ30" s="33" t="s">
        <v>833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4500</v>
      </c>
      <c r="C31" s="25" t="s">
        <v>4501</v>
      </c>
      <c r="D31" s="23" t="s">
        <v>21</v>
      </c>
      <c r="E31" s="42">
        <v>46128</v>
      </c>
      <c r="F31" s="26" t="s">
        <v>55</v>
      </c>
      <c r="G31" s="44" t="s">
        <v>833</v>
      </c>
      <c r="H31" s="26" t="s">
        <v>57</v>
      </c>
      <c r="I31" s="44" t="s">
        <v>833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833</v>
      </c>
      <c r="Q31" s="26" t="s">
        <v>57</v>
      </c>
      <c r="R31" s="44" t="s">
        <v>833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833</v>
      </c>
      <c r="Z31" s="30" t="s">
        <v>57</v>
      </c>
      <c r="AA31" s="30" t="s">
        <v>833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833</v>
      </c>
      <c r="AI31" s="33" t="s">
        <v>57</v>
      </c>
      <c r="AJ31" s="33" t="s">
        <v>833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4502</v>
      </c>
      <c r="C32" s="41" t="s">
        <v>4503</v>
      </c>
      <c r="D32" s="39" t="s">
        <v>21</v>
      </c>
      <c r="E32" s="42">
        <v>46128</v>
      </c>
      <c r="F32" s="26" t="s">
        <v>55</v>
      </c>
      <c r="G32" s="44" t="s">
        <v>833</v>
      </c>
      <c r="H32" s="26" t="s">
        <v>57</v>
      </c>
      <c r="I32" s="44" t="s">
        <v>833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833</v>
      </c>
      <c r="Q32" s="26" t="s">
        <v>57</v>
      </c>
      <c r="R32" s="44" t="s">
        <v>833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833</v>
      </c>
      <c r="Z32" s="30" t="s">
        <v>57</v>
      </c>
      <c r="AA32" s="30" t="s">
        <v>833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833</v>
      </c>
      <c r="AI32" s="33" t="s">
        <v>57</v>
      </c>
      <c r="AJ32" s="33" t="s">
        <v>833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4504</v>
      </c>
      <c r="C33" s="25" t="s">
        <v>4505</v>
      </c>
      <c r="D33" s="23" t="s">
        <v>21</v>
      </c>
      <c r="E33" s="42">
        <v>46128</v>
      </c>
      <c r="F33" s="26" t="s">
        <v>55</v>
      </c>
      <c r="G33" s="44" t="s">
        <v>56</v>
      </c>
      <c r="H33" s="26" t="s">
        <v>57</v>
      </c>
      <c r="I33" s="44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56</v>
      </c>
      <c r="Q33" s="26" t="s">
        <v>57</v>
      </c>
      <c r="R33" s="44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24" t="s">
        <v>4506</v>
      </c>
      <c r="C34" s="25" t="s">
        <v>4507</v>
      </c>
      <c r="D34" s="23" t="s">
        <v>21</v>
      </c>
      <c r="E34" s="42">
        <v>46128</v>
      </c>
      <c r="F34" s="26" t="s">
        <v>55</v>
      </c>
      <c r="G34" s="44" t="s">
        <v>56</v>
      </c>
      <c r="H34" s="26" t="s">
        <v>57</v>
      </c>
      <c r="I34" s="44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56</v>
      </c>
      <c r="Q34" s="26" t="s">
        <v>57</v>
      </c>
      <c r="R34" s="44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4508</v>
      </c>
      <c r="C35" s="25" t="s">
        <v>4509</v>
      </c>
      <c r="D35" s="23" t="s">
        <v>21</v>
      </c>
      <c r="E35" s="42">
        <v>46128</v>
      </c>
      <c r="F35" s="26" t="s">
        <v>55</v>
      </c>
      <c r="G35" s="44" t="s">
        <v>833</v>
      </c>
      <c r="H35" s="26" t="s">
        <v>57</v>
      </c>
      <c r="I35" s="44" t="s">
        <v>833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833</v>
      </c>
      <c r="Q35" s="26" t="s">
        <v>57</v>
      </c>
      <c r="R35" s="44" t="s">
        <v>833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833</v>
      </c>
      <c r="Z35" s="30" t="s">
        <v>57</v>
      </c>
      <c r="AA35" s="30" t="s">
        <v>833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833</v>
      </c>
      <c r="AI35" s="33" t="s">
        <v>57</v>
      </c>
      <c r="AJ35" s="33" t="s">
        <v>833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4510</v>
      </c>
      <c r="C36" s="41" t="s">
        <v>4511</v>
      </c>
      <c r="D36" s="39" t="s">
        <v>21</v>
      </c>
      <c r="E36" s="42">
        <v>46128</v>
      </c>
      <c r="F36" s="26" t="s">
        <v>55</v>
      </c>
      <c r="G36" s="44" t="s">
        <v>833</v>
      </c>
      <c r="H36" s="26" t="s">
        <v>57</v>
      </c>
      <c r="I36" s="44" t="s">
        <v>833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833</v>
      </c>
      <c r="Q36" s="26" t="s">
        <v>57</v>
      </c>
      <c r="R36" s="44" t="s">
        <v>833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833</v>
      </c>
      <c r="Z36" s="30" t="s">
        <v>57</v>
      </c>
      <c r="AA36" s="30" t="s">
        <v>833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833</v>
      </c>
      <c r="AI36" s="33" t="s">
        <v>57</v>
      </c>
      <c r="AJ36" s="33" t="s">
        <v>833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4512</v>
      </c>
      <c r="C37" s="25" t="s">
        <v>4513</v>
      </c>
      <c r="D37" s="23" t="s">
        <v>21</v>
      </c>
      <c r="E37" s="42">
        <v>46128</v>
      </c>
      <c r="F37" s="26" t="s">
        <v>55</v>
      </c>
      <c r="G37" s="44" t="s">
        <v>833</v>
      </c>
      <c r="H37" s="26" t="s">
        <v>57</v>
      </c>
      <c r="I37" s="44" t="s">
        <v>833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42">
        <v>46196</v>
      </c>
      <c r="O37" s="26" t="s">
        <v>55</v>
      </c>
      <c r="P37" s="44" t="s">
        <v>833</v>
      </c>
      <c r="Q37" s="26" t="s">
        <v>57</v>
      </c>
      <c r="R37" s="44" t="s">
        <v>833</v>
      </c>
      <c r="S37" s="26" t="s">
        <v>56</v>
      </c>
      <c r="T37" s="27"/>
      <c r="U37" s="28" t="s">
        <v>57</v>
      </c>
      <c r="V37" s="29" t="str">
        <f t="shared" ref="V37:V68" si="6">IF(N37="","",IF(Q37="Yes","❌ Disc",IF(P37="No","⚠ Missing",IF(S37="Yes","✓ OK","⚠ Check"))))</f>
        <v>✓ OK</v>
      </c>
      <c r="W37" s="70">
        <v>46248</v>
      </c>
      <c r="X37" s="30" t="s">
        <v>55</v>
      </c>
      <c r="Y37" s="30" t="s">
        <v>833</v>
      </c>
      <c r="Z37" s="30" t="s">
        <v>57</v>
      </c>
      <c r="AA37" s="30" t="s">
        <v>833</v>
      </c>
      <c r="AB37" s="30" t="s">
        <v>56</v>
      </c>
      <c r="AC37" s="27"/>
      <c r="AD37" s="31" t="s">
        <v>57</v>
      </c>
      <c r="AE37" s="32" t="str">
        <f t="shared" ref="AE37:AE68" si="7">IF(W37="","",IF(Z37="Yes","❌ Disc",IF(Y37="No","⚠ Missing",IF(AB37="Yes","✓ OK","⚠ Check"))))</f>
        <v>✓ OK</v>
      </c>
      <c r="AF37" s="33" t="s">
        <v>61</v>
      </c>
      <c r="AG37" s="33" t="s">
        <v>55</v>
      </c>
      <c r="AH37" s="33" t="s">
        <v>833</v>
      </c>
      <c r="AI37" s="33" t="s">
        <v>57</v>
      </c>
      <c r="AJ37" s="33" t="s">
        <v>833</v>
      </c>
      <c r="AK37" s="33" t="s">
        <v>56</v>
      </c>
      <c r="AL37" s="27"/>
      <c r="AM37" s="34" t="s">
        <v>57</v>
      </c>
      <c r="AN37" s="35" t="str">
        <f t="shared" ref="AN37:AN68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4514</v>
      </c>
      <c r="C38" s="41" t="s">
        <v>4515</v>
      </c>
      <c r="D38" s="39" t="s">
        <v>21</v>
      </c>
      <c r="E38" s="42">
        <v>46128</v>
      </c>
      <c r="F38" s="26" t="s">
        <v>55</v>
      </c>
      <c r="G38" s="44" t="s">
        <v>56</v>
      </c>
      <c r="H38" s="26" t="s">
        <v>57</v>
      </c>
      <c r="I38" s="44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42">
        <v>46196</v>
      </c>
      <c r="O38" s="26" t="s">
        <v>55</v>
      </c>
      <c r="P38" s="44" t="s">
        <v>56</v>
      </c>
      <c r="Q38" s="26" t="s">
        <v>57</v>
      </c>
      <c r="R38" s="44" t="s">
        <v>58</v>
      </c>
      <c r="S38" s="26" t="s">
        <v>56</v>
      </c>
      <c r="T38" s="27"/>
      <c r="U38" s="28" t="s">
        <v>57</v>
      </c>
      <c r="V38" s="29" t="str">
        <f t="shared" si="6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7"/>
        <v>✓ OK</v>
      </c>
      <c r="AF38" s="33" t="s">
        <v>61</v>
      </c>
      <c r="AG38" s="33" t="s">
        <v>55</v>
      </c>
      <c r="AH38" s="33" t="s">
        <v>56</v>
      </c>
      <c r="AI38" s="33" t="s">
        <v>57</v>
      </c>
      <c r="AJ38" s="33" t="s">
        <v>58</v>
      </c>
      <c r="AK38" s="33" t="s">
        <v>56</v>
      </c>
      <c r="AL38" s="27"/>
      <c r="AM38" s="34" t="s">
        <v>57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40" t="s">
        <v>4516</v>
      </c>
      <c r="C39" s="41" t="s">
        <v>4517</v>
      </c>
      <c r="D39" s="39" t="s">
        <v>21</v>
      </c>
      <c r="E39" s="42">
        <v>46128</v>
      </c>
      <c r="F39" s="26" t="s">
        <v>55</v>
      </c>
      <c r="G39" s="44" t="s">
        <v>833</v>
      </c>
      <c r="H39" s="26" t="s">
        <v>57</v>
      </c>
      <c r="I39" s="44" t="s">
        <v>833</v>
      </c>
      <c r="J39" s="26" t="s">
        <v>56</v>
      </c>
      <c r="K39" s="27"/>
      <c r="L39" s="28" t="s">
        <v>57</v>
      </c>
      <c r="M39" s="29" t="str">
        <f t="shared" si="5"/>
        <v>✓ OK</v>
      </c>
      <c r="N39" s="42">
        <v>46196</v>
      </c>
      <c r="O39" s="26" t="s">
        <v>55</v>
      </c>
      <c r="P39" s="44" t="s">
        <v>833</v>
      </c>
      <c r="Q39" s="26" t="s">
        <v>57</v>
      </c>
      <c r="R39" s="44" t="s">
        <v>833</v>
      </c>
      <c r="S39" s="26" t="s">
        <v>56</v>
      </c>
      <c r="T39" s="27"/>
      <c r="U39" s="28" t="s">
        <v>57</v>
      </c>
      <c r="V39" s="29" t="str">
        <f t="shared" si="6"/>
        <v>✓ OK</v>
      </c>
      <c r="W39" s="70">
        <v>46248</v>
      </c>
      <c r="X39" s="30" t="s">
        <v>55</v>
      </c>
      <c r="Y39" s="30" t="s">
        <v>833</v>
      </c>
      <c r="Z39" s="30" t="s">
        <v>57</v>
      </c>
      <c r="AA39" s="30" t="s">
        <v>833</v>
      </c>
      <c r="AB39" s="30" t="s">
        <v>56</v>
      </c>
      <c r="AC39" s="27"/>
      <c r="AD39" s="31" t="s">
        <v>57</v>
      </c>
      <c r="AE39" s="32" t="str">
        <f t="shared" si="7"/>
        <v>✓ OK</v>
      </c>
      <c r="AF39" s="33" t="s">
        <v>61</v>
      </c>
      <c r="AG39" s="33" t="s">
        <v>55</v>
      </c>
      <c r="AH39" s="33" t="s">
        <v>833</v>
      </c>
      <c r="AI39" s="33" t="s">
        <v>57</v>
      </c>
      <c r="AJ39" s="33" t="s">
        <v>833</v>
      </c>
      <c r="AK39" s="33" t="s">
        <v>56</v>
      </c>
      <c r="AL39" s="27"/>
      <c r="AM39" s="34" t="s">
        <v>57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24" t="s">
        <v>4518</v>
      </c>
      <c r="C40" s="25" t="s">
        <v>4519</v>
      </c>
      <c r="D40" s="23" t="s">
        <v>21</v>
      </c>
      <c r="E40" s="42">
        <v>46128</v>
      </c>
      <c r="F40" s="26" t="s">
        <v>55</v>
      </c>
      <c r="G40" s="44" t="s">
        <v>833</v>
      </c>
      <c r="H40" s="26" t="s">
        <v>57</v>
      </c>
      <c r="I40" s="44" t="s">
        <v>833</v>
      </c>
      <c r="J40" s="26" t="s">
        <v>56</v>
      </c>
      <c r="K40" s="27"/>
      <c r="L40" s="28" t="s">
        <v>57</v>
      </c>
      <c r="M40" s="29" t="str">
        <f t="shared" si="5"/>
        <v>✓ OK</v>
      </c>
      <c r="N40" s="42">
        <v>46196</v>
      </c>
      <c r="O40" s="26" t="s">
        <v>55</v>
      </c>
      <c r="P40" s="44" t="s">
        <v>833</v>
      </c>
      <c r="Q40" s="26" t="s">
        <v>57</v>
      </c>
      <c r="R40" s="44" t="s">
        <v>833</v>
      </c>
      <c r="S40" s="26" t="s">
        <v>56</v>
      </c>
      <c r="T40" s="27"/>
      <c r="U40" s="28" t="s">
        <v>57</v>
      </c>
      <c r="V40" s="29" t="str">
        <f t="shared" si="6"/>
        <v>✓ OK</v>
      </c>
      <c r="W40" s="70">
        <v>46248</v>
      </c>
      <c r="X40" s="30" t="s">
        <v>55</v>
      </c>
      <c r="Y40" s="30" t="s">
        <v>833</v>
      </c>
      <c r="Z40" s="30" t="s">
        <v>57</v>
      </c>
      <c r="AA40" s="30" t="s">
        <v>833</v>
      </c>
      <c r="AB40" s="30" t="s">
        <v>56</v>
      </c>
      <c r="AC40" s="27"/>
      <c r="AD40" s="31" t="s">
        <v>57</v>
      </c>
      <c r="AE40" s="32" t="str">
        <f t="shared" si="7"/>
        <v>✓ OK</v>
      </c>
      <c r="AF40" s="33" t="s">
        <v>61</v>
      </c>
      <c r="AG40" s="33" t="s">
        <v>55</v>
      </c>
      <c r="AH40" s="33" t="s">
        <v>833</v>
      </c>
      <c r="AI40" s="33" t="s">
        <v>57</v>
      </c>
      <c r="AJ40" s="33" t="s">
        <v>833</v>
      </c>
      <c r="AK40" s="33" t="s">
        <v>56</v>
      </c>
      <c r="AL40" s="27"/>
      <c r="AM40" s="34" t="s">
        <v>57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4520</v>
      </c>
      <c r="C41" s="25" t="s">
        <v>4521</v>
      </c>
      <c r="D41" s="23" t="s">
        <v>21</v>
      </c>
      <c r="E41" s="42">
        <v>46128</v>
      </c>
      <c r="F41" s="26" t="s">
        <v>55</v>
      </c>
      <c r="G41" s="44" t="s">
        <v>833</v>
      </c>
      <c r="H41" s="26" t="s">
        <v>57</v>
      </c>
      <c r="I41" s="44" t="s">
        <v>833</v>
      </c>
      <c r="J41" s="26" t="s">
        <v>56</v>
      </c>
      <c r="K41" s="27"/>
      <c r="L41" s="28" t="s">
        <v>57</v>
      </c>
      <c r="M41" s="29" t="str">
        <f t="shared" si="5"/>
        <v>✓ OK</v>
      </c>
      <c r="N41" s="42">
        <v>46196</v>
      </c>
      <c r="O41" s="26" t="s">
        <v>55</v>
      </c>
      <c r="P41" s="44" t="s">
        <v>833</v>
      </c>
      <c r="Q41" s="26" t="s">
        <v>57</v>
      </c>
      <c r="R41" s="44" t="s">
        <v>833</v>
      </c>
      <c r="S41" s="26" t="s">
        <v>56</v>
      </c>
      <c r="T41" s="27"/>
      <c r="U41" s="28" t="s">
        <v>57</v>
      </c>
      <c r="V41" s="29" t="str">
        <f t="shared" si="6"/>
        <v>✓ OK</v>
      </c>
      <c r="W41" s="70">
        <v>46248</v>
      </c>
      <c r="X41" s="30" t="s">
        <v>55</v>
      </c>
      <c r="Y41" s="30" t="s">
        <v>833</v>
      </c>
      <c r="Z41" s="30" t="s">
        <v>57</v>
      </c>
      <c r="AA41" s="30" t="s">
        <v>833</v>
      </c>
      <c r="AB41" s="30" t="s">
        <v>56</v>
      </c>
      <c r="AC41" s="27"/>
      <c r="AD41" s="31" t="s">
        <v>57</v>
      </c>
      <c r="AE41" s="32" t="str">
        <f t="shared" si="7"/>
        <v>✓ OK</v>
      </c>
      <c r="AF41" s="33" t="s">
        <v>61</v>
      </c>
      <c r="AG41" s="33" t="s">
        <v>55</v>
      </c>
      <c r="AH41" s="33" t="s">
        <v>833</v>
      </c>
      <c r="AI41" s="33" t="s">
        <v>57</v>
      </c>
      <c r="AJ41" s="33" t="s">
        <v>833</v>
      </c>
      <c r="AK41" s="33" t="s">
        <v>56</v>
      </c>
      <c r="AL41" s="27"/>
      <c r="AM41" s="34" t="s">
        <v>57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4522</v>
      </c>
      <c r="C42" s="41" t="s">
        <v>4523</v>
      </c>
      <c r="D42" s="39" t="s">
        <v>21</v>
      </c>
      <c r="E42" s="42">
        <v>46128</v>
      </c>
      <c r="F42" s="26" t="s">
        <v>55</v>
      </c>
      <c r="G42" s="44" t="s">
        <v>833</v>
      </c>
      <c r="H42" s="26" t="s">
        <v>57</v>
      </c>
      <c r="I42" s="44" t="s">
        <v>833</v>
      </c>
      <c r="J42" s="26" t="s">
        <v>56</v>
      </c>
      <c r="K42" s="27"/>
      <c r="L42" s="28" t="s">
        <v>57</v>
      </c>
      <c r="M42" s="29" t="str">
        <f t="shared" si="5"/>
        <v>✓ OK</v>
      </c>
      <c r="N42" s="42">
        <v>46196</v>
      </c>
      <c r="O42" s="26" t="s">
        <v>55</v>
      </c>
      <c r="P42" s="44" t="s">
        <v>833</v>
      </c>
      <c r="Q42" s="26" t="s">
        <v>57</v>
      </c>
      <c r="R42" s="44" t="s">
        <v>833</v>
      </c>
      <c r="S42" s="26" t="s">
        <v>56</v>
      </c>
      <c r="T42" s="27"/>
      <c r="U42" s="28" t="s">
        <v>57</v>
      </c>
      <c r="V42" s="29" t="str">
        <f t="shared" si="6"/>
        <v>✓ OK</v>
      </c>
      <c r="W42" s="70">
        <v>46248</v>
      </c>
      <c r="X42" s="30" t="s">
        <v>55</v>
      </c>
      <c r="Y42" s="30" t="s">
        <v>833</v>
      </c>
      <c r="Z42" s="30" t="s">
        <v>57</v>
      </c>
      <c r="AA42" s="30" t="s">
        <v>833</v>
      </c>
      <c r="AB42" s="30" t="s">
        <v>56</v>
      </c>
      <c r="AC42" s="27"/>
      <c r="AD42" s="31" t="s">
        <v>57</v>
      </c>
      <c r="AE42" s="32" t="str">
        <f t="shared" si="7"/>
        <v>✓ OK</v>
      </c>
      <c r="AF42" s="33" t="s">
        <v>61</v>
      </c>
      <c r="AG42" s="33" t="s">
        <v>55</v>
      </c>
      <c r="AH42" s="33" t="s">
        <v>833</v>
      </c>
      <c r="AI42" s="33" t="s">
        <v>57</v>
      </c>
      <c r="AJ42" s="33" t="s">
        <v>833</v>
      </c>
      <c r="AK42" s="33" t="s">
        <v>56</v>
      </c>
      <c r="AL42" s="27"/>
      <c r="AM42" s="34" t="s">
        <v>57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40" t="s">
        <v>4524</v>
      </c>
      <c r="C43" s="41" t="s">
        <v>4525</v>
      </c>
      <c r="D43" s="39" t="s">
        <v>21</v>
      </c>
      <c r="E43" s="42">
        <v>46128</v>
      </c>
      <c r="F43" s="26" t="s">
        <v>55</v>
      </c>
      <c r="G43" s="44" t="s">
        <v>833</v>
      </c>
      <c r="H43" s="26" t="s">
        <v>57</v>
      </c>
      <c r="I43" s="44" t="s">
        <v>833</v>
      </c>
      <c r="J43" s="26" t="s">
        <v>56</v>
      </c>
      <c r="K43" s="27"/>
      <c r="L43" s="28" t="s">
        <v>57</v>
      </c>
      <c r="M43" s="29" t="str">
        <f t="shared" si="5"/>
        <v>✓ OK</v>
      </c>
      <c r="N43" s="42">
        <v>46196</v>
      </c>
      <c r="O43" s="26" t="s">
        <v>55</v>
      </c>
      <c r="P43" s="44" t="s">
        <v>833</v>
      </c>
      <c r="Q43" s="26" t="s">
        <v>57</v>
      </c>
      <c r="R43" s="44" t="s">
        <v>833</v>
      </c>
      <c r="S43" s="26" t="s">
        <v>56</v>
      </c>
      <c r="T43" s="27"/>
      <c r="U43" s="28" t="s">
        <v>57</v>
      </c>
      <c r="V43" s="29" t="str">
        <f t="shared" si="6"/>
        <v>✓ OK</v>
      </c>
      <c r="W43" s="70">
        <v>46248</v>
      </c>
      <c r="X43" s="30" t="s">
        <v>55</v>
      </c>
      <c r="Y43" s="30" t="s">
        <v>833</v>
      </c>
      <c r="Z43" s="30" t="s">
        <v>57</v>
      </c>
      <c r="AA43" s="30" t="s">
        <v>833</v>
      </c>
      <c r="AB43" s="30" t="s">
        <v>56</v>
      </c>
      <c r="AC43" s="27"/>
      <c r="AD43" s="31" t="s">
        <v>57</v>
      </c>
      <c r="AE43" s="32" t="str">
        <f t="shared" si="7"/>
        <v>✓ OK</v>
      </c>
      <c r="AF43" s="33" t="s">
        <v>61</v>
      </c>
      <c r="AG43" s="33" t="s">
        <v>55</v>
      </c>
      <c r="AH43" s="33" t="s">
        <v>833</v>
      </c>
      <c r="AI43" s="33" t="s">
        <v>57</v>
      </c>
      <c r="AJ43" s="33" t="s">
        <v>833</v>
      </c>
      <c r="AK43" s="33" t="s">
        <v>56</v>
      </c>
      <c r="AL43" s="27"/>
      <c r="AM43" s="34" t="s">
        <v>57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24" t="s">
        <v>4526</v>
      </c>
      <c r="C44" s="25" t="s">
        <v>4527</v>
      </c>
      <c r="D44" s="23" t="s">
        <v>21</v>
      </c>
      <c r="E44" s="42">
        <v>46128</v>
      </c>
      <c r="F44" s="26" t="s">
        <v>55</v>
      </c>
      <c r="G44" s="44" t="s">
        <v>56</v>
      </c>
      <c r="H44" s="26" t="s">
        <v>57</v>
      </c>
      <c r="I44" s="44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42">
        <v>46196</v>
      </c>
      <c r="O44" s="26" t="s">
        <v>55</v>
      </c>
      <c r="P44" s="44" t="s">
        <v>56</v>
      </c>
      <c r="Q44" s="26" t="s">
        <v>57</v>
      </c>
      <c r="R44" s="44" t="s">
        <v>58</v>
      </c>
      <c r="S44" s="26" t="s">
        <v>56</v>
      </c>
      <c r="T44" s="27"/>
      <c r="U44" s="28" t="s">
        <v>57</v>
      </c>
      <c r="V44" s="29" t="str">
        <f t="shared" si="6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7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4528</v>
      </c>
      <c r="C45" s="25" t="s">
        <v>4529</v>
      </c>
      <c r="D45" s="23" t="s">
        <v>21</v>
      </c>
      <c r="E45" s="42">
        <v>46128</v>
      </c>
      <c r="F45" s="26" t="s">
        <v>55</v>
      </c>
      <c r="G45" s="44" t="s">
        <v>56</v>
      </c>
      <c r="H45" s="26" t="s">
        <v>57</v>
      </c>
      <c r="I45" s="44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42">
        <v>46196</v>
      </c>
      <c r="O45" s="26" t="s">
        <v>55</v>
      </c>
      <c r="P45" s="44" t="s">
        <v>56</v>
      </c>
      <c r="Q45" s="26" t="s">
        <v>57</v>
      </c>
      <c r="R45" s="44" t="s">
        <v>58</v>
      </c>
      <c r="S45" s="26" t="s">
        <v>56</v>
      </c>
      <c r="T45" s="27"/>
      <c r="U45" s="28" t="s">
        <v>57</v>
      </c>
      <c r="V45" s="29" t="str">
        <f t="shared" si="6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7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4530</v>
      </c>
      <c r="C46" s="41" t="s">
        <v>4531</v>
      </c>
      <c r="D46" s="39" t="s">
        <v>21</v>
      </c>
      <c r="E46" s="42">
        <v>46128</v>
      </c>
      <c r="F46" s="26" t="s">
        <v>55</v>
      </c>
      <c r="G46" s="44" t="s">
        <v>56</v>
      </c>
      <c r="H46" s="26" t="s">
        <v>57</v>
      </c>
      <c r="I46" s="44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42">
        <v>46196</v>
      </c>
      <c r="O46" s="26" t="s">
        <v>55</v>
      </c>
      <c r="P46" s="44" t="s">
        <v>56</v>
      </c>
      <c r="Q46" s="26" t="s">
        <v>57</v>
      </c>
      <c r="R46" s="44" t="s">
        <v>58</v>
      </c>
      <c r="S46" s="26" t="s">
        <v>56</v>
      </c>
      <c r="T46" s="27"/>
      <c r="U46" s="28" t="s">
        <v>57</v>
      </c>
      <c r="V46" s="29" t="str">
        <f t="shared" si="6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7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40" t="s">
        <v>4532</v>
      </c>
      <c r="C47" s="41" t="s">
        <v>4533</v>
      </c>
      <c r="D47" s="39" t="s">
        <v>21</v>
      </c>
      <c r="E47" s="42">
        <v>46128</v>
      </c>
      <c r="F47" s="26" t="s">
        <v>55</v>
      </c>
      <c r="G47" s="44" t="s">
        <v>833</v>
      </c>
      <c r="H47" s="26" t="s">
        <v>57</v>
      </c>
      <c r="I47" s="44" t="s">
        <v>833</v>
      </c>
      <c r="J47" s="26" t="s">
        <v>56</v>
      </c>
      <c r="K47" s="27"/>
      <c r="L47" s="28" t="s">
        <v>57</v>
      </c>
      <c r="M47" s="29" t="str">
        <f t="shared" si="5"/>
        <v>✓ OK</v>
      </c>
      <c r="N47" s="42">
        <v>46196</v>
      </c>
      <c r="O47" s="26" t="s">
        <v>55</v>
      </c>
      <c r="P47" s="44" t="s">
        <v>833</v>
      </c>
      <c r="Q47" s="26" t="s">
        <v>57</v>
      </c>
      <c r="R47" s="44" t="s">
        <v>833</v>
      </c>
      <c r="S47" s="26" t="s">
        <v>56</v>
      </c>
      <c r="T47" s="27"/>
      <c r="U47" s="28" t="s">
        <v>57</v>
      </c>
      <c r="V47" s="29" t="str">
        <f t="shared" si="6"/>
        <v>✓ OK</v>
      </c>
      <c r="W47" s="70">
        <v>46248</v>
      </c>
      <c r="X47" s="30" t="s">
        <v>55</v>
      </c>
      <c r="Y47" s="30" t="s">
        <v>833</v>
      </c>
      <c r="Z47" s="30" t="s">
        <v>57</v>
      </c>
      <c r="AA47" s="30" t="s">
        <v>833</v>
      </c>
      <c r="AB47" s="30" t="s">
        <v>56</v>
      </c>
      <c r="AC47" s="27"/>
      <c r="AD47" s="31" t="s">
        <v>57</v>
      </c>
      <c r="AE47" s="32" t="str">
        <f t="shared" si="7"/>
        <v>✓ OK</v>
      </c>
      <c r="AF47" s="33" t="s">
        <v>61</v>
      </c>
      <c r="AG47" s="33" t="s">
        <v>55</v>
      </c>
      <c r="AH47" s="33" t="s">
        <v>833</v>
      </c>
      <c r="AI47" s="33" t="s">
        <v>57</v>
      </c>
      <c r="AJ47" s="33" t="s">
        <v>833</v>
      </c>
      <c r="AK47" s="33" t="s">
        <v>56</v>
      </c>
      <c r="AL47" s="27"/>
      <c r="AM47" s="34" t="s">
        <v>57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4534</v>
      </c>
      <c r="C48" s="41" t="s">
        <v>4535</v>
      </c>
      <c r="D48" s="39" t="s">
        <v>21</v>
      </c>
      <c r="E48" s="42">
        <v>46128</v>
      </c>
      <c r="F48" s="26" t="s">
        <v>55</v>
      </c>
      <c r="G48" s="44" t="s">
        <v>833</v>
      </c>
      <c r="H48" s="26" t="s">
        <v>57</v>
      </c>
      <c r="I48" s="44" t="s">
        <v>833</v>
      </c>
      <c r="J48" s="26" t="s">
        <v>56</v>
      </c>
      <c r="K48" s="27"/>
      <c r="L48" s="28" t="s">
        <v>57</v>
      </c>
      <c r="M48" s="29" t="str">
        <f t="shared" si="5"/>
        <v>✓ OK</v>
      </c>
      <c r="N48" s="42">
        <v>46196</v>
      </c>
      <c r="O48" s="26" t="s">
        <v>55</v>
      </c>
      <c r="P48" s="44" t="s">
        <v>833</v>
      </c>
      <c r="Q48" s="26" t="s">
        <v>57</v>
      </c>
      <c r="R48" s="44" t="s">
        <v>833</v>
      </c>
      <c r="S48" s="26" t="s">
        <v>56</v>
      </c>
      <c r="T48" s="27"/>
      <c r="U48" s="28" t="s">
        <v>57</v>
      </c>
      <c r="V48" s="29" t="str">
        <f t="shared" si="6"/>
        <v>✓ OK</v>
      </c>
      <c r="W48" s="70">
        <v>46248</v>
      </c>
      <c r="X48" s="30" t="s">
        <v>55</v>
      </c>
      <c r="Y48" s="30" t="s">
        <v>833</v>
      </c>
      <c r="Z48" s="30" t="s">
        <v>57</v>
      </c>
      <c r="AA48" s="30" t="s">
        <v>833</v>
      </c>
      <c r="AB48" s="30" t="s">
        <v>56</v>
      </c>
      <c r="AC48" s="27"/>
      <c r="AD48" s="31" t="s">
        <v>57</v>
      </c>
      <c r="AE48" s="32" t="str">
        <f t="shared" si="7"/>
        <v>✓ OK</v>
      </c>
      <c r="AF48" s="33" t="s">
        <v>61</v>
      </c>
      <c r="AG48" s="33" t="s">
        <v>55</v>
      </c>
      <c r="AH48" s="33" t="s">
        <v>833</v>
      </c>
      <c r="AI48" s="33" t="s">
        <v>57</v>
      </c>
      <c r="AJ48" s="33" t="s">
        <v>833</v>
      </c>
      <c r="AK48" s="33" t="s">
        <v>56</v>
      </c>
      <c r="AL48" s="27"/>
      <c r="AM48" s="34" t="s">
        <v>57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4536</v>
      </c>
      <c r="C49" s="25" t="s">
        <v>4537</v>
      </c>
      <c r="D49" s="23" t="s">
        <v>21</v>
      </c>
      <c r="E49" s="42">
        <v>46128</v>
      </c>
      <c r="F49" s="26" t="s">
        <v>55</v>
      </c>
      <c r="G49" s="44" t="s">
        <v>833</v>
      </c>
      <c r="H49" s="26" t="s">
        <v>57</v>
      </c>
      <c r="I49" s="44" t="s">
        <v>833</v>
      </c>
      <c r="J49" s="26" t="s">
        <v>56</v>
      </c>
      <c r="K49" s="27"/>
      <c r="L49" s="28" t="s">
        <v>57</v>
      </c>
      <c r="M49" s="29" t="str">
        <f t="shared" si="5"/>
        <v>✓ OK</v>
      </c>
      <c r="N49" s="42">
        <v>46196</v>
      </c>
      <c r="O49" s="26" t="s">
        <v>55</v>
      </c>
      <c r="P49" s="44" t="s">
        <v>833</v>
      </c>
      <c r="Q49" s="26" t="s">
        <v>57</v>
      </c>
      <c r="R49" s="44" t="s">
        <v>833</v>
      </c>
      <c r="S49" s="26" t="s">
        <v>56</v>
      </c>
      <c r="T49" s="27"/>
      <c r="U49" s="28" t="s">
        <v>57</v>
      </c>
      <c r="V49" s="29" t="str">
        <f t="shared" si="6"/>
        <v>✓ OK</v>
      </c>
      <c r="W49" s="70">
        <v>46248</v>
      </c>
      <c r="X49" s="30" t="s">
        <v>55</v>
      </c>
      <c r="Y49" s="30" t="s">
        <v>833</v>
      </c>
      <c r="Z49" s="30" t="s">
        <v>57</v>
      </c>
      <c r="AA49" s="30" t="s">
        <v>833</v>
      </c>
      <c r="AB49" s="30" t="s">
        <v>56</v>
      </c>
      <c r="AC49" s="27"/>
      <c r="AD49" s="31" t="s">
        <v>57</v>
      </c>
      <c r="AE49" s="32" t="str">
        <f t="shared" si="7"/>
        <v>✓ OK</v>
      </c>
      <c r="AF49" s="33" t="s">
        <v>61</v>
      </c>
      <c r="AG49" s="33" t="s">
        <v>55</v>
      </c>
      <c r="AH49" s="33" t="s">
        <v>833</v>
      </c>
      <c r="AI49" s="33" t="s">
        <v>57</v>
      </c>
      <c r="AJ49" s="33" t="s">
        <v>833</v>
      </c>
      <c r="AK49" s="33" t="s">
        <v>56</v>
      </c>
      <c r="AL49" s="27"/>
      <c r="AM49" s="34" t="s">
        <v>57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4538</v>
      </c>
      <c r="C50" s="41" t="s">
        <v>4539</v>
      </c>
      <c r="D50" s="39" t="s">
        <v>21</v>
      </c>
      <c r="E50" s="42">
        <v>46128</v>
      </c>
      <c r="F50" s="26" t="s">
        <v>55</v>
      </c>
      <c r="G50" s="44" t="s">
        <v>833</v>
      </c>
      <c r="H50" s="26" t="s">
        <v>57</v>
      </c>
      <c r="I50" s="44" t="s">
        <v>833</v>
      </c>
      <c r="J50" s="26" t="s">
        <v>56</v>
      </c>
      <c r="K50" s="27"/>
      <c r="L50" s="28" t="s">
        <v>57</v>
      </c>
      <c r="M50" s="29" t="str">
        <f t="shared" si="5"/>
        <v>✓ OK</v>
      </c>
      <c r="N50" s="42">
        <v>46196</v>
      </c>
      <c r="O50" s="26" t="s">
        <v>55</v>
      </c>
      <c r="P50" s="44" t="s">
        <v>833</v>
      </c>
      <c r="Q50" s="26" t="s">
        <v>57</v>
      </c>
      <c r="R50" s="44" t="s">
        <v>833</v>
      </c>
      <c r="S50" s="26" t="s">
        <v>56</v>
      </c>
      <c r="T50" s="27"/>
      <c r="U50" s="28" t="s">
        <v>57</v>
      </c>
      <c r="V50" s="29" t="str">
        <f t="shared" si="6"/>
        <v>✓ OK</v>
      </c>
      <c r="W50" s="70">
        <v>46248</v>
      </c>
      <c r="X50" s="30" t="s">
        <v>55</v>
      </c>
      <c r="Y50" s="30" t="s">
        <v>833</v>
      </c>
      <c r="Z50" s="30" t="s">
        <v>57</v>
      </c>
      <c r="AA50" s="30" t="s">
        <v>833</v>
      </c>
      <c r="AB50" s="30" t="s">
        <v>56</v>
      </c>
      <c r="AC50" s="27"/>
      <c r="AD50" s="31" t="s">
        <v>57</v>
      </c>
      <c r="AE50" s="32" t="str">
        <f t="shared" si="7"/>
        <v>✓ OK</v>
      </c>
      <c r="AF50" s="33" t="s">
        <v>61</v>
      </c>
      <c r="AG50" s="33" t="s">
        <v>55</v>
      </c>
      <c r="AH50" s="33" t="s">
        <v>833</v>
      </c>
      <c r="AI50" s="33" t="s">
        <v>57</v>
      </c>
      <c r="AJ50" s="33" t="s">
        <v>833</v>
      </c>
      <c r="AK50" s="33" t="s">
        <v>56</v>
      </c>
      <c r="AL50" s="27"/>
      <c r="AM50" s="34" t="s">
        <v>57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4540</v>
      </c>
      <c r="C51" s="25" t="s">
        <v>4541</v>
      </c>
      <c r="D51" s="23" t="s">
        <v>21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6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7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24" t="s">
        <v>4542</v>
      </c>
      <c r="C52" s="25" t="s">
        <v>4543</v>
      </c>
      <c r="D52" s="23" t="s">
        <v>21</v>
      </c>
      <c r="E52" s="42">
        <v>46128</v>
      </c>
      <c r="F52" s="26" t="s">
        <v>55</v>
      </c>
      <c r="G52" s="44" t="s">
        <v>833</v>
      </c>
      <c r="H52" s="26" t="s">
        <v>57</v>
      </c>
      <c r="I52" s="44" t="s">
        <v>833</v>
      </c>
      <c r="J52" s="26" t="s">
        <v>56</v>
      </c>
      <c r="K52" s="27"/>
      <c r="L52" s="28" t="s">
        <v>57</v>
      </c>
      <c r="M52" s="29" t="str">
        <f t="shared" si="5"/>
        <v>✓ OK</v>
      </c>
      <c r="N52" s="42">
        <v>46196</v>
      </c>
      <c r="O52" s="26" t="s">
        <v>55</v>
      </c>
      <c r="P52" s="44" t="s">
        <v>833</v>
      </c>
      <c r="Q52" s="26" t="s">
        <v>57</v>
      </c>
      <c r="R52" s="44" t="s">
        <v>833</v>
      </c>
      <c r="S52" s="26" t="s">
        <v>56</v>
      </c>
      <c r="T52" s="27"/>
      <c r="U52" s="28" t="s">
        <v>57</v>
      </c>
      <c r="V52" s="29" t="str">
        <f t="shared" si="6"/>
        <v>✓ OK</v>
      </c>
      <c r="W52" s="70">
        <v>46248</v>
      </c>
      <c r="X52" s="30" t="s">
        <v>55</v>
      </c>
      <c r="Y52" s="30" t="s">
        <v>833</v>
      </c>
      <c r="Z52" s="30" t="s">
        <v>57</v>
      </c>
      <c r="AA52" s="30" t="s">
        <v>833</v>
      </c>
      <c r="AB52" s="30" t="s">
        <v>56</v>
      </c>
      <c r="AC52" s="27"/>
      <c r="AD52" s="31" t="s">
        <v>57</v>
      </c>
      <c r="AE52" s="32" t="str">
        <f t="shared" si="7"/>
        <v>✓ OK</v>
      </c>
      <c r="AF52" s="33" t="s">
        <v>61</v>
      </c>
      <c r="AG52" s="33" t="s">
        <v>55</v>
      </c>
      <c r="AH52" s="33" t="s">
        <v>833</v>
      </c>
      <c r="AI52" s="33" t="s">
        <v>57</v>
      </c>
      <c r="AJ52" s="33" t="s">
        <v>833</v>
      </c>
      <c r="AK52" s="33" t="s">
        <v>56</v>
      </c>
      <c r="AL52" s="27"/>
      <c r="AM52" s="34" t="s">
        <v>57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40" t="s">
        <v>4544</v>
      </c>
      <c r="C53" s="41" t="s">
        <v>4545</v>
      </c>
      <c r="D53" s="39" t="s">
        <v>21</v>
      </c>
      <c r="E53" s="42">
        <v>46128</v>
      </c>
      <c r="F53" s="26" t="s">
        <v>55</v>
      </c>
      <c r="G53" s="44" t="s">
        <v>833</v>
      </c>
      <c r="H53" s="26" t="s">
        <v>57</v>
      </c>
      <c r="I53" s="44" t="s">
        <v>833</v>
      </c>
      <c r="J53" s="26" t="s">
        <v>56</v>
      </c>
      <c r="K53" s="27"/>
      <c r="L53" s="28" t="s">
        <v>57</v>
      </c>
      <c r="M53" s="29" t="str">
        <f t="shared" si="5"/>
        <v>✓ OK</v>
      </c>
      <c r="N53" s="42">
        <v>46196</v>
      </c>
      <c r="O53" s="26" t="s">
        <v>55</v>
      </c>
      <c r="P53" s="44" t="s">
        <v>833</v>
      </c>
      <c r="Q53" s="26" t="s">
        <v>57</v>
      </c>
      <c r="R53" s="44" t="s">
        <v>833</v>
      </c>
      <c r="S53" s="26" t="s">
        <v>56</v>
      </c>
      <c r="T53" s="27"/>
      <c r="U53" s="28" t="s">
        <v>57</v>
      </c>
      <c r="V53" s="29" t="str">
        <f t="shared" si="6"/>
        <v>✓ OK</v>
      </c>
      <c r="W53" s="70">
        <v>46248</v>
      </c>
      <c r="X53" s="30" t="s">
        <v>55</v>
      </c>
      <c r="Y53" s="30" t="s">
        <v>833</v>
      </c>
      <c r="Z53" s="30" t="s">
        <v>57</v>
      </c>
      <c r="AA53" s="30" t="s">
        <v>833</v>
      </c>
      <c r="AB53" s="30" t="s">
        <v>56</v>
      </c>
      <c r="AC53" s="27"/>
      <c r="AD53" s="31" t="s">
        <v>57</v>
      </c>
      <c r="AE53" s="32" t="str">
        <f t="shared" si="7"/>
        <v>✓ OK</v>
      </c>
      <c r="AF53" s="33" t="s">
        <v>61</v>
      </c>
      <c r="AG53" s="33" t="s">
        <v>55</v>
      </c>
      <c r="AH53" s="33" t="s">
        <v>833</v>
      </c>
      <c r="AI53" s="33" t="s">
        <v>57</v>
      </c>
      <c r="AJ53" s="33" t="s">
        <v>833</v>
      </c>
      <c r="AK53" s="33" t="s">
        <v>56</v>
      </c>
      <c r="AL53" s="27"/>
      <c r="AM53" s="34" t="s">
        <v>57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24" t="s">
        <v>4546</v>
      </c>
      <c r="C54" s="25" t="s">
        <v>4547</v>
      </c>
      <c r="D54" s="23" t="s">
        <v>21</v>
      </c>
      <c r="E54" s="42">
        <v>46128</v>
      </c>
      <c r="F54" s="26" t="s">
        <v>55</v>
      </c>
      <c r="G54" s="44" t="s">
        <v>833</v>
      </c>
      <c r="H54" s="26" t="s">
        <v>57</v>
      </c>
      <c r="I54" s="44" t="s">
        <v>833</v>
      </c>
      <c r="J54" s="26" t="s">
        <v>56</v>
      </c>
      <c r="K54" s="27"/>
      <c r="L54" s="28" t="s">
        <v>57</v>
      </c>
      <c r="M54" s="29" t="str">
        <f t="shared" si="5"/>
        <v>✓ OK</v>
      </c>
      <c r="N54" s="42">
        <v>46196</v>
      </c>
      <c r="O54" s="26" t="s">
        <v>55</v>
      </c>
      <c r="P54" s="44" t="s">
        <v>833</v>
      </c>
      <c r="Q54" s="26" t="s">
        <v>57</v>
      </c>
      <c r="R54" s="44" t="s">
        <v>833</v>
      </c>
      <c r="S54" s="26" t="s">
        <v>56</v>
      </c>
      <c r="T54" s="27"/>
      <c r="U54" s="28" t="s">
        <v>57</v>
      </c>
      <c r="V54" s="29" t="str">
        <f t="shared" si="6"/>
        <v>✓ OK</v>
      </c>
      <c r="W54" s="70">
        <v>46248</v>
      </c>
      <c r="X54" s="30" t="s">
        <v>55</v>
      </c>
      <c r="Y54" s="30" t="s">
        <v>833</v>
      </c>
      <c r="Z54" s="30" t="s">
        <v>57</v>
      </c>
      <c r="AA54" s="30" t="s">
        <v>833</v>
      </c>
      <c r="AB54" s="30" t="s">
        <v>56</v>
      </c>
      <c r="AC54" s="27"/>
      <c r="AD54" s="31" t="s">
        <v>57</v>
      </c>
      <c r="AE54" s="32" t="str">
        <f t="shared" si="7"/>
        <v>✓ OK</v>
      </c>
      <c r="AF54" s="33" t="s">
        <v>61</v>
      </c>
      <c r="AG54" s="33" t="s">
        <v>55</v>
      </c>
      <c r="AH54" s="33" t="s">
        <v>833</v>
      </c>
      <c r="AI54" s="33" t="s">
        <v>57</v>
      </c>
      <c r="AJ54" s="33" t="s">
        <v>833</v>
      </c>
      <c r="AK54" s="33" t="s">
        <v>56</v>
      </c>
      <c r="AL54" s="27"/>
      <c r="AM54" s="34" t="s">
        <v>57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40" t="s">
        <v>4548</v>
      </c>
      <c r="C55" s="41" t="s">
        <v>4549</v>
      </c>
      <c r="D55" s="39" t="s">
        <v>21</v>
      </c>
      <c r="E55" s="42">
        <v>46128</v>
      </c>
      <c r="F55" s="26" t="s">
        <v>55</v>
      </c>
      <c r="G55" s="44" t="s">
        <v>833</v>
      </c>
      <c r="H55" s="26" t="s">
        <v>57</v>
      </c>
      <c r="I55" s="44" t="s">
        <v>833</v>
      </c>
      <c r="J55" s="26" t="s">
        <v>56</v>
      </c>
      <c r="K55" s="27"/>
      <c r="L55" s="28" t="s">
        <v>57</v>
      </c>
      <c r="M55" s="29" t="str">
        <f t="shared" si="5"/>
        <v>✓ OK</v>
      </c>
      <c r="N55" s="42">
        <v>46196</v>
      </c>
      <c r="O55" s="26" t="s">
        <v>55</v>
      </c>
      <c r="P55" s="44" t="s">
        <v>833</v>
      </c>
      <c r="Q55" s="26" t="s">
        <v>57</v>
      </c>
      <c r="R55" s="44" t="s">
        <v>833</v>
      </c>
      <c r="S55" s="26" t="s">
        <v>56</v>
      </c>
      <c r="T55" s="27"/>
      <c r="U55" s="28" t="s">
        <v>57</v>
      </c>
      <c r="V55" s="29" t="str">
        <f t="shared" si="6"/>
        <v>✓ OK</v>
      </c>
      <c r="W55" s="70">
        <v>46248</v>
      </c>
      <c r="X55" s="30" t="s">
        <v>55</v>
      </c>
      <c r="Y55" s="30" t="s">
        <v>833</v>
      </c>
      <c r="Z55" s="30" t="s">
        <v>57</v>
      </c>
      <c r="AA55" s="30" t="s">
        <v>833</v>
      </c>
      <c r="AB55" s="30" t="s">
        <v>56</v>
      </c>
      <c r="AC55" s="27"/>
      <c r="AD55" s="31" t="s">
        <v>57</v>
      </c>
      <c r="AE55" s="32" t="str">
        <f t="shared" si="7"/>
        <v>✓ OK</v>
      </c>
      <c r="AF55" s="33" t="s">
        <v>61</v>
      </c>
      <c r="AG55" s="33" t="s">
        <v>55</v>
      </c>
      <c r="AH55" s="33" t="s">
        <v>833</v>
      </c>
      <c r="AI55" s="33" t="s">
        <v>57</v>
      </c>
      <c r="AJ55" s="33" t="s">
        <v>833</v>
      </c>
      <c r="AK55" s="33" t="s">
        <v>56</v>
      </c>
      <c r="AL55" s="27"/>
      <c r="AM55" s="34" t="s">
        <v>57</v>
      </c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4550</v>
      </c>
      <c r="C56" s="41" t="s">
        <v>4551</v>
      </c>
      <c r="D56" s="39" t="s">
        <v>21</v>
      </c>
      <c r="E56" s="42">
        <v>46128</v>
      </c>
      <c r="F56" s="26" t="s">
        <v>55</v>
      </c>
      <c r="G56" s="44" t="s">
        <v>833</v>
      </c>
      <c r="H56" s="26" t="s">
        <v>57</v>
      </c>
      <c r="I56" s="44" t="s">
        <v>833</v>
      </c>
      <c r="J56" s="26" t="s">
        <v>56</v>
      </c>
      <c r="K56" s="27"/>
      <c r="L56" s="28" t="s">
        <v>57</v>
      </c>
      <c r="M56" s="29" t="str">
        <f t="shared" si="5"/>
        <v>✓ OK</v>
      </c>
      <c r="N56" s="42">
        <v>46196</v>
      </c>
      <c r="O56" s="26" t="s">
        <v>55</v>
      </c>
      <c r="P56" s="44" t="s">
        <v>833</v>
      </c>
      <c r="Q56" s="26" t="s">
        <v>57</v>
      </c>
      <c r="R56" s="44" t="s">
        <v>833</v>
      </c>
      <c r="S56" s="26" t="s">
        <v>56</v>
      </c>
      <c r="T56" s="27"/>
      <c r="U56" s="28" t="s">
        <v>57</v>
      </c>
      <c r="V56" s="29" t="str">
        <f t="shared" si="6"/>
        <v>✓ OK</v>
      </c>
      <c r="W56" s="70">
        <v>46248</v>
      </c>
      <c r="X56" s="30" t="s">
        <v>55</v>
      </c>
      <c r="Y56" s="30" t="s">
        <v>833</v>
      </c>
      <c r="Z56" s="30" t="s">
        <v>57</v>
      </c>
      <c r="AA56" s="30" t="s">
        <v>833</v>
      </c>
      <c r="AB56" s="30" t="s">
        <v>56</v>
      </c>
      <c r="AC56" s="27"/>
      <c r="AD56" s="31" t="s">
        <v>57</v>
      </c>
      <c r="AE56" s="32" t="str">
        <f t="shared" si="7"/>
        <v>✓ OK</v>
      </c>
      <c r="AF56" s="33" t="s">
        <v>61</v>
      </c>
      <c r="AG56" s="33" t="s">
        <v>55</v>
      </c>
      <c r="AH56" s="33" t="s">
        <v>833</v>
      </c>
      <c r="AI56" s="33" t="s">
        <v>57</v>
      </c>
      <c r="AJ56" s="33" t="s">
        <v>833</v>
      </c>
      <c r="AK56" s="33" t="s">
        <v>56</v>
      </c>
      <c r="AL56" s="27"/>
      <c r="AM56" s="34" t="s">
        <v>57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4552</v>
      </c>
      <c r="C57" s="25" t="s">
        <v>4553</v>
      </c>
      <c r="D57" s="23" t="s">
        <v>21</v>
      </c>
      <c r="E57" s="42">
        <v>46128</v>
      </c>
      <c r="F57" s="26" t="s">
        <v>55</v>
      </c>
      <c r="G57" s="44" t="s">
        <v>833</v>
      </c>
      <c r="H57" s="26" t="s">
        <v>57</v>
      </c>
      <c r="I57" s="44" t="s">
        <v>833</v>
      </c>
      <c r="J57" s="26" t="s">
        <v>56</v>
      </c>
      <c r="K57" s="27"/>
      <c r="L57" s="28" t="s">
        <v>57</v>
      </c>
      <c r="M57" s="29" t="str">
        <f t="shared" si="5"/>
        <v>✓ OK</v>
      </c>
      <c r="N57" s="42">
        <v>46196</v>
      </c>
      <c r="O57" s="26" t="s">
        <v>55</v>
      </c>
      <c r="P57" s="44" t="s">
        <v>833</v>
      </c>
      <c r="Q57" s="26" t="s">
        <v>57</v>
      </c>
      <c r="R57" s="44" t="s">
        <v>833</v>
      </c>
      <c r="S57" s="26" t="s">
        <v>56</v>
      </c>
      <c r="T57" s="27"/>
      <c r="U57" s="28" t="s">
        <v>57</v>
      </c>
      <c r="V57" s="29" t="str">
        <f t="shared" si="6"/>
        <v>✓ OK</v>
      </c>
      <c r="W57" s="70">
        <v>46248</v>
      </c>
      <c r="X57" s="30" t="s">
        <v>55</v>
      </c>
      <c r="Y57" s="30" t="s">
        <v>833</v>
      </c>
      <c r="Z57" s="30" t="s">
        <v>57</v>
      </c>
      <c r="AA57" s="30" t="s">
        <v>833</v>
      </c>
      <c r="AB57" s="30" t="s">
        <v>56</v>
      </c>
      <c r="AC57" s="27"/>
      <c r="AD57" s="31" t="s">
        <v>57</v>
      </c>
      <c r="AE57" s="32" t="str">
        <f t="shared" si="7"/>
        <v>✓ OK</v>
      </c>
      <c r="AF57" s="33" t="s">
        <v>61</v>
      </c>
      <c r="AG57" s="33" t="s">
        <v>55</v>
      </c>
      <c r="AH57" s="33" t="s">
        <v>833</v>
      </c>
      <c r="AI57" s="33" t="s">
        <v>57</v>
      </c>
      <c r="AJ57" s="33" t="s">
        <v>833</v>
      </c>
      <c r="AK57" s="33" t="s">
        <v>56</v>
      </c>
      <c r="AL57" s="27"/>
      <c r="AM57" s="34" t="s">
        <v>57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4554</v>
      </c>
      <c r="C58" s="41" t="s">
        <v>4555</v>
      </c>
      <c r="D58" s="39" t="s">
        <v>21</v>
      </c>
      <c r="E58" s="42">
        <v>46128</v>
      </c>
      <c r="F58" s="26" t="s">
        <v>55</v>
      </c>
      <c r="G58" s="44" t="s">
        <v>833</v>
      </c>
      <c r="H58" s="26" t="s">
        <v>57</v>
      </c>
      <c r="I58" s="44" t="s">
        <v>833</v>
      </c>
      <c r="J58" s="26" t="s">
        <v>56</v>
      </c>
      <c r="K58" s="27"/>
      <c r="L58" s="28" t="s">
        <v>57</v>
      </c>
      <c r="M58" s="29" t="str">
        <f t="shared" si="5"/>
        <v>✓ OK</v>
      </c>
      <c r="N58" s="42">
        <v>46196</v>
      </c>
      <c r="O58" s="26" t="s">
        <v>55</v>
      </c>
      <c r="P58" s="44" t="s">
        <v>833</v>
      </c>
      <c r="Q58" s="26" t="s">
        <v>57</v>
      </c>
      <c r="R58" s="44" t="s">
        <v>833</v>
      </c>
      <c r="S58" s="26" t="s">
        <v>56</v>
      </c>
      <c r="T58" s="27"/>
      <c r="U58" s="28" t="s">
        <v>57</v>
      </c>
      <c r="V58" s="29" t="str">
        <f t="shared" si="6"/>
        <v>✓ OK</v>
      </c>
      <c r="W58" s="70">
        <v>46248</v>
      </c>
      <c r="X58" s="30" t="s">
        <v>55</v>
      </c>
      <c r="Y58" s="30" t="s">
        <v>833</v>
      </c>
      <c r="Z58" s="30" t="s">
        <v>57</v>
      </c>
      <c r="AA58" s="30" t="s">
        <v>833</v>
      </c>
      <c r="AB58" s="30" t="s">
        <v>56</v>
      </c>
      <c r="AC58" s="27"/>
      <c r="AD58" s="31" t="s">
        <v>57</v>
      </c>
      <c r="AE58" s="32" t="str">
        <f t="shared" si="7"/>
        <v>✓ OK</v>
      </c>
      <c r="AF58" s="33" t="s">
        <v>61</v>
      </c>
      <c r="AG58" s="33" t="s">
        <v>55</v>
      </c>
      <c r="AH58" s="33" t="s">
        <v>833</v>
      </c>
      <c r="AI58" s="33" t="s">
        <v>57</v>
      </c>
      <c r="AJ58" s="33" t="s">
        <v>833</v>
      </c>
      <c r="AK58" s="33" t="s">
        <v>56</v>
      </c>
      <c r="AL58" s="27"/>
      <c r="AM58" s="34" t="s">
        <v>57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40" t="s">
        <v>4556</v>
      </c>
      <c r="C59" s="41" t="s">
        <v>4557</v>
      </c>
      <c r="D59" s="39" t="s">
        <v>21</v>
      </c>
      <c r="E59" s="42">
        <v>46128</v>
      </c>
      <c r="F59" s="26" t="s">
        <v>55</v>
      </c>
      <c r="G59" s="44" t="s">
        <v>56</v>
      </c>
      <c r="H59" s="26" t="s">
        <v>57</v>
      </c>
      <c r="I59" s="44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42">
        <v>46196</v>
      </c>
      <c r="O59" s="26" t="s">
        <v>55</v>
      </c>
      <c r="P59" s="44" t="s">
        <v>56</v>
      </c>
      <c r="Q59" s="26" t="s">
        <v>57</v>
      </c>
      <c r="R59" s="44" t="s">
        <v>58</v>
      </c>
      <c r="S59" s="26" t="s">
        <v>56</v>
      </c>
      <c r="T59" s="27"/>
      <c r="U59" s="28" t="s">
        <v>57</v>
      </c>
      <c r="V59" s="29" t="str">
        <f t="shared" si="6"/>
        <v>✓ OK</v>
      </c>
      <c r="W59" s="70">
        <v>46248</v>
      </c>
      <c r="X59" s="30" t="s">
        <v>55</v>
      </c>
      <c r="Y59" s="30" t="s">
        <v>56</v>
      </c>
      <c r="Z59" s="30" t="s">
        <v>57</v>
      </c>
      <c r="AA59" s="30" t="s">
        <v>58</v>
      </c>
      <c r="AB59" s="30" t="s">
        <v>56</v>
      </c>
      <c r="AC59" s="27"/>
      <c r="AD59" s="31" t="s">
        <v>57</v>
      </c>
      <c r="AE59" s="32" t="str">
        <f t="shared" si="7"/>
        <v>✓ OK</v>
      </c>
      <c r="AF59" s="33" t="s">
        <v>61</v>
      </c>
      <c r="AG59" s="33" t="s">
        <v>55</v>
      </c>
      <c r="AH59" s="33" t="s">
        <v>56</v>
      </c>
      <c r="AI59" s="33" t="s">
        <v>57</v>
      </c>
      <c r="AJ59" s="33" t="s">
        <v>58</v>
      </c>
      <c r="AK59" s="33" t="s">
        <v>56</v>
      </c>
      <c r="AL59" s="27"/>
      <c r="AM59" s="34" t="s">
        <v>57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4558</v>
      </c>
      <c r="C60" s="41" t="s">
        <v>4559</v>
      </c>
      <c r="D60" s="39" t="s">
        <v>21</v>
      </c>
      <c r="E60" s="42">
        <v>46128</v>
      </c>
      <c r="F60" s="26" t="s">
        <v>55</v>
      </c>
      <c r="G60" s="44" t="s">
        <v>833</v>
      </c>
      <c r="H60" s="26" t="s">
        <v>57</v>
      </c>
      <c r="I60" s="44" t="s">
        <v>833</v>
      </c>
      <c r="J60" s="26" t="s">
        <v>56</v>
      </c>
      <c r="K60" s="27"/>
      <c r="L60" s="28" t="s">
        <v>57</v>
      </c>
      <c r="M60" s="29" t="str">
        <f t="shared" si="5"/>
        <v>✓ OK</v>
      </c>
      <c r="N60" s="42">
        <v>46196</v>
      </c>
      <c r="O60" s="26" t="s">
        <v>55</v>
      </c>
      <c r="P60" s="44" t="s">
        <v>833</v>
      </c>
      <c r="Q60" s="26" t="s">
        <v>57</v>
      </c>
      <c r="R60" s="44" t="s">
        <v>833</v>
      </c>
      <c r="S60" s="26" t="s">
        <v>56</v>
      </c>
      <c r="T60" s="27"/>
      <c r="U60" s="28" t="s">
        <v>57</v>
      </c>
      <c r="V60" s="29" t="str">
        <f t="shared" si="6"/>
        <v>✓ OK</v>
      </c>
      <c r="W60" s="70">
        <v>46248</v>
      </c>
      <c r="X60" s="30" t="s">
        <v>55</v>
      </c>
      <c r="Y60" s="30" t="s">
        <v>833</v>
      </c>
      <c r="Z60" s="30" t="s">
        <v>57</v>
      </c>
      <c r="AA60" s="30" t="s">
        <v>833</v>
      </c>
      <c r="AB60" s="30" t="s">
        <v>56</v>
      </c>
      <c r="AC60" s="27"/>
      <c r="AD60" s="31" t="s">
        <v>57</v>
      </c>
      <c r="AE60" s="32" t="str">
        <f t="shared" si="7"/>
        <v>✓ OK</v>
      </c>
      <c r="AF60" s="33" t="s">
        <v>61</v>
      </c>
      <c r="AG60" s="33" t="s">
        <v>55</v>
      </c>
      <c r="AH60" s="33" t="s">
        <v>833</v>
      </c>
      <c r="AI60" s="33" t="s">
        <v>57</v>
      </c>
      <c r="AJ60" s="33" t="s">
        <v>833</v>
      </c>
      <c r="AK60" s="33" t="s">
        <v>56</v>
      </c>
      <c r="AL60" s="27"/>
      <c r="AM60" s="34" t="s">
        <v>57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4560</v>
      </c>
      <c r="C61" s="25" t="s">
        <v>4561</v>
      </c>
      <c r="D61" s="23" t="s">
        <v>21</v>
      </c>
      <c r="E61" s="42">
        <v>46128</v>
      </c>
      <c r="F61" s="26" t="s">
        <v>55</v>
      </c>
      <c r="G61" s="44" t="s">
        <v>833</v>
      </c>
      <c r="H61" s="26" t="s">
        <v>57</v>
      </c>
      <c r="I61" s="44" t="s">
        <v>833</v>
      </c>
      <c r="J61" s="26" t="s">
        <v>56</v>
      </c>
      <c r="K61" s="27"/>
      <c r="L61" s="28" t="s">
        <v>57</v>
      </c>
      <c r="M61" s="29" t="str">
        <f t="shared" si="5"/>
        <v>✓ OK</v>
      </c>
      <c r="N61" s="42">
        <v>46196</v>
      </c>
      <c r="O61" s="26" t="s">
        <v>55</v>
      </c>
      <c r="P61" s="44" t="s">
        <v>833</v>
      </c>
      <c r="Q61" s="26" t="s">
        <v>57</v>
      </c>
      <c r="R61" s="44" t="s">
        <v>833</v>
      </c>
      <c r="S61" s="26" t="s">
        <v>56</v>
      </c>
      <c r="T61" s="27"/>
      <c r="U61" s="28" t="s">
        <v>57</v>
      </c>
      <c r="V61" s="29" t="str">
        <f t="shared" si="6"/>
        <v>✓ OK</v>
      </c>
      <c r="W61" s="70">
        <v>46248</v>
      </c>
      <c r="X61" s="30" t="s">
        <v>55</v>
      </c>
      <c r="Y61" s="30" t="s">
        <v>833</v>
      </c>
      <c r="Z61" s="30" t="s">
        <v>57</v>
      </c>
      <c r="AA61" s="30" t="s">
        <v>833</v>
      </c>
      <c r="AB61" s="30" t="s">
        <v>56</v>
      </c>
      <c r="AC61" s="27"/>
      <c r="AD61" s="31" t="s">
        <v>57</v>
      </c>
      <c r="AE61" s="32" t="str">
        <f t="shared" si="7"/>
        <v>✓ OK</v>
      </c>
      <c r="AF61" s="33" t="s">
        <v>61</v>
      </c>
      <c r="AG61" s="33" t="s">
        <v>55</v>
      </c>
      <c r="AH61" s="33" t="s">
        <v>833</v>
      </c>
      <c r="AI61" s="33" t="s">
        <v>57</v>
      </c>
      <c r="AJ61" s="33" t="s">
        <v>833</v>
      </c>
      <c r="AK61" s="33" t="s">
        <v>56</v>
      </c>
      <c r="AL61" s="27"/>
      <c r="AM61" s="34" t="s">
        <v>57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4562</v>
      </c>
      <c r="C62" s="41" t="s">
        <v>4563</v>
      </c>
      <c r="D62" s="39" t="s">
        <v>21</v>
      </c>
      <c r="E62" s="42">
        <v>46128</v>
      </c>
      <c r="F62" s="26" t="s">
        <v>55</v>
      </c>
      <c r="G62" s="44" t="s">
        <v>833</v>
      </c>
      <c r="H62" s="26" t="s">
        <v>57</v>
      </c>
      <c r="I62" s="44" t="s">
        <v>833</v>
      </c>
      <c r="J62" s="26" t="s">
        <v>56</v>
      </c>
      <c r="K62" s="27"/>
      <c r="L62" s="28" t="s">
        <v>57</v>
      </c>
      <c r="M62" s="29" t="str">
        <f t="shared" si="5"/>
        <v>✓ OK</v>
      </c>
      <c r="N62" s="42">
        <v>46196</v>
      </c>
      <c r="O62" s="26" t="s">
        <v>55</v>
      </c>
      <c r="P62" s="44" t="s">
        <v>833</v>
      </c>
      <c r="Q62" s="26" t="s">
        <v>57</v>
      </c>
      <c r="R62" s="44" t="s">
        <v>833</v>
      </c>
      <c r="S62" s="26" t="s">
        <v>56</v>
      </c>
      <c r="T62" s="27"/>
      <c r="U62" s="28" t="s">
        <v>57</v>
      </c>
      <c r="V62" s="29" t="str">
        <f t="shared" si="6"/>
        <v>✓ OK</v>
      </c>
      <c r="W62" s="70">
        <v>46248</v>
      </c>
      <c r="X62" s="30" t="s">
        <v>55</v>
      </c>
      <c r="Y62" s="30" t="s">
        <v>833</v>
      </c>
      <c r="Z62" s="30" t="s">
        <v>57</v>
      </c>
      <c r="AA62" s="30" t="s">
        <v>833</v>
      </c>
      <c r="AB62" s="30" t="s">
        <v>56</v>
      </c>
      <c r="AC62" s="27"/>
      <c r="AD62" s="31" t="s">
        <v>57</v>
      </c>
      <c r="AE62" s="32" t="str">
        <f t="shared" si="7"/>
        <v>✓ OK</v>
      </c>
      <c r="AF62" s="33" t="s">
        <v>61</v>
      </c>
      <c r="AG62" s="33" t="s">
        <v>55</v>
      </c>
      <c r="AH62" s="33" t="s">
        <v>833</v>
      </c>
      <c r="AI62" s="33" t="s">
        <v>57</v>
      </c>
      <c r="AJ62" s="33" t="s">
        <v>833</v>
      </c>
      <c r="AK62" s="33" t="s">
        <v>56</v>
      </c>
      <c r="AL62" s="27"/>
      <c r="AM62" s="34" t="s">
        <v>57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4564</v>
      </c>
      <c r="C63" s="25" t="s">
        <v>4565</v>
      </c>
      <c r="D63" s="23" t="s">
        <v>21</v>
      </c>
      <c r="E63" s="42">
        <v>46128</v>
      </c>
      <c r="F63" s="26" t="s">
        <v>55</v>
      </c>
      <c r="G63" s="44" t="s">
        <v>833</v>
      </c>
      <c r="H63" s="26" t="s">
        <v>57</v>
      </c>
      <c r="I63" s="44" t="s">
        <v>833</v>
      </c>
      <c r="J63" s="26" t="s">
        <v>56</v>
      </c>
      <c r="K63" s="27"/>
      <c r="L63" s="28" t="s">
        <v>57</v>
      </c>
      <c r="M63" s="29" t="str">
        <f t="shared" si="5"/>
        <v>✓ OK</v>
      </c>
      <c r="N63" s="42">
        <v>46196</v>
      </c>
      <c r="O63" s="26" t="s">
        <v>55</v>
      </c>
      <c r="P63" s="44" t="s">
        <v>833</v>
      </c>
      <c r="Q63" s="26" t="s">
        <v>57</v>
      </c>
      <c r="R63" s="44" t="s">
        <v>833</v>
      </c>
      <c r="S63" s="26" t="s">
        <v>56</v>
      </c>
      <c r="T63" s="27"/>
      <c r="U63" s="28" t="s">
        <v>57</v>
      </c>
      <c r="V63" s="29" t="str">
        <f t="shared" si="6"/>
        <v>✓ OK</v>
      </c>
      <c r="W63" s="70">
        <v>46248</v>
      </c>
      <c r="X63" s="30" t="s">
        <v>55</v>
      </c>
      <c r="Y63" s="30" t="s">
        <v>833</v>
      </c>
      <c r="Z63" s="30" t="s">
        <v>57</v>
      </c>
      <c r="AA63" s="30" t="s">
        <v>833</v>
      </c>
      <c r="AB63" s="30" t="s">
        <v>56</v>
      </c>
      <c r="AC63" s="27"/>
      <c r="AD63" s="31" t="s">
        <v>57</v>
      </c>
      <c r="AE63" s="32" t="str">
        <f t="shared" si="7"/>
        <v>✓ OK</v>
      </c>
      <c r="AF63" s="33" t="s">
        <v>61</v>
      </c>
      <c r="AG63" s="33" t="s">
        <v>55</v>
      </c>
      <c r="AH63" s="33" t="s">
        <v>833</v>
      </c>
      <c r="AI63" s="33" t="s">
        <v>57</v>
      </c>
      <c r="AJ63" s="33" t="s">
        <v>833</v>
      </c>
      <c r="AK63" s="33" t="s">
        <v>56</v>
      </c>
      <c r="AL63" s="27"/>
      <c r="AM63" s="34" t="s">
        <v>57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24" t="s">
        <v>4566</v>
      </c>
      <c r="C64" s="25" t="s">
        <v>4567</v>
      </c>
      <c r="D64" s="23" t="s">
        <v>21</v>
      </c>
      <c r="E64" s="42">
        <v>46128</v>
      </c>
      <c r="F64" s="26" t="s">
        <v>55</v>
      </c>
      <c r="G64" s="44" t="s">
        <v>56</v>
      </c>
      <c r="H64" s="26" t="s">
        <v>57</v>
      </c>
      <c r="I64" s="44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42">
        <v>46196</v>
      </c>
      <c r="O64" s="26" t="s">
        <v>55</v>
      </c>
      <c r="P64" s="44" t="s">
        <v>56</v>
      </c>
      <c r="Q64" s="26" t="s">
        <v>57</v>
      </c>
      <c r="R64" s="44" t="s">
        <v>58</v>
      </c>
      <c r="S64" s="26" t="s">
        <v>56</v>
      </c>
      <c r="T64" s="27"/>
      <c r="U64" s="28" t="s">
        <v>57</v>
      </c>
      <c r="V64" s="29" t="str">
        <f t="shared" si="6"/>
        <v>✓ OK</v>
      </c>
      <c r="W64" s="70">
        <v>46248</v>
      </c>
      <c r="X64" s="30" t="s">
        <v>55</v>
      </c>
      <c r="Y64" s="30" t="s">
        <v>56</v>
      </c>
      <c r="Z64" s="30" t="s">
        <v>57</v>
      </c>
      <c r="AA64" s="30" t="s">
        <v>58</v>
      </c>
      <c r="AB64" s="30" t="s">
        <v>56</v>
      </c>
      <c r="AC64" s="27"/>
      <c r="AD64" s="31" t="s">
        <v>57</v>
      </c>
      <c r="AE64" s="32" t="str">
        <f t="shared" si="7"/>
        <v>✓ OK</v>
      </c>
      <c r="AF64" s="33" t="s">
        <v>61</v>
      </c>
      <c r="AG64" s="33" t="s">
        <v>55</v>
      </c>
      <c r="AH64" s="33" t="s">
        <v>56</v>
      </c>
      <c r="AI64" s="33" t="s">
        <v>57</v>
      </c>
      <c r="AJ64" s="33" t="s">
        <v>58</v>
      </c>
      <c r="AK64" s="33" t="s">
        <v>56</v>
      </c>
      <c r="AL64" s="27"/>
      <c r="AM64" s="34" t="s">
        <v>57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4568</v>
      </c>
      <c r="C65" s="25" t="s">
        <v>4569</v>
      </c>
      <c r="D65" s="23" t="s">
        <v>21</v>
      </c>
      <c r="E65" s="42">
        <v>46128</v>
      </c>
      <c r="F65" s="26" t="s">
        <v>55</v>
      </c>
      <c r="G65" s="44" t="s">
        <v>833</v>
      </c>
      <c r="H65" s="26" t="s">
        <v>57</v>
      </c>
      <c r="I65" s="44" t="s">
        <v>833</v>
      </c>
      <c r="J65" s="26" t="s">
        <v>56</v>
      </c>
      <c r="K65" s="27"/>
      <c r="L65" s="28" t="s">
        <v>57</v>
      </c>
      <c r="M65" s="29" t="str">
        <f t="shared" si="5"/>
        <v>✓ OK</v>
      </c>
      <c r="N65" s="42">
        <v>46196</v>
      </c>
      <c r="O65" s="26" t="s">
        <v>55</v>
      </c>
      <c r="P65" s="44" t="s">
        <v>833</v>
      </c>
      <c r="Q65" s="26" t="s">
        <v>57</v>
      </c>
      <c r="R65" s="44" t="s">
        <v>833</v>
      </c>
      <c r="S65" s="26" t="s">
        <v>56</v>
      </c>
      <c r="T65" s="27"/>
      <c r="U65" s="28" t="s">
        <v>57</v>
      </c>
      <c r="V65" s="29" t="str">
        <f t="shared" si="6"/>
        <v>✓ OK</v>
      </c>
      <c r="W65" s="70">
        <v>46248</v>
      </c>
      <c r="X65" s="30" t="s">
        <v>55</v>
      </c>
      <c r="Y65" s="30" t="s">
        <v>833</v>
      </c>
      <c r="Z65" s="30" t="s">
        <v>57</v>
      </c>
      <c r="AA65" s="30" t="s">
        <v>833</v>
      </c>
      <c r="AB65" s="30" t="s">
        <v>56</v>
      </c>
      <c r="AC65" s="27"/>
      <c r="AD65" s="31" t="s">
        <v>57</v>
      </c>
      <c r="AE65" s="32" t="str">
        <f t="shared" si="7"/>
        <v>✓ OK</v>
      </c>
      <c r="AF65" s="33" t="s">
        <v>61</v>
      </c>
      <c r="AG65" s="33" t="s">
        <v>55</v>
      </c>
      <c r="AH65" s="33" t="s">
        <v>833</v>
      </c>
      <c r="AI65" s="33" t="s">
        <v>57</v>
      </c>
      <c r="AJ65" s="33" t="s">
        <v>833</v>
      </c>
      <c r="AK65" s="33" t="s">
        <v>56</v>
      </c>
      <c r="AL65" s="27"/>
      <c r="AM65" s="34" t="s">
        <v>57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4570</v>
      </c>
      <c r="C66" s="41" t="s">
        <v>4571</v>
      </c>
      <c r="D66" s="39" t="s">
        <v>21</v>
      </c>
      <c r="E66" s="42">
        <v>46128</v>
      </c>
      <c r="F66" s="26" t="s">
        <v>55</v>
      </c>
      <c r="G66" s="44" t="s">
        <v>833</v>
      </c>
      <c r="H66" s="26" t="s">
        <v>57</v>
      </c>
      <c r="I66" s="44" t="s">
        <v>833</v>
      </c>
      <c r="J66" s="26" t="s">
        <v>56</v>
      </c>
      <c r="K66" s="27"/>
      <c r="L66" s="28" t="s">
        <v>57</v>
      </c>
      <c r="M66" s="29" t="str">
        <f t="shared" si="5"/>
        <v>✓ OK</v>
      </c>
      <c r="N66" s="42">
        <v>46196</v>
      </c>
      <c r="O66" s="26" t="s">
        <v>55</v>
      </c>
      <c r="P66" s="44" t="s">
        <v>833</v>
      </c>
      <c r="Q66" s="26" t="s">
        <v>57</v>
      </c>
      <c r="R66" s="44" t="s">
        <v>833</v>
      </c>
      <c r="S66" s="26" t="s">
        <v>56</v>
      </c>
      <c r="T66" s="27"/>
      <c r="U66" s="28" t="s">
        <v>57</v>
      </c>
      <c r="V66" s="29" t="str">
        <f t="shared" si="6"/>
        <v>✓ OK</v>
      </c>
      <c r="W66" s="70">
        <v>46248</v>
      </c>
      <c r="X66" s="30" t="s">
        <v>55</v>
      </c>
      <c r="Y66" s="30" t="s">
        <v>833</v>
      </c>
      <c r="Z66" s="30" t="s">
        <v>57</v>
      </c>
      <c r="AA66" s="30" t="s">
        <v>833</v>
      </c>
      <c r="AB66" s="30" t="s">
        <v>56</v>
      </c>
      <c r="AC66" s="27"/>
      <c r="AD66" s="31" t="s">
        <v>57</v>
      </c>
      <c r="AE66" s="32" t="str">
        <f t="shared" si="7"/>
        <v>✓ OK</v>
      </c>
      <c r="AF66" s="33" t="s">
        <v>61</v>
      </c>
      <c r="AG66" s="33" t="s">
        <v>55</v>
      </c>
      <c r="AH66" s="33" t="s">
        <v>833</v>
      </c>
      <c r="AI66" s="33" t="s">
        <v>57</v>
      </c>
      <c r="AJ66" s="33" t="s">
        <v>833</v>
      </c>
      <c r="AK66" s="33" t="s">
        <v>56</v>
      </c>
      <c r="AL66" s="27"/>
      <c r="AM66" s="34" t="s">
        <v>57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40" t="s">
        <v>4572</v>
      </c>
      <c r="C67" s="41" t="s">
        <v>4573</v>
      </c>
      <c r="D67" s="39" t="s">
        <v>21</v>
      </c>
      <c r="E67" s="42">
        <v>46128</v>
      </c>
      <c r="F67" s="26" t="s">
        <v>55</v>
      </c>
      <c r="G67" s="44" t="s">
        <v>833</v>
      </c>
      <c r="H67" s="26" t="s">
        <v>57</v>
      </c>
      <c r="I67" s="44" t="s">
        <v>833</v>
      </c>
      <c r="J67" s="26" t="s">
        <v>56</v>
      </c>
      <c r="K67" s="27"/>
      <c r="L67" s="28" t="s">
        <v>57</v>
      </c>
      <c r="M67" s="29" t="str">
        <f t="shared" si="5"/>
        <v>✓ OK</v>
      </c>
      <c r="N67" s="42">
        <v>46196</v>
      </c>
      <c r="O67" s="26" t="s">
        <v>55</v>
      </c>
      <c r="P67" s="44" t="s">
        <v>833</v>
      </c>
      <c r="Q67" s="26" t="s">
        <v>57</v>
      </c>
      <c r="R67" s="44" t="s">
        <v>833</v>
      </c>
      <c r="S67" s="26" t="s">
        <v>56</v>
      </c>
      <c r="T67" s="27"/>
      <c r="U67" s="28" t="s">
        <v>57</v>
      </c>
      <c r="V67" s="29" t="str">
        <f t="shared" si="6"/>
        <v>✓ OK</v>
      </c>
      <c r="W67" s="70">
        <v>46248</v>
      </c>
      <c r="X67" s="30" t="s">
        <v>55</v>
      </c>
      <c r="Y67" s="30" t="s">
        <v>833</v>
      </c>
      <c r="Z67" s="30" t="s">
        <v>57</v>
      </c>
      <c r="AA67" s="30" t="s">
        <v>833</v>
      </c>
      <c r="AB67" s="30" t="s">
        <v>56</v>
      </c>
      <c r="AC67" s="27"/>
      <c r="AD67" s="31" t="s">
        <v>57</v>
      </c>
      <c r="AE67" s="32" t="str">
        <f t="shared" si="7"/>
        <v>✓ OK</v>
      </c>
      <c r="AF67" s="33" t="s">
        <v>61</v>
      </c>
      <c r="AG67" s="33" t="s">
        <v>55</v>
      </c>
      <c r="AH67" s="33" t="s">
        <v>833</v>
      </c>
      <c r="AI67" s="33" t="s">
        <v>57</v>
      </c>
      <c r="AJ67" s="33" t="s">
        <v>833</v>
      </c>
      <c r="AK67" s="33" t="s">
        <v>56</v>
      </c>
      <c r="AL67" s="27"/>
      <c r="AM67" s="34" t="s">
        <v>57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4574</v>
      </c>
      <c r="C68" s="41" t="s">
        <v>4575</v>
      </c>
      <c r="D68" s="39" t="s">
        <v>21</v>
      </c>
      <c r="E68" s="42">
        <v>46128</v>
      </c>
      <c r="F68" s="26" t="s">
        <v>55</v>
      </c>
      <c r="G68" s="44" t="s">
        <v>833</v>
      </c>
      <c r="H68" s="26" t="s">
        <v>57</v>
      </c>
      <c r="I68" s="44" t="s">
        <v>833</v>
      </c>
      <c r="J68" s="26" t="s">
        <v>56</v>
      </c>
      <c r="K68" s="27"/>
      <c r="L68" s="28" t="s">
        <v>57</v>
      </c>
      <c r="M68" s="29" t="str">
        <f t="shared" si="5"/>
        <v>✓ OK</v>
      </c>
      <c r="N68" s="42">
        <v>46196</v>
      </c>
      <c r="O68" s="26" t="s">
        <v>55</v>
      </c>
      <c r="P68" s="44" t="s">
        <v>833</v>
      </c>
      <c r="Q68" s="26" t="s">
        <v>57</v>
      </c>
      <c r="R68" s="44" t="s">
        <v>833</v>
      </c>
      <c r="S68" s="26" t="s">
        <v>56</v>
      </c>
      <c r="T68" s="27"/>
      <c r="U68" s="28" t="s">
        <v>57</v>
      </c>
      <c r="V68" s="29" t="str">
        <f t="shared" si="6"/>
        <v>✓ OK</v>
      </c>
      <c r="W68" s="70">
        <v>46248</v>
      </c>
      <c r="X68" s="30" t="s">
        <v>55</v>
      </c>
      <c r="Y68" s="30" t="s">
        <v>833</v>
      </c>
      <c r="Z68" s="30" t="s">
        <v>57</v>
      </c>
      <c r="AA68" s="30" t="s">
        <v>833</v>
      </c>
      <c r="AB68" s="30" t="s">
        <v>56</v>
      </c>
      <c r="AC68" s="27"/>
      <c r="AD68" s="31" t="s">
        <v>57</v>
      </c>
      <c r="AE68" s="32" t="str">
        <f t="shared" si="7"/>
        <v>✓ OK</v>
      </c>
      <c r="AF68" s="33" t="s">
        <v>61</v>
      </c>
      <c r="AG68" s="33" t="s">
        <v>55</v>
      </c>
      <c r="AH68" s="33" t="s">
        <v>833</v>
      </c>
      <c r="AI68" s="33" t="s">
        <v>57</v>
      </c>
      <c r="AJ68" s="33" t="s">
        <v>833</v>
      </c>
      <c r="AK68" s="33" t="s">
        <v>56</v>
      </c>
      <c r="AL68" s="27"/>
      <c r="AM68" s="34" t="s">
        <v>57</v>
      </c>
      <c r="AN68" s="35" t="str">
        <f t="shared" si="8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4576</v>
      </c>
      <c r="C69" s="25" t="s">
        <v>4577</v>
      </c>
      <c r="D69" s="23" t="s">
        <v>21</v>
      </c>
      <c r="E69" s="42">
        <v>46128</v>
      </c>
      <c r="F69" s="26" t="s">
        <v>55</v>
      </c>
      <c r="G69" s="44" t="s">
        <v>56</v>
      </c>
      <c r="H69" s="26" t="s">
        <v>57</v>
      </c>
      <c r="I69" s="44" t="s">
        <v>58</v>
      </c>
      <c r="J69" s="26" t="s">
        <v>56</v>
      </c>
      <c r="K69" s="27"/>
      <c r="L69" s="28" t="s">
        <v>57</v>
      </c>
      <c r="M69" s="29" t="str">
        <f t="shared" ref="M69:M80" si="10">IF(E69="","",IF(H69="Yes","❌ Disc",IF(G69="No","⚠ Missing",IF(J69="Yes","✓ OK","⚠ Check"))))</f>
        <v>✓ OK</v>
      </c>
      <c r="N69" s="42">
        <v>46196</v>
      </c>
      <c r="O69" s="26" t="s">
        <v>55</v>
      </c>
      <c r="P69" s="44" t="s">
        <v>56</v>
      </c>
      <c r="Q69" s="26" t="s">
        <v>57</v>
      </c>
      <c r="R69" s="44" t="s">
        <v>58</v>
      </c>
      <c r="S69" s="26" t="s">
        <v>56</v>
      </c>
      <c r="T69" s="27"/>
      <c r="U69" s="28" t="s">
        <v>57</v>
      </c>
      <c r="V69" s="29" t="str">
        <f t="shared" ref="V69:V80" si="11">IF(N69="","",IF(Q69="Yes","❌ Disc",IF(P69="No","⚠ Missing",IF(S69="Yes","✓ OK","⚠ Check"))))</f>
        <v>✓ OK</v>
      </c>
      <c r="W69" s="70">
        <v>46248</v>
      </c>
      <c r="X69" s="30" t="s">
        <v>55</v>
      </c>
      <c r="Y69" s="30" t="s">
        <v>56</v>
      </c>
      <c r="Z69" s="30" t="s">
        <v>57</v>
      </c>
      <c r="AA69" s="30" t="s">
        <v>58</v>
      </c>
      <c r="AB69" s="30" t="s">
        <v>56</v>
      </c>
      <c r="AC69" s="27"/>
      <c r="AD69" s="31" t="s">
        <v>57</v>
      </c>
      <c r="AE69" s="32" t="str">
        <f t="shared" ref="AE69:AE80" si="12">IF(W69="","",IF(Z69="Yes","❌ Disc",IF(Y69="No","⚠ Missing",IF(AB69="Yes","✓ OK","⚠ Check"))))</f>
        <v>✓ OK</v>
      </c>
      <c r="AF69" s="33" t="s">
        <v>61</v>
      </c>
      <c r="AG69" s="33" t="s">
        <v>55</v>
      </c>
      <c r="AH69" s="33" t="s">
        <v>56</v>
      </c>
      <c r="AI69" s="33" t="s">
        <v>57</v>
      </c>
      <c r="AJ69" s="33" t="s">
        <v>58</v>
      </c>
      <c r="AK69" s="33" t="s">
        <v>56</v>
      </c>
      <c r="AL69" s="27"/>
      <c r="AM69" s="34" t="s">
        <v>57</v>
      </c>
      <c r="AN69" s="35" t="str">
        <f t="shared" ref="AN69:AN80" si="13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4578</v>
      </c>
      <c r="C70" s="41" t="s">
        <v>4579</v>
      </c>
      <c r="D70" s="39" t="s">
        <v>21</v>
      </c>
      <c r="E70" s="42">
        <v>46128</v>
      </c>
      <c r="F70" s="26" t="s">
        <v>55</v>
      </c>
      <c r="G70" s="44" t="s">
        <v>833</v>
      </c>
      <c r="H70" s="26" t="s">
        <v>57</v>
      </c>
      <c r="I70" s="44" t="s">
        <v>833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42">
        <v>46196</v>
      </c>
      <c r="O70" s="26" t="s">
        <v>55</v>
      </c>
      <c r="P70" s="44" t="s">
        <v>833</v>
      </c>
      <c r="Q70" s="26" t="s">
        <v>57</v>
      </c>
      <c r="R70" s="44" t="s">
        <v>833</v>
      </c>
      <c r="S70" s="26" t="s">
        <v>56</v>
      </c>
      <c r="T70" s="27"/>
      <c r="U70" s="28" t="s">
        <v>57</v>
      </c>
      <c r="V70" s="29" t="str">
        <f t="shared" si="11"/>
        <v>✓ OK</v>
      </c>
      <c r="W70" s="70">
        <v>46248</v>
      </c>
      <c r="X70" s="30" t="s">
        <v>55</v>
      </c>
      <c r="Y70" s="30" t="s">
        <v>833</v>
      </c>
      <c r="Z70" s="30" t="s">
        <v>57</v>
      </c>
      <c r="AA70" s="30" t="s">
        <v>833</v>
      </c>
      <c r="AB70" s="30" t="s">
        <v>56</v>
      </c>
      <c r="AC70" s="27"/>
      <c r="AD70" s="31" t="s">
        <v>57</v>
      </c>
      <c r="AE70" s="32" t="str">
        <f t="shared" si="12"/>
        <v>✓ OK</v>
      </c>
      <c r="AF70" s="33" t="s">
        <v>61</v>
      </c>
      <c r="AG70" s="33" t="s">
        <v>55</v>
      </c>
      <c r="AH70" s="33" t="s">
        <v>833</v>
      </c>
      <c r="AI70" s="33" t="s">
        <v>57</v>
      </c>
      <c r="AJ70" s="33" t="s">
        <v>833</v>
      </c>
      <c r="AK70" s="33" t="s">
        <v>56</v>
      </c>
      <c r="AL70" s="27"/>
      <c r="AM70" s="34" t="s">
        <v>57</v>
      </c>
      <c r="AN70" s="35" t="str">
        <f t="shared" si="13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4580</v>
      </c>
      <c r="C71" s="25" t="s">
        <v>4581</v>
      </c>
      <c r="D71" s="23" t="s">
        <v>21</v>
      </c>
      <c r="E71" s="42">
        <v>46128</v>
      </c>
      <c r="F71" s="26" t="s">
        <v>55</v>
      </c>
      <c r="G71" s="44" t="s">
        <v>56</v>
      </c>
      <c r="H71" s="26" t="s">
        <v>57</v>
      </c>
      <c r="I71" s="44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42">
        <v>46196</v>
      </c>
      <c r="O71" s="26" t="s">
        <v>55</v>
      </c>
      <c r="P71" s="44" t="s">
        <v>56</v>
      </c>
      <c r="Q71" s="26" t="s">
        <v>57</v>
      </c>
      <c r="R71" s="44" t="s">
        <v>58</v>
      </c>
      <c r="S71" s="26" t="s">
        <v>56</v>
      </c>
      <c r="T71" s="27"/>
      <c r="U71" s="28" t="s">
        <v>57</v>
      </c>
      <c r="V71" s="29" t="str">
        <f t="shared" si="11"/>
        <v>✓ OK</v>
      </c>
      <c r="W71" s="70">
        <v>46248</v>
      </c>
      <c r="X71" s="30" t="s">
        <v>55</v>
      </c>
      <c r="Y71" s="30" t="s">
        <v>56</v>
      </c>
      <c r="Z71" s="30" t="s">
        <v>57</v>
      </c>
      <c r="AA71" s="30" t="s">
        <v>58</v>
      </c>
      <c r="AB71" s="30" t="s">
        <v>56</v>
      </c>
      <c r="AC71" s="27"/>
      <c r="AD71" s="31" t="s">
        <v>57</v>
      </c>
      <c r="AE71" s="32" t="str">
        <f t="shared" si="12"/>
        <v>✓ OK</v>
      </c>
      <c r="AF71" s="33" t="s">
        <v>61</v>
      </c>
      <c r="AG71" s="33" t="s">
        <v>55</v>
      </c>
      <c r="AH71" s="33" t="s">
        <v>56</v>
      </c>
      <c r="AI71" s="33" t="s">
        <v>57</v>
      </c>
      <c r="AJ71" s="33" t="s">
        <v>58</v>
      </c>
      <c r="AK71" s="33" t="s">
        <v>56</v>
      </c>
      <c r="AL71" s="27"/>
      <c r="AM71" s="34" t="s">
        <v>57</v>
      </c>
      <c r="AN71" s="35" t="str">
        <f t="shared" si="13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24" t="s">
        <v>4582</v>
      </c>
      <c r="C72" s="25" t="s">
        <v>4583</v>
      </c>
      <c r="D72" s="23" t="s">
        <v>21</v>
      </c>
      <c r="E72" s="42">
        <v>46128</v>
      </c>
      <c r="F72" s="26" t="s">
        <v>55</v>
      </c>
      <c r="G72" s="44" t="s">
        <v>56</v>
      </c>
      <c r="H72" s="26" t="s">
        <v>57</v>
      </c>
      <c r="I72" s="44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42">
        <v>46196</v>
      </c>
      <c r="O72" s="26" t="s">
        <v>55</v>
      </c>
      <c r="P72" s="44" t="s">
        <v>56</v>
      </c>
      <c r="Q72" s="26" t="s">
        <v>57</v>
      </c>
      <c r="R72" s="44" t="s">
        <v>58</v>
      </c>
      <c r="S72" s="26" t="s">
        <v>56</v>
      </c>
      <c r="T72" s="27"/>
      <c r="U72" s="28" t="s">
        <v>57</v>
      </c>
      <c r="V72" s="29" t="str">
        <f t="shared" si="11"/>
        <v>✓ OK</v>
      </c>
      <c r="W72" s="70">
        <v>46248</v>
      </c>
      <c r="X72" s="30" t="s">
        <v>55</v>
      </c>
      <c r="Y72" s="30" t="s">
        <v>56</v>
      </c>
      <c r="Z72" s="30" t="s">
        <v>57</v>
      </c>
      <c r="AA72" s="30" t="s">
        <v>58</v>
      </c>
      <c r="AB72" s="30" t="s">
        <v>56</v>
      </c>
      <c r="AC72" s="27"/>
      <c r="AD72" s="31" t="s">
        <v>57</v>
      </c>
      <c r="AE72" s="32" t="str">
        <f t="shared" si="12"/>
        <v>✓ OK</v>
      </c>
      <c r="AF72" s="33" t="s">
        <v>61</v>
      </c>
      <c r="AG72" s="33" t="s">
        <v>55</v>
      </c>
      <c r="AH72" s="33" t="s">
        <v>56</v>
      </c>
      <c r="AI72" s="33" t="s">
        <v>57</v>
      </c>
      <c r="AJ72" s="33" t="s">
        <v>58</v>
      </c>
      <c r="AK72" s="33" t="s">
        <v>56</v>
      </c>
      <c r="AL72" s="27"/>
      <c r="AM72" s="34" t="s">
        <v>57</v>
      </c>
      <c r="AN72" s="35" t="str">
        <f t="shared" si="13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40" t="s">
        <v>4584</v>
      </c>
      <c r="C73" s="41" t="s">
        <v>4585</v>
      </c>
      <c r="D73" s="39" t="s">
        <v>21</v>
      </c>
      <c r="E73" s="42">
        <v>46128</v>
      </c>
      <c r="F73" s="26" t="s">
        <v>55</v>
      </c>
      <c r="G73" s="44" t="s">
        <v>833</v>
      </c>
      <c r="H73" s="26" t="s">
        <v>57</v>
      </c>
      <c r="I73" s="44" t="s">
        <v>833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42">
        <v>46196</v>
      </c>
      <c r="O73" s="26" t="s">
        <v>55</v>
      </c>
      <c r="P73" s="44" t="s">
        <v>833</v>
      </c>
      <c r="Q73" s="26" t="s">
        <v>57</v>
      </c>
      <c r="R73" s="44" t="s">
        <v>833</v>
      </c>
      <c r="S73" s="26" t="s">
        <v>56</v>
      </c>
      <c r="T73" s="27"/>
      <c r="U73" s="28" t="s">
        <v>57</v>
      </c>
      <c r="V73" s="29" t="str">
        <f t="shared" si="11"/>
        <v>✓ OK</v>
      </c>
      <c r="W73" s="70">
        <v>46248</v>
      </c>
      <c r="X73" s="30" t="s">
        <v>55</v>
      </c>
      <c r="Y73" s="30" t="s">
        <v>833</v>
      </c>
      <c r="Z73" s="30" t="s">
        <v>57</v>
      </c>
      <c r="AA73" s="30" t="s">
        <v>833</v>
      </c>
      <c r="AB73" s="30" t="s">
        <v>56</v>
      </c>
      <c r="AC73" s="27"/>
      <c r="AD73" s="31" t="s">
        <v>57</v>
      </c>
      <c r="AE73" s="32" t="str">
        <f t="shared" si="12"/>
        <v>✓ OK</v>
      </c>
      <c r="AF73" s="33" t="s">
        <v>61</v>
      </c>
      <c r="AG73" s="33" t="s">
        <v>55</v>
      </c>
      <c r="AH73" s="33" t="s">
        <v>833</v>
      </c>
      <c r="AI73" s="33" t="s">
        <v>57</v>
      </c>
      <c r="AJ73" s="33" t="s">
        <v>833</v>
      </c>
      <c r="AK73" s="33" t="s">
        <v>56</v>
      </c>
      <c r="AL73" s="27"/>
      <c r="AM73" s="34" t="s">
        <v>57</v>
      </c>
      <c r="AN73" s="35" t="str">
        <f t="shared" si="13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24" t="s">
        <v>4586</v>
      </c>
      <c r="C74" s="25" t="s">
        <v>4587</v>
      </c>
      <c r="D74" s="23" t="s">
        <v>21</v>
      </c>
      <c r="E74" s="42">
        <v>46128</v>
      </c>
      <c r="F74" s="26" t="s">
        <v>55</v>
      </c>
      <c r="G74" s="44" t="s">
        <v>833</v>
      </c>
      <c r="H74" s="26" t="s">
        <v>57</v>
      </c>
      <c r="I74" s="44" t="s">
        <v>833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42">
        <v>46196</v>
      </c>
      <c r="O74" s="26" t="s">
        <v>55</v>
      </c>
      <c r="P74" s="44" t="s">
        <v>833</v>
      </c>
      <c r="Q74" s="26" t="s">
        <v>57</v>
      </c>
      <c r="R74" s="44" t="s">
        <v>833</v>
      </c>
      <c r="S74" s="26" t="s">
        <v>56</v>
      </c>
      <c r="T74" s="27"/>
      <c r="U74" s="28" t="s">
        <v>57</v>
      </c>
      <c r="V74" s="29" t="str">
        <f t="shared" si="11"/>
        <v>✓ OK</v>
      </c>
      <c r="W74" s="70">
        <v>46248</v>
      </c>
      <c r="X74" s="30" t="s">
        <v>55</v>
      </c>
      <c r="Y74" s="30" t="s">
        <v>833</v>
      </c>
      <c r="Z74" s="30" t="s">
        <v>57</v>
      </c>
      <c r="AA74" s="30" t="s">
        <v>833</v>
      </c>
      <c r="AB74" s="30" t="s">
        <v>56</v>
      </c>
      <c r="AC74" s="27"/>
      <c r="AD74" s="31" t="s">
        <v>57</v>
      </c>
      <c r="AE74" s="32" t="str">
        <f t="shared" si="12"/>
        <v>✓ OK</v>
      </c>
      <c r="AF74" s="33" t="s">
        <v>61</v>
      </c>
      <c r="AG74" s="33" t="s">
        <v>55</v>
      </c>
      <c r="AH74" s="33" t="s">
        <v>833</v>
      </c>
      <c r="AI74" s="33" t="s">
        <v>57</v>
      </c>
      <c r="AJ74" s="33" t="s">
        <v>833</v>
      </c>
      <c r="AK74" s="33" t="s">
        <v>56</v>
      </c>
      <c r="AL74" s="27"/>
      <c r="AM74" s="34" t="s">
        <v>57</v>
      </c>
      <c r="AN74" s="35" t="str">
        <f t="shared" si="13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40" t="s">
        <v>4588</v>
      </c>
      <c r="C75" s="41" t="s">
        <v>4589</v>
      </c>
      <c r="D75" s="39" t="s">
        <v>21</v>
      </c>
      <c r="E75" s="42">
        <v>46128</v>
      </c>
      <c r="F75" s="26" t="s">
        <v>55</v>
      </c>
      <c r="G75" s="44" t="s">
        <v>56</v>
      </c>
      <c r="H75" s="26" t="s">
        <v>57</v>
      </c>
      <c r="I75" s="44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42">
        <v>46196</v>
      </c>
      <c r="O75" s="26" t="s">
        <v>55</v>
      </c>
      <c r="P75" s="44" t="s">
        <v>56</v>
      </c>
      <c r="Q75" s="26" t="s">
        <v>57</v>
      </c>
      <c r="R75" s="44" t="s">
        <v>58</v>
      </c>
      <c r="S75" s="26" t="s">
        <v>56</v>
      </c>
      <c r="T75" s="27"/>
      <c r="U75" s="28" t="s">
        <v>57</v>
      </c>
      <c r="V75" s="29" t="str">
        <f t="shared" si="11"/>
        <v>✓ OK</v>
      </c>
      <c r="W75" s="70">
        <v>46248</v>
      </c>
      <c r="X75" s="30" t="s">
        <v>55</v>
      </c>
      <c r="Y75" s="30" t="s">
        <v>56</v>
      </c>
      <c r="Z75" s="30" t="s">
        <v>57</v>
      </c>
      <c r="AA75" s="30" t="s">
        <v>58</v>
      </c>
      <c r="AB75" s="30" t="s">
        <v>56</v>
      </c>
      <c r="AC75" s="27"/>
      <c r="AD75" s="31" t="s">
        <v>57</v>
      </c>
      <c r="AE75" s="32" t="str">
        <f t="shared" si="12"/>
        <v>✓ OK</v>
      </c>
      <c r="AF75" s="33" t="s">
        <v>61</v>
      </c>
      <c r="AG75" s="33" t="s">
        <v>55</v>
      </c>
      <c r="AH75" s="33" t="s">
        <v>56</v>
      </c>
      <c r="AI75" s="33" t="s">
        <v>57</v>
      </c>
      <c r="AJ75" s="33" t="s">
        <v>58</v>
      </c>
      <c r="AK75" s="33" t="s">
        <v>56</v>
      </c>
      <c r="AL75" s="27"/>
      <c r="AM75" s="34" t="s">
        <v>57</v>
      </c>
      <c r="AN75" s="35" t="str">
        <f t="shared" si="13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24" t="s">
        <v>4590</v>
      </c>
      <c r="C76" s="25" t="s">
        <v>4591</v>
      </c>
      <c r="D76" s="23" t="s">
        <v>21</v>
      </c>
      <c r="E76" s="42">
        <v>46128</v>
      </c>
      <c r="F76" s="26" t="s">
        <v>55</v>
      </c>
      <c r="G76" s="44" t="s">
        <v>833</v>
      </c>
      <c r="H76" s="26" t="s">
        <v>57</v>
      </c>
      <c r="I76" s="44" t="s">
        <v>833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42">
        <v>46196</v>
      </c>
      <c r="O76" s="26" t="s">
        <v>55</v>
      </c>
      <c r="P76" s="44" t="s">
        <v>833</v>
      </c>
      <c r="Q76" s="26" t="s">
        <v>57</v>
      </c>
      <c r="R76" s="44" t="s">
        <v>833</v>
      </c>
      <c r="S76" s="26" t="s">
        <v>56</v>
      </c>
      <c r="T76" s="27"/>
      <c r="U76" s="28" t="s">
        <v>57</v>
      </c>
      <c r="V76" s="29" t="str">
        <f t="shared" si="11"/>
        <v>✓ OK</v>
      </c>
      <c r="W76" s="70">
        <v>46248</v>
      </c>
      <c r="X76" s="30" t="s">
        <v>55</v>
      </c>
      <c r="Y76" s="30" t="s">
        <v>833</v>
      </c>
      <c r="Z76" s="30" t="s">
        <v>57</v>
      </c>
      <c r="AA76" s="30" t="s">
        <v>833</v>
      </c>
      <c r="AB76" s="30" t="s">
        <v>56</v>
      </c>
      <c r="AC76" s="27"/>
      <c r="AD76" s="31" t="s">
        <v>57</v>
      </c>
      <c r="AE76" s="32" t="str">
        <f t="shared" si="12"/>
        <v>✓ OK</v>
      </c>
      <c r="AF76" s="33" t="s">
        <v>61</v>
      </c>
      <c r="AG76" s="33" t="s">
        <v>55</v>
      </c>
      <c r="AH76" s="33" t="s">
        <v>833</v>
      </c>
      <c r="AI76" s="33" t="s">
        <v>57</v>
      </c>
      <c r="AJ76" s="33" t="s">
        <v>833</v>
      </c>
      <c r="AK76" s="33" t="s">
        <v>56</v>
      </c>
      <c r="AL76" s="27"/>
      <c r="AM76" s="34" t="s">
        <v>57</v>
      </c>
      <c r="AN76" s="35" t="str">
        <f t="shared" si="13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4592</v>
      </c>
      <c r="C77" s="25" t="s">
        <v>4593</v>
      </c>
      <c r="D77" s="23" t="s">
        <v>21</v>
      </c>
      <c r="E77" s="42">
        <v>46128</v>
      </c>
      <c r="F77" s="26" t="s">
        <v>55</v>
      </c>
      <c r="G77" s="44" t="s">
        <v>833</v>
      </c>
      <c r="H77" s="26" t="s">
        <v>57</v>
      </c>
      <c r="I77" s="44" t="s">
        <v>833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42">
        <v>46196</v>
      </c>
      <c r="O77" s="26" t="s">
        <v>55</v>
      </c>
      <c r="P77" s="44" t="s">
        <v>833</v>
      </c>
      <c r="Q77" s="26" t="s">
        <v>57</v>
      </c>
      <c r="R77" s="44" t="s">
        <v>833</v>
      </c>
      <c r="S77" s="26" t="s">
        <v>56</v>
      </c>
      <c r="T77" s="27"/>
      <c r="U77" s="28" t="s">
        <v>57</v>
      </c>
      <c r="V77" s="29" t="str">
        <f t="shared" si="11"/>
        <v>✓ OK</v>
      </c>
      <c r="W77" s="70">
        <v>46248</v>
      </c>
      <c r="X77" s="30" t="s">
        <v>55</v>
      </c>
      <c r="Y77" s="30" t="s">
        <v>833</v>
      </c>
      <c r="Z77" s="30" t="s">
        <v>57</v>
      </c>
      <c r="AA77" s="30" t="s">
        <v>833</v>
      </c>
      <c r="AB77" s="30" t="s">
        <v>56</v>
      </c>
      <c r="AC77" s="27"/>
      <c r="AD77" s="31" t="s">
        <v>57</v>
      </c>
      <c r="AE77" s="32" t="str">
        <f t="shared" si="12"/>
        <v>✓ OK</v>
      </c>
      <c r="AF77" s="33" t="s">
        <v>61</v>
      </c>
      <c r="AG77" s="33" t="s">
        <v>55</v>
      </c>
      <c r="AH77" s="33" t="s">
        <v>833</v>
      </c>
      <c r="AI77" s="33" t="s">
        <v>57</v>
      </c>
      <c r="AJ77" s="33" t="s">
        <v>833</v>
      </c>
      <c r="AK77" s="33" t="s">
        <v>56</v>
      </c>
      <c r="AL77" s="27"/>
      <c r="AM77" s="34" t="s">
        <v>57</v>
      </c>
      <c r="AN77" s="35" t="str">
        <f t="shared" si="13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24" t="s">
        <v>4594</v>
      </c>
      <c r="C78" s="25" t="s">
        <v>4595</v>
      </c>
      <c r="D78" s="23" t="s">
        <v>21</v>
      </c>
      <c r="E78" s="42">
        <v>46128</v>
      </c>
      <c r="F78" s="26" t="s">
        <v>55</v>
      </c>
      <c r="G78" s="44" t="s">
        <v>56</v>
      </c>
      <c r="H78" s="26" t="s">
        <v>57</v>
      </c>
      <c r="I78" s="44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42">
        <v>46196</v>
      </c>
      <c r="O78" s="26" t="s">
        <v>55</v>
      </c>
      <c r="P78" s="44" t="s">
        <v>56</v>
      </c>
      <c r="Q78" s="26" t="s">
        <v>57</v>
      </c>
      <c r="R78" s="44" t="s">
        <v>58</v>
      </c>
      <c r="S78" s="26" t="s">
        <v>56</v>
      </c>
      <c r="T78" s="27"/>
      <c r="U78" s="28" t="s">
        <v>57</v>
      </c>
      <c r="V78" s="29" t="str">
        <f t="shared" si="11"/>
        <v>✓ OK</v>
      </c>
      <c r="W78" s="70">
        <v>46248</v>
      </c>
      <c r="X78" s="30" t="s">
        <v>55</v>
      </c>
      <c r="Y78" s="30" t="s">
        <v>56</v>
      </c>
      <c r="Z78" s="30" t="s">
        <v>57</v>
      </c>
      <c r="AA78" s="30" t="s">
        <v>58</v>
      </c>
      <c r="AB78" s="30" t="s">
        <v>56</v>
      </c>
      <c r="AC78" s="27"/>
      <c r="AD78" s="31" t="s">
        <v>57</v>
      </c>
      <c r="AE78" s="32" t="str">
        <f t="shared" si="12"/>
        <v>✓ OK</v>
      </c>
      <c r="AF78" s="33" t="s">
        <v>61</v>
      </c>
      <c r="AG78" s="33" t="s">
        <v>55</v>
      </c>
      <c r="AH78" s="33" t="s">
        <v>56</v>
      </c>
      <c r="AI78" s="33" t="s">
        <v>57</v>
      </c>
      <c r="AJ78" s="33" t="s">
        <v>58</v>
      </c>
      <c r="AK78" s="33" t="s">
        <v>56</v>
      </c>
      <c r="AL78" s="27"/>
      <c r="AM78" s="34" t="s">
        <v>57</v>
      </c>
      <c r="AN78" s="35" t="str">
        <f t="shared" si="13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4596</v>
      </c>
      <c r="C79" s="25" t="s">
        <v>4597</v>
      </c>
      <c r="D79" s="23" t="s">
        <v>21</v>
      </c>
      <c r="E79" s="42">
        <v>46128</v>
      </c>
      <c r="F79" s="26" t="s">
        <v>55</v>
      </c>
      <c r="G79" s="44" t="s">
        <v>833</v>
      </c>
      <c r="H79" s="26" t="s">
        <v>57</v>
      </c>
      <c r="I79" s="44" t="s">
        <v>833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42">
        <v>46196</v>
      </c>
      <c r="O79" s="26" t="s">
        <v>55</v>
      </c>
      <c r="P79" s="44" t="s">
        <v>833</v>
      </c>
      <c r="Q79" s="26" t="s">
        <v>57</v>
      </c>
      <c r="R79" s="44" t="s">
        <v>833</v>
      </c>
      <c r="S79" s="26" t="s">
        <v>56</v>
      </c>
      <c r="T79" s="27"/>
      <c r="U79" s="28" t="s">
        <v>57</v>
      </c>
      <c r="V79" s="29" t="str">
        <f t="shared" si="11"/>
        <v>✓ OK</v>
      </c>
      <c r="W79" s="70">
        <v>46248</v>
      </c>
      <c r="X79" s="30" t="s">
        <v>55</v>
      </c>
      <c r="Y79" s="30" t="s">
        <v>833</v>
      </c>
      <c r="Z79" s="30" t="s">
        <v>57</v>
      </c>
      <c r="AA79" s="30" t="s">
        <v>833</v>
      </c>
      <c r="AB79" s="30" t="s">
        <v>56</v>
      </c>
      <c r="AC79" s="27"/>
      <c r="AD79" s="31" t="s">
        <v>57</v>
      </c>
      <c r="AE79" s="32" t="str">
        <f t="shared" si="12"/>
        <v>✓ OK</v>
      </c>
      <c r="AF79" s="33" t="s">
        <v>61</v>
      </c>
      <c r="AG79" s="33" t="s">
        <v>55</v>
      </c>
      <c r="AH79" s="33" t="s">
        <v>833</v>
      </c>
      <c r="AI79" s="33" t="s">
        <v>57</v>
      </c>
      <c r="AJ79" s="33" t="s">
        <v>833</v>
      </c>
      <c r="AK79" s="33" t="s">
        <v>56</v>
      </c>
      <c r="AL79" s="27"/>
      <c r="AM79" s="34" t="s">
        <v>57</v>
      </c>
      <c r="AN79" s="35" t="str">
        <f t="shared" si="13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4598</v>
      </c>
      <c r="C80" s="41" t="s">
        <v>4599</v>
      </c>
      <c r="D80" s="39" t="s">
        <v>21</v>
      </c>
      <c r="E80" s="42">
        <v>46128</v>
      </c>
      <c r="F80" s="26" t="s">
        <v>55</v>
      </c>
      <c r="G80" s="44" t="s">
        <v>833</v>
      </c>
      <c r="H80" s="26" t="s">
        <v>57</v>
      </c>
      <c r="I80" s="44" t="s">
        <v>833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42">
        <v>46196</v>
      </c>
      <c r="O80" s="26" t="s">
        <v>55</v>
      </c>
      <c r="P80" s="44" t="s">
        <v>833</v>
      </c>
      <c r="Q80" s="26" t="s">
        <v>57</v>
      </c>
      <c r="R80" s="44" t="s">
        <v>833</v>
      </c>
      <c r="S80" s="26" t="s">
        <v>56</v>
      </c>
      <c r="T80" s="27"/>
      <c r="U80" s="28" t="s">
        <v>57</v>
      </c>
      <c r="V80" s="29" t="str">
        <f t="shared" si="11"/>
        <v>✓ OK</v>
      </c>
      <c r="W80" s="70">
        <v>46248</v>
      </c>
      <c r="X80" s="30" t="s">
        <v>55</v>
      </c>
      <c r="Y80" s="30" t="s">
        <v>833</v>
      </c>
      <c r="Z80" s="30" t="s">
        <v>57</v>
      </c>
      <c r="AA80" s="30" t="s">
        <v>833</v>
      </c>
      <c r="AB80" s="30" t="s">
        <v>56</v>
      </c>
      <c r="AC80" s="27"/>
      <c r="AD80" s="31" t="s">
        <v>57</v>
      </c>
      <c r="AE80" s="32" t="str">
        <f t="shared" si="12"/>
        <v>✓ OK</v>
      </c>
      <c r="AF80" s="33" t="s">
        <v>61</v>
      </c>
      <c r="AG80" s="33" t="s">
        <v>55</v>
      </c>
      <c r="AH80" s="33" t="s">
        <v>833</v>
      </c>
      <c r="AI80" s="33" t="s">
        <v>57</v>
      </c>
      <c r="AJ80" s="33" t="s">
        <v>833</v>
      </c>
      <c r="AK80" s="33" t="s">
        <v>56</v>
      </c>
      <c r="AL80" s="27"/>
      <c r="AM80" s="34" t="s">
        <v>57</v>
      </c>
      <c r="AN80" s="35" t="str">
        <f t="shared" si="13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4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61" priority="15">
      <formula>G5="Yes"</formula>
    </cfRule>
    <cfRule type="expression" dxfId="160" priority="16">
      <formula>G5="No"</formula>
    </cfRule>
    <cfRule type="expression" dxfId="159" priority="17">
      <formula>MOD(ROW(),2)=0</formula>
    </cfRule>
  </conditionalFormatting>
  <conditionalFormatting sqref="H5:H80">
    <cfRule type="expression" dxfId="158" priority="18">
      <formula>H5="Yes"</formula>
    </cfRule>
  </conditionalFormatting>
  <conditionalFormatting sqref="I5:I80">
    <cfRule type="expression" dxfId="157" priority="14">
      <formula>MOD(ROW(),2)=0</formula>
    </cfRule>
  </conditionalFormatting>
  <conditionalFormatting sqref="J5:J80">
    <cfRule type="expression" dxfId="156" priority="19">
      <formula>J5="Yes"</formula>
    </cfRule>
    <cfRule type="expression" dxfId="155" priority="20">
      <formula>J5="No"</formula>
    </cfRule>
  </conditionalFormatting>
  <conditionalFormatting sqref="J5:L80 H5:H80">
    <cfRule type="expression" dxfId="154" priority="21">
      <formula>MOD(ROW(),2)=0</formula>
    </cfRule>
  </conditionalFormatting>
  <conditionalFormatting sqref="M5:M80">
    <cfRule type="expression" dxfId="153" priority="22">
      <formula>M5="✓ OK"</formula>
    </cfRule>
    <cfRule type="expression" dxfId="152" priority="23">
      <formula>M5="❌ Disc"</formula>
    </cfRule>
    <cfRule type="expression" dxfId="151" priority="24">
      <formula>M5="⚠ Missing"</formula>
    </cfRule>
    <cfRule type="expression" dxfId="150" priority="25">
      <formula>M5="⚠ Check"</formula>
    </cfRule>
  </conditionalFormatting>
  <conditionalFormatting sqref="N5:O80">
    <cfRule type="expression" dxfId="149" priority="1">
      <formula>MOD(ROW(),2)=0</formula>
    </cfRule>
  </conditionalFormatting>
  <conditionalFormatting sqref="P5:P80">
    <cfRule type="expression" dxfId="148" priority="3">
      <formula>P5="Yes"</formula>
    </cfRule>
    <cfRule type="expression" dxfId="147" priority="4">
      <formula>P5="No"</formula>
    </cfRule>
    <cfRule type="expression" dxfId="146" priority="5">
      <formula>MOD(ROW(),2)=0</formula>
    </cfRule>
  </conditionalFormatting>
  <conditionalFormatting sqref="Q5:Q80">
    <cfRule type="expression" dxfId="145" priority="6">
      <formula>Q5="Yes"</formula>
    </cfRule>
  </conditionalFormatting>
  <conditionalFormatting sqref="R5:R80">
    <cfRule type="expression" dxfId="144" priority="2">
      <formula>MOD(ROW(),2)=0</formula>
    </cfRule>
  </conditionalFormatting>
  <conditionalFormatting sqref="S5:S80">
    <cfRule type="expression" dxfId="143" priority="7">
      <formula>S5="Yes"</formula>
    </cfRule>
    <cfRule type="expression" dxfId="142" priority="8">
      <formula>S5="No"</formula>
    </cfRule>
  </conditionalFormatting>
  <conditionalFormatting sqref="S5:U80 Q5:Q80">
    <cfRule type="expression" dxfId="141" priority="9">
      <formula>MOD(ROW(),2)=0</formula>
    </cfRule>
  </conditionalFormatting>
  <conditionalFormatting sqref="V5:V80">
    <cfRule type="expression" dxfId="140" priority="10">
      <formula>V5="✓ OK"</formula>
    </cfRule>
    <cfRule type="expression" dxfId="139" priority="11">
      <formula>V5="❌ Disc"</formula>
    </cfRule>
    <cfRule type="expression" dxfId="138" priority="12">
      <formula>V5="⚠ Missing"</formula>
    </cfRule>
    <cfRule type="expression" dxfId="137" priority="13">
      <formula>V5="⚠ Check"</formula>
    </cfRule>
  </conditionalFormatting>
  <conditionalFormatting sqref="V5:AW80 M5:M80 A5:F80">
    <cfRule type="expression" dxfId="136" priority="67">
      <formula>MOD(ROW(),2)=0</formula>
    </cfRule>
  </conditionalFormatting>
  <conditionalFormatting sqref="Y5:Y80">
    <cfRule type="expression" dxfId="135" priority="44">
      <formula>Y5="Yes"</formula>
    </cfRule>
    <cfRule type="expression" dxfId="134" priority="45">
      <formula>Y5="No"</formula>
    </cfRule>
  </conditionalFormatting>
  <conditionalFormatting sqref="Z5:Z80">
    <cfRule type="expression" dxfId="133" priority="46">
      <formula>Z5="Yes"</formula>
    </cfRule>
  </conditionalFormatting>
  <conditionalFormatting sqref="AB5:AB80">
    <cfRule type="expression" dxfId="132" priority="48">
      <formula>AB5="No"</formula>
    </cfRule>
    <cfRule type="expression" dxfId="131" priority="47">
      <formula>AB5="Yes"</formula>
    </cfRule>
  </conditionalFormatting>
  <conditionalFormatting sqref="AE5:AE80">
    <cfRule type="expression" dxfId="130" priority="43">
      <formula>AE5="⚠ Check"</formula>
    </cfRule>
    <cfRule type="expression" dxfId="129" priority="41">
      <formula>AE5="❌ Disc"</formula>
    </cfRule>
    <cfRule type="expression" dxfId="128" priority="40">
      <formula>AE5="✓ OK"</formula>
    </cfRule>
    <cfRule type="expression" dxfId="127" priority="42">
      <formula>AE5="⚠ Missing"</formula>
    </cfRule>
  </conditionalFormatting>
  <conditionalFormatting sqref="AH5:AH80">
    <cfRule type="expression" dxfId="126" priority="53">
      <formula>AH5="Yes"</formula>
    </cfRule>
    <cfRule type="expression" dxfId="125" priority="54">
      <formula>AH5="No"</formula>
    </cfRule>
  </conditionalFormatting>
  <conditionalFormatting sqref="AI5:AI80">
    <cfRule type="expression" dxfId="124" priority="55">
      <formula>AI5="Yes"</formula>
    </cfRule>
  </conditionalFormatting>
  <conditionalFormatting sqref="AK5:AK80">
    <cfRule type="expression" dxfId="123" priority="56">
      <formula>AK5="Yes"</formula>
    </cfRule>
    <cfRule type="expression" dxfId="122" priority="57">
      <formula>AK5="No"</formula>
    </cfRule>
  </conditionalFormatting>
  <conditionalFormatting sqref="AN5:AN80">
    <cfRule type="expression" dxfId="121" priority="49">
      <formula>AN5="✓ OK"</formula>
    </cfRule>
    <cfRule type="expression" dxfId="120" priority="50">
      <formula>AN5="❌ Disc"</formula>
    </cfRule>
    <cfRule type="expression" dxfId="119" priority="51">
      <formula>AN5="⚠ Missing"</formula>
    </cfRule>
    <cfRule type="expression" dxfId="118" priority="52">
      <formula>AN5="⚠ Check"</formula>
    </cfRule>
  </conditionalFormatting>
  <conditionalFormatting sqref="AQ5:AQ80">
    <cfRule type="expression" dxfId="117" priority="62">
      <formula>AQ5="Yes"</formula>
    </cfRule>
    <cfRule type="expression" dxfId="116" priority="63">
      <formula>AQ5="No"</formula>
    </cfRule>
  </conditionalFormatting>
  <conditionalFormatting sqref="AR5:AR80">
    <cfRule type="expression" dxfId="115" priority="64">
      <formula>AR5="Yes"</formula>
    </cfRule>
  </conditionalFormatting>
  <conditionalFormatting sqref="AT5:AT80">
    <cfRule type="expression" dxfId="114" priority="65">
      <formula>AT5="Yes"</formula>
    </cfRule>
    <cfRule type="expression" dxfId="113" priority="66">
      <formula>AT5="No"</formula>
    </cfRule>
  </conditionalFormatting>
  <conditionalFormatting sqref="AW5:AW80">
    <cfRule type="expression" dxfId="112" priority="58">
      <formula>AW5="✓ OK"</formula>
    </cfRule>
    <cfRule type="expression" dxfId="111" priority="59">
      <formula>AW5="❌ Disc"</formula>
    </cfRule>
    <cfRule type="expression" dxfId="110" priority="60">
      <formula>AW5="⚠ Missing"</formula>
    </cfRule>
    <cfRule type="expression" dxfId="109" priority="61">
      <formula>AW5="⚠ Check"</formula>
    </cfRule>
  </conditionalFormatting>
  <dataValidations count="4">
    <dataValidation type="list" allowBlank="1" sqref="H5:H80 J5:J80 Q5:Q80 S5:S80 Y5:Z80 AB5:AB80 AH5:AI80 AK5:AK80 AQ5:AR80 AT5:AT80" xr:uid="{00000000-0002-0000-0A00-000000000000}">
      <formula1>"Yes,No"</formula1>
    </dataValidation>
    <dataValidation type="list" allowBlank="1" sqref="AA5:AA80 AJ5:AJ80 AS5:AS80" xr:uid="{00000000-0002-0000-0A00-000001000000}">
      <formula1>"Good finish,Minor defect,Major defect,Discontinued,Not Available"</formula1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80 R5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AD93" activePane="bottomRight" state="frozen"/>
      <selection pane="topRight" activeCell="H13" sqref="H13"/>
      <selection pane="bottomLeft" activeCell="H13" sqref="H13"/>
      <selection pane="bottomRight" activeCell="AD369" sqref="AD369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4600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4601</v>
      </c>
      <c r="C5" s="25" t="s">
        <v>4602</v>
      </c>
      <c r="D5" s="23" t="s">
        <v>4603</v>
      </c>
      <c r="E5" s="42">
        <v>46128</v>
      </c>
      <c r="F5" s="26" t="s">
        <v>55</v>
      </c>
      <c r="G5" s="44" t="s">
        <v>56</v>
      </c>
      <c r="H5" s="26" t="s">
        <v>57</v>
      </c>
      <c r="I5" s="44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42">
        <v>46196</v>
      </c>
      <c r="O5" s="26" t="s">
        <v>55</v>
      </c>
      <c r="P5" s="44" t="s">
        <v>56</v>
      </c>
      <c r="Q5" s="26" t="s">
        <v>57</v>
      </c>
      <c r="R5" s="44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68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4604</v>
      </c>
      <c r="C6" s="41" t="s">
        <v>4605</v>
      </c>
      <c r="D6" s="39" t="s">
        <v>4603</v>
      </c>
      <c r="E6" s="42">
        <v>46128</v>
      </c>
      <c r="F6" s="26" t="s">
        <v>55</v>
      </c>
      <c r="G6" s="44" t="s">
        <v>833</v>
      </c>
      <c r="H6" s="26" t="s">
        <v>57</v>
      </c>
      <c r="I6" s="44" t="s">
        <v>833</v>
      </c>
      <c r="J6" s="26" t="s">
        <v>56</v>
      </c>
      <c r="K6" s="27"/>
      <c r="L6" s="28" t="s">
        <v>57</v>
      </c>
      <c r="M6" s="29" t="str">
        <f t="shared" si="0"/>
        <v>✓ OK</v>
      </c>
      <c r="N6" s="42">
        <v>46196</v>
      </c>
      <c r="O6" s="26" t="s">
        <v>55</v>
      </c>
      <c r="P6" s="44" t="s">
        <v>833</v>
      </c>
      <c r="Q6" s="26" t="s">
        <v>57</v>
      </c>
      <c r="R6" s="44" t="s">
        <v>833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833</v>
      </c>
      <c r="Z6" s="30" t="s">
        <v>57</v>
      </c>
      <c r="AA6" s="30" t="s">
        <v>833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833</v>
      </c>
      <c r="AI6" s="33" t="s">
        <v>57</v>
      </c>
      <c r="AJ6" s="33" t="s">
        <v>833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4606</v>
      </c>
      <c r="C7" s="25" t="s">
        <v>4607</v>
      </c>
      <c r="D7" s="23" t="s">
        <v>4603</v>
      </c>
      <c r="E7" s="42">
        <v>46128</v>
      </c>
      <c r="F7" s="26" t="s">
        <v>55</v>
      </c>
      <c r="G7" s="44" t="s">
        <v>833</v>
      </c>
      <c r="H7" s="26" t="s">
        <v>57</v>
      </c>
      <c r="I7" s="44" t="s">
        <v>833</v>
      </c>
      <c r="J7" s="26" t="s">
        <v>56</v>
      </c>
      <c r="K7" s="27"/>
      <c r="L7" s="28" t="s">
        <v>57</v>
      </c>
      <c r="M7" s="29" t="str">
        <f t="shared" si="0"/>
        <v>✓ OK</v>
      </c>
      <c r="N7" s="42">
        <v>46196</v>
      </c>
      <c r="O7" s="26" t="s">
        <v>55</v>
      </c>
      <c r="P7" s="44" t="s">
        <v>833</v>
      </c>
      <c r="Q7" s="26" t="s">
        <v>57</v>
      </c>
      <c r="R7" s="44" t="s">
        <v>833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833</v>
      </c>
      <c r="Z7" s="30" t="s">
        <v>57</v>
      </c>
      <c r="AA7" s="30" t="s">
        <v>833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833</v>
      </c>
      <c r="AI7" s="33" t="s">
        <v>57</v>
      </c>
      <c r="AJ7" s="33" t="s">
        <v>833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4608</v>
      </c>
      <c r="C8" s="41" t="s">
        <v>4609</v>
      </c>
      <c r="D8" s="39" t="s">
        <v>4603</v>
      </c>
      <c r="E8" s="42">
        <v>46128</v>
      </c>
      <c r="F8" s="26" t="s">
        <v>55</v>
      </c>
      <c r="G8" s="44" t="s">
        <v>56</v>
      </c>
      <c r="H8" s="26" t="s">
        <v>57</v>
      </c>
      <c r="I8" s="44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42">
        <v>46196</v>
      </c>
      <c r="O8" s="26" t="s">
        <v>55</v>
      </c>
      <c r="P8" s="44" t="s">
        <v>56</v>
      </c>
      <c r="Q8" s="26" t="s">
        <v>57</v>
      </c>
      <c r="R8" s="44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4610</v>
      </c>
      <c r="C9" s="25" t="s">
        <v>4611</v>
      </c>
      <c r="D9" s="23" t="s">
        <v>4603</v>
      </c>
      <c r="E9" s="42">
        <v>46128</v>
      </c>
      <c r="F9" s="26" t="s">
        <v>55</v>
      </c>
      <c r="G9" s="44" t="s">
        <v>56</v>
      </c>
      <c r="H9" s="26" t="s">
        <v>57</v>
      </c>
      <c r="I9" s="44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42">
        <v>46196</v>
      </c>
      <c r="O9" s="26" t="s">
        <v>55</v>
      </c>
      <c r="P9" s="44" t="s">
        <v>56</v>
      </c>
      <c r="Q9" s="26" t="s">
        <v>57</v>
      </c>
      <c r="R9" s="44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4612</v>
      </c>
      <c r="C10" s="41" t="s">
        <v>4613</v>
      </c>
      <c r="D10" s="39" t="s">
        <v>4603</v>
      </c>
      <c r="E10" s="42">
        <v>46128</v>
      </c>
      <c r="F10" s="26" t="s">
        <v>55</v>
      </c>
      <c r="G10" s="44" t="s">
        <v>833</v>
      </c>
      <c r="H10" s="26" t="s">
        <v>57</v>
      </c>
      <c r="I10" s="44" t="s">
        <v>833</v>
      </c>
      <c r="J10" s="26" t="s">
        <v>56</v>
      </c>
      <c r="K10" s="27"/>
      <c r="L10" s="28" t="s">
        <v>57</v>
      </c>
      <c r="M10" s="29" t="str">
        <f t="shared" si="0"/>
        <v>✓ OK</v>
      </c>
      <c r="N10" s="42">
        <v>46196</v>
      </c>
      <c r="O10" s="26" t="s">
        <v>55</v>
      </c>
      <c r="P10" s="44" t="s">
        <v>833</v>
      </c>
      <c r="Q10" s="26" t="s">
        <v>57</v>
      </c>
      <c r="R10" s="44" t="s">
        <v>833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833</v>
      </c>
      <c r="Z10" s="30" t="s">
        <v>57</v>
      </c>
      <c r="AA10" s="30" t="s">
        <v>833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833</v>
      </c>
      <c r="AI10" s="33" t="s">
        <v>57</v>
      </c>
      <c r="AJ10" s="33" t="s">
        <v>833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4614</v>
      </c>
      <c r="C11" s="25" t="s">
        <v>4615</v>
      </c>
      <c r="D11" s="23" t="s">
        <v>4603</v>
      </c>
      <c r="E11" s="42">
        <v>46128</v>
      </c>
      <c r="F11" s="26" t="s">
        <v>55</v>
      </c>
      <c r="G11" s="44" t="s">
        <v>833</v>
      </c>
      <c r="H11" s="26" t="s">
        <v>57</v>
      </c>
      <c r="I11" s="44" t="s">
        <v>833</v>
      </c>
      <c r="J11" s="26" t="s">
        <v>56</v>
      </c>
      <c r="K11" s="27"/>
      <c r="L11" s="28" t="s">
        <v>57</v>
      </c>
      <c r="M11" s="29" t="str">
        <f t="shared" si="0"/>
        <v>✓ OK</v>
      </c>
      <c r="N11" s="42">
        <v>46196</v>
      </c>
      <c r="O11" s="26" t="s">
        <v>55</v>
      </c>
      <c r="P11" s="44" t="s">
        <v>833</v>
      </c>
      <c r="Q11" s="26" t="s">
        <v>57</v>
      </c>
      <c r="R11" s="44" t="s">
        <v>833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833</v>
      </c>
      <c r="Z11" s="30" t="s">
        <v>57</v>
      </c>
      <c r="AA11" s="30" t="s">
        <v>833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833</v>
      </c>
      <c r="AI11" s="33" t="s">
        <v>57</v>
      </c>
      <c r="AJ11" s="33" t="s">
        <v>833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4616</v>
      </c>
      <c r="C12" s="41" t="s">
        <v>4617</v>
      </c>
      <c r="D12" s="39" t="s">
        <v>4603</v>
      </c>
      <c r="E12" s="42">
        <v>46128</v>
      </c>
      <c r="F12" s="26" t="s">
        <v>55</v>
      </c>
      <c r="G12" s="44" t="s">
        <v>833</v>
      </c>
      <c r="H12" s="26" t="s">
        <v>57</v>
      </c>
      <c r="I12" s="44" t="s">
        <v>833</v>
      </c>
      <c r="J12" s="26" t="s">
        <v>56</v>
      </c>
      <c r="K12" s="27"/>
      <c r="L12" s="28" t="s">
        <v>57</v>
      </c>
      <c r="M12" s="29" t="str">
        <f t="shared" si="0"/>
        <v>✓ OK</v>
      </c>
      <c r="N12" s="42">
        <v>46196</v>
      </c>
      <c r="O12" s="26" t="s">
        <v>55</v>
      </c>
      <c r="P12" s="44" t="s">
        <v>833</v>
      </c>
      <c r="Q12" s="26" t="s">
        <v>57</v>
      </c>
      <c r="R12" s="44" t="s">
        <v>833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833</v>
      </c>
      <c r="Z12" s="30" t="s">
        <v>57</v>
      </c>
      <c r="AA12" s="30" t="s">
        <v>833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833</v>
      </c>
      <c r="AI12" s="33" t="s">
        <v>57</v>
      </c>
      <c r="AJ12" s="33" t="s">
        <v>833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4618</v>
      </c>
      <c r="C13" s="25" t="s">
        <v>4619</v>
      </c>
      <c r="D13" s="23" t="s">
        <v>4603</v>
      </c>
      <c r="E13" s="42">
        <v>46128</v>
      </c>
      <c r="F13" s="26" t="s">
        <v>55</v>
      </c>
      <c r="G13" s="44" t="s">
        <v>833</v>
      </c>
      <c r="H13" s="26" t="s">
        <v>57</v>
      </c>
      <c r="I13" s="44" t="s">
        <v>833</v>
      </c>
      <c r="J13" s="26" t="s">
        <v>56</v>
      </c>
      <c r="K13" s="27"/>
      <c r="L13" s="28" t="s">
        <v>57</v>
      </c>
      <c r="M13" s="29" t="str">
        <f t="shared" si="0"/>
        <v>✓ OK</v>
      </c>
      <c r="N13" s="42">
        <v>46196</v>
      </c>
      <c r="O13" s="26" t="s">
        <v>55</v>
      </c>
      <c r="P13" s="44" t="s">
        <v>833</v>
      </c>
      <c r="Q13" s="26" t="s">
        <v>57</v>
      </c>
      <c r="R13" s="44" t="s">
        <v>833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833</v>
      </c>
      <c r="Z13" s="30" t="s">
        <v>57</v>
      </c>
      <c r="AA13" s="30" t="s">
        <v>833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833</v>
      </c>
      <c r="AI13" s="33" t="s">
        <v>57</v>
      </c>
      <c r="AJ13" s="33" t="s">
        <v>833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4620</v>
      </c>
      <c r="C14" s="41" t="s">
        <v>4621</v>
      </c>
      <c r="D14" s="39" t="s">
        <v>4603</v>
      </c>
      <c r="E14" s="42">
        <v>46128</v>
      </c>
      <c r="F14" s="26" t="s">
        <v>55</v>
      </c>
      <c r="G14" s="44" t="s">
        <v>833</v>
      </c>
      <c r="H14" s="26" t="s">
        <v>57</v>
      </c>
      <c r="I14" s="44" t="s">
        <v>833</v>
      </c>
      <c r="J14" s="26" t="s">
        <v>56</v>
      </c>
      <c r="K14" s="27"/>
      <c r="L14" s="28" t="s">
        <v>57</v>
      </c>
      <c r="M14" s="29" t="str">
        <f t="shared" si="0"/>
        <v>✓ OK</v>
      </c>
      <c r="N14" s="42">
        <v>46196</v>
      </c>
      <c r="O14" s="26" t="s">
        <v>55</v>
      </c>
      <c r="P14" s="44" t="s">
        <v>833</v>
      </c>
      <c r="Q14" s="26" t="s">
        <v>57</v>
      </c>
      <c r="R14" s="44" t="s">
        <v>833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833</v>
      </c>
      <c r="Z14" s="30" t="s">
        <v>57</v>
      </c>
      <c r="AA14" s="30" t="s">
        <v>833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833</v>
      </c>
      <c r="AI14" s="33" t="s">
        <v>57</v>
      </c>
      <c r="AJ14" s="33" t="s">
        <v>833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4622</v>
      </c>
      <c r="C15" s="25" t="s">
        <v>4623</v>
      </c>
      <c r="D15" s="23" t="s">
        <v>4603</v>
      </c>
      <c r="E15" s="42">
        <v>46128</v>
      </c>
      <c r="F15" s="26" t="s">
        <v>55</v>
      </c>
      <c r="G15" s="44" t="s">
        <v>833</v>
      </c>
      <c r="H15" s="26" t="s">
        <v>57</v>
      </c>
      <c r="I15" s="44" t="s">
        <v>833</v>
      </c>
      <c r="J15" s="26" t="s">
        <v>56</v>
      </c>
      <c r="K15" s="27"/>
      <c r="L15" s="28" t="s">
        <v>57</v>
      </c>
      <c r="M15" s="29" t="str">
        <f t="shared" si="0"/>
        <v>✓ OK</v>
      </c>
      <c r="N15" s="42">
        <v>46196</v>
      </c>
      <c r="O15" s="26" t="s">
        <v>55</v>
      </c>
      <c r="P15" s="44" t="s">
        <v>833</v>
      </c>
      <c r="Q15" s="26" t="s">
        <v>57</v>
      </c>
      <c r="R15" s="44" t="s">
        <v>833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833</v>
      </c>
      <c r="Z15" s="30" t="s">
        <v>57</v>
      </c>
      <c r="AA15" s="30" t="s">
        <v>833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833</v>
      </c>
      <c r="AI15" s="33" t="s">
        <v>57</v>
      </c>
      <c r="AJ15" s="33" t="s">
        <v>833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4624</v>
      </c>
      <c r="C16" s="41" t="s">
        <v>4625</v>
      </c>
      <c r="D16" s="39" t="s">
        <v>4603</v>
      </c>
      <c r="E16" s="42">
        <v>46128</v>
      </c>
      <c r="F16" s="26" t="s">
        <v>55</v>
      </c>
      <c r="G16" s="44" t="s">
        <v>833</v>
      </c>
      <c r="H16" s="26" t="s">
        <v>57</v>
      </c>
      <c r="I16" s="44" t="s">
        <v>833</v>
      </c>
      <c r="J16" s="26" t="s">
        <v>56</v>
      </c>
      <c r="K16" s="27"/>
      <c r="L16" s="28" t="s">
        <v>57</v>
      </c>
      <c r="M16" s="29" t="str">
        <f t="shared" si="0"/>
        <v>✓ OK</v>
      </c>
      <c r="N16" s="42">
        <v>46196</v>
      </c>
      <c r="O16" s="26" t="s">
        <v>55</v>
      </c>
      <c r="P16" s="44" t="s">
        <v>833</v>
      </c>
      <c r="Q16" s="26" t="s">
        <v>57</v>
      </c>
      <c r="R16" s="44" t="s">
        <v>833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833</v>
      </c>
      <c r="Z16" s="30" t="s">
        <v>57</v>
      </c>
      <c r="AA16" s="30" t="s">
        <v>833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833</v>
      </c>
      <c r="AI16" s="33" t="s">
        <v>57</v>
      </c>
      <c r="AJ16" s="33" t="s">
        <v>833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4626</v>
      </c>
      <c r="C17" s="25" t="s">
        <v>4627</v>
      </c>
      <c r="D17" s="23" t="s">
        <v>4603</v>
      </c>
      <c r="E17" s="42">
        <v>46128</v>
      </c>
      <c r="F17" s="26" t="s">
        <v>55</v>
      </c>
      <c r="G17" s="44" t="s">
        <v>833</v>
      </c>
      <c r="H17" s="26" t="s">
        <v>57</v>
      </c>
      <c r="I17" s="44" t="s">
        <v>833</v>
      </c>
      <c r="J17" s="26" t="s">
        <v>56</v>
      </c>
      <c r="K17" s="27"/>
      <c r="L17" s="28" t="s">
        <v>57</v>
      </c>
      <c r="M17" s="29" t="str">
        <f t="shared" si="0"/>
        <v>✓ OK</v>
      </c>
      <c r="N17" s="42">
        <v>46196</v>
      </c>
      <c r="O17" s="26" t="s">
        <v>55</v>
      </c>
      <c r="P17" s="44" t="s">
        <v>833</v>
      </c>
      <c r="Q17" s="26" t="s">
        <v>57</v>
      </c>
      <c r="R17" s="44" t="s">
        <v>833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833</v>
      </c>
      <c r="Z17" s="30" t="s">
        <v>57</v>
      </c>
      <c r="AA17" s="30" t="s">
        <v>833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833</v>
      </c>
      <c r="AI17" s="33" t="s">
        <v>57</v>
      </c>
      <c r="AJ17" s="33" t="s">
        <v>833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4628</v>
      </c>
      <c r="C18" s="41" t="s">
        <v>4629</v>
      </c>
      <c r="D18" s="39" t="s">
        <v>4603</v>
      </c>
      <c r="E18" s="42">
        <v>46128</v>
      </c>
      <c r="F18" s="26" t="s">
        <v>55</v>
      </c>
      <c r="G18" s="44" t="s">
        <v>833</v>
      </c>
      <c r="H18" s="26" t="s">
        <v>57</v>
      </c>
      <c r="I18" s="44" t="s">
        <v>833</v>
      </c>
      <c r="J18" s="26" t="s">
        <v>56</v>
      </c>
      <c r="K18" s="27"/>
      <c r="L18" s="28" t="s">
        <v>57</v>
      </c>
      <c r="M18" s="29" t="str">
        <f t="shared" si="0"/>
        <v>✓ OK</v>
      </c>
      <c r="N18" s="42">
        <v>46196</v>
      </c>
      <c r="O18" s="26" t="s">
        <v>55</v>
      </c>
      <c r="P18" s="44" t="s">
        <v>833</v>
      </c>
      <c r="Q18" s="26" t="s">
        <v>57</v>
      </c>
      <c r="R18" s="44" t="s">
        <v>833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833</v>
      </c>
      <c r="Z18" s="30" t="s">
        <v>57</v>
      </c>
      <c r="AA18" s="30" t="s">
        <v>833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833</v>
      </c>
      <c r="AI18" s="33" t="s">
        <v>57</v>
      </c>
      <c r="AJ18" s="33" t="s">
        <v>833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4630</v>
      </c>
      <c r="C19" s="25" t="s">
        <v>4631</v>
      </c>
      <c r="D19" s="23" t="s">
        <v>4603</v>
      </c>
      <c r="E19" s="42">
        <v>46128</v>
      </c>
      <c r="F19" s="26" t="s">
        <v>55</v>
      </c>
      <c r="G19" s="44" t="s">
        <v>56</v>
      </c>
      <c r="H19" s="26" t="s">
        <v>57</v>
      </c>
      <c r="I19" s="44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42">
        <v>46196</v>
      </c>
      <c r="O19" s="26" t="s">
        <v>55</v>
      </c>
      <c r="P19" s="44" t="s">
        <v>56</v>
      </c>
      <c r="Q19" s="26" t="s">
        <v>57</v>
      </c>
      <c r="R19" s="44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4632</v>
      </c>
      <c r="C20" s="41" t="s">
        <v>4633</v>
      </c>
      <c r="D20" s="39" t="s">
        <v>4603</v>
      </c>
      <c r="E20" s="42">
        <v>46128</v>
      </c>
      <c r="F20" s="26" t="s">
        <v>55</v>
      </c>
      <c r="G20" s="44" t="s">
        <v>833</v>
      </c>
      <c r="H20" s="26" t="s">
        <v>57</v>
      </c>
      <c r="I20" s="44" t="s">
        <v>833</v>
      </c>
      <c r="J20" s="26" t="s">
        <v>56</v>
      </c>
      <c r="K20" s="27"/>
      <c r="L20" s="28" t="s">
        <v>57</v>
      </c>
      <c r="M20" s="29" t="str">
        <f t="shared" si="0"/>
        <v>✓ OK</v>
      </c>
      <c r="N20" s="42">
        <v>46196</v>
      </c>
      <c r="O20" s="26" t="s">
        <v>55</v>
      </c>
      <c r="P20" s="44" t="s">
        <v>833</v>
      </c>
      <c r="Q20" s="26" t="s">
        <v>57</v>
      </c>
      <c r="R20" s="44" t="s">
        <v>833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833</v>
      </c>
      <c r="Z20" s="30" t="s">
        <v>57</v>
      </c>
      <c r="AA20" s="30" t="s">
        <v>833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833</v>
      </c>
      <c r="AI20" s="33" t="s">
        <v>57</v>
      </c>
      <c r="AJ20" s="33" t="s">
        <v>833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4634</v>
      </c>
      <c r="C21" s="25" t="s">
        <v>4635</v>
      </c>
      <c r="D21" s="23" t="s">
        <v>4603</v>
      </c>
      <c r="E21" s="42">
        <v>46128</v>
      </c>
      <c r="F21" s="26" t="s">
        <v>55</v>
      </c>
      <c r="G21" s="44" t="s">
        <v>833</v>
      </c>
      <c r="H21" s="26" t="s">
        <v>57</v>
      </c>
      <c r="I21" s="44" t="s">
        <v>833</v>
      </c>
      <c r="J21" s="26" t="s">
        <v>56</v>
      </c>
      <c r="K21" s="27"/>
      <c r="L21" s="28" t="s">
        <v>57</v>
      </c>
      <c r="M21" s="29" t="str">
        <f t="shared" si="0"/>
        <v>✓ OK</v>
      </c>
      <c r="N21" s="42">
        <v>46196</v>
      </c>
      <c r="O21" s="26" t="s">
        <v>55</v>
      </c>
      <c r="P21" s="44" t="s">
        <v>833</v>
      </c>
      <c r="Q21" s="26" t="s">
        <v>57</v>
      </c>
      <c r="R21" s="44" t="s">
        <v>833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833</v>
      </c>
      <c r="Z21" s="30" t="s">
        <v>57</v>
      </c>
      <c r="AA21" s="30" t="s">
        <v>833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833</v>
      </c>
      <c r="AI21" s="33" t="s">
        <v>57</v>
      </c>
      <c r="AJ21" s="33" t="s">
        <v>833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4636</v>
      </c>
      <c r="C22" s="41" t="s">
        <v>4637</v>
      </c>
      <c r="D22" s="39" t="s">
        <v>4603</v>
      </c>
      <c r="E22" s="42">
        <v>46128</v>
      </c>
      <c r="F22" s="26" t="s">
        <v>55</v>
      </c>
      <c r="G22" s="44" t="s">
        <v>833</v>
      </c>
      <c r="H22" s="26" t="s">
        <v>57</v>
      </c>
      <c r="I22" s="44" t="s">
        <v>833</v>
      </c>
      <c r="J22" s="26" t="s">
        <v>56</v>
      </c>
      <c r="K22" s="27"/>
      <c r="L22" s="28" t="s">
        <v>57</v>
      </c>
      <c r="M22" s="29" t="str">
        <f t="shared" si="0"/>
        <v>✓ OK</v>
      </c>
      <c r="N22" s="42">
        <v>46196</v>
      </c>
      <c r="O22" s="26" t="s">
        <v>55</v>
      </c>
      <c r="P22" s="44" t="s">
        <v>833</v>
      </c>
      <c r="Q22" s="26" t="s">
        <v>57</v>
      </c>
      <c r="R22" s="44" t="s">
        <v>833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833</v>
      </c>
      <c r="Z22" s="30" t="s">
        <v>57</v>
      </c>
      <c r="AA22" s="30" t="s">
        <v>833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833</v>
      </c>
      <c r="AI22" s="33" t="s">
        <v>57</v>
      </c>
      <c r="AJ22" s="33" t="s">
        <v>833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4638</v>
      </c>
      <c r="C23" s="25" t="s">
        <v>4639</v>
      </c>
      <c r="D23" s="23" t="s">
        <v>4603</v>
      </c>
      <c r="E23" s="42">
        <v>46128</v>
      </c>
      <c r="F23" s="26" t="s">
        <v>55</v>
      </c>
      <c r="G23" s="44" t="s">
        <v>833</v>
      </c>
      <c r="H23" s="26" t="s">
        <v>57</v>
      </c>
      <c r="I23" s="44" t="s">
        <v>833</v>
      </c>
      <c r="J23" s="26" t="s">
        <v>56</v>
      </c>
      <c r="K23" s="27"/>
      <c r="L23" s="28" t="s">
        <v>57</v>
      </c>
      <c r="M23" s="29" t="str">
        <f t="shared" si="0"/>
        <v>✓ OK</v>
      </c>
      <c r="N23" s="42">
        <v>46196</v>
      </c>
      <c r="O23" s="26" t="s">
        <v>55</v>
      </c>
      <c r="P23" s="44" t="s">
        <v>833</v>
      </c>
      <c r="Q23" s="26" t="s">
        <v>57</v>
      </c>
      <c r="R23" s="44" t="s">
        <v>833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833</v>
      </c>
      <c r="Z23" s="30" t="s">
        <v>57</v>
      </c>
      <c r="AA23" s="30" t="s">
        <v>833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833</v>
      </c>
      <c r="AI23" s="33" t="s">
        <v>57</v>
      </c>
      <c r="AJ23" s="33" t="s">
        <v>833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4640</v>
      </c>
      <c r="C24" s="41" t="s">
        <v>4641</v>
      </c>
      <c r="D24" s="39" t="s">
        <v>4603</v>
      </c>
      <c r="E24" s="42">
        <v>46128</v>
      </c>
      <c r="F24" s="26" t="s">
        <v>55</v>
      </c>
      <c r="G24" s="44" t="s">
        <v>833</v>
      </c>
      <c r="H24" s="26" t="s">
        <v>57</v>
      </c>
      <c r="I24" s="44" t="s">
        <v>833</v>
      </c>
      <c r="J24" s="26" t="s">
        <v>56</v>
      </c>
      <c r="K24" s="27"/>
      <c r="L24" s="28" t="s">
        <v>57</v>
      </c>
      <c r="M24" s="29" t="str">
        <f t="shared" si="0"/>
        <v>✓ OK</v>
      </c>
      <c r="N24" s="42">
        <v>46196</v>
      </c>
      <c r="O24" s="26" t="s">
        <v>55</v>
      </c>
      <c r="P24" s="44" t="s">
        <v>833</v>
      </c>
      <c r="Q24" s="26" t="s">
        <v>57</v>
      </c>
      <c r="R24" s="44" t="s">
        <v>833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833</v>
      </c>
      <c r="Z24" s="30" t="s">
        <v>57</v>
      </c>
      <c r="AA24" s="30" t="s">
        <v>833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833</v>
      </c>
      <c r="AI24" s="33" t="s">
        <v>57</v>
      </c>
      <c r="AJ24" s="33" t="s">
        <v>833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4642</v>
      </c>
      <c r="C25" s="25" t="s">
        <v>4643</v>
      </c>
      <c r="D25" s="23" t="s">
        <v>4603</v>
      </c>
      <c r="E25" s="42">
        <v>46128</v>
      </c>
      <c r="F25" s="26" t="s">
        <v>55</v>
      </c>
      <c r="G25" s="44" t="s">
        <v>833</v>
      </c>
      <c r="H25" s="26" t="s">
        <v>57</v>
      </c>
      <c r="I25" s="44" t="s">
        <v>833</v>
      </c>
      <c r="J25" s="26" t="s">
        <v>56</v>
      </c>
      <c r="K25" s="27"/>
      <c r="L25" s="28" t="s">
        <v>57</v>
      </c>
      <c r="M25" s="29" t="str">
        <f t="shared" si="0"/>
        <v>✓ OK</v>
      </c>
      <c r="N25" s="42">
        <v>46196</v>
      </c>
      <c r="O25" s="26" t="s">
        <v>55</v>
      </c>
      <c r="P25" s="44" t="s">
        <v>833</v>
      </c>
      <c r="Q25" s="26" t="s">
        <v>57</v>
      </c>
      <c r="R25" s="44" t="s">
        <v>833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833</v>
      </c>
      <c r="Z25" s="30" t="s">
        <v>57</v>
      </c>
      <c r="AA25" s="30" t="s">
        <v>833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833</v>
      </c>
      <c r="AI25" s="33" t="s">
        <v>57</v>
      </c>
      <c r="AJ25" s="33" t="s">
        <v>833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4644</v>
      </c>
      <c r="C26" s="41" t="s">
        <v>4645</v>
      </c>
      <c r="D26" s="39" t="s">
        <v>4603</v>
      </c>
      <c r="E26" s="42">
        <v>46128</v>
      </c>
      <c r="F26" s="26" t="s">
        <v>55</v>
      </c>
      <c r="G26" s="44" t="s">
        <v>833</v>
      </c>
      <c r="H26" s="26" t="s">
        <v>57</v>
      </c>
      <c r="I26" s="44" t="s">
        <v>833</v>
      </c>
      <c r="J26" s="26" t="s">
        <v>56</v>
      </c>
      <c r="K26" s="27"/>
      <c r="L26" s="28" t="s">
        <v>57</v>
      </c>
      <c r="M26" s="29" t="str">
        <f t="shared" si="0"/>
        <v>✓ OK</v>
      </c>
      <c r="N26" s="42">
        <v>46196</v>
      </c>
      <c r="O26" s="26" t="s">
        <v>55</v>
      </c>
      <c r="P26" s="44" t="s">
        <v>833</v>
      </c>
      <c r="Q26" s="26" t="s">
        <v>57</v>
      </c>
      <c r="R26" s="44" t="s">
        <v>833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833</v>
      </c>
      <c r="Z26" s="30" t="s">
        <v>57</v>
      </c>
      <c r="AA26" s="30" t="s">
        <v>833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833</v>
      </c>
      <c r="AI26" s="33" t="s">
        <v>57</v>
      </c>
      <c r="AJ26" s="33" t="s">
        <v>833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4646</v>
      </c>
      <c r="C27" s="25" t="s">
        <v>4647</v>
      </c>
      <c r="D27" s="23" t="s">
        <v>4603</v>
      </c>
      <c r="E27" s="42">
        <v>46128</v>
      </c>
      <c r="F27" s="26" t="s">
        <v>55</v>
      </c>
      <c r="G27" s="44" t="s">
        <v>833</v>
      </c>
      <c r="H27" s="26" t="s">
        <v>57</v>
      </c>
      <c r="I27" s="44" t="s">
        <v>833</v>
      </c>
      <c r="J27" s="26" t="s">
        <v>56</v>
      </c>
      <c r="K27" s="27"/>
      <c r="L27" s="28" t="s">
        <v>57</v>
      </c>
      <c r="M27" s="29" t="str">
        <f t="shared" si="0"/>
        <v>✓ OK</v>
      </c>
      <c r="N27" s="42">
        <v>46196</v>
      </c>
      <c r="O27" s="26" t="s">
        <v>55</v>
      </c>
      <c r="P27" s="44" t="s">
        <v>833</v>
      </c>
      <c r="Q27" s="26" t="s">
        <v>57</v>
      </c>
      <c r="R27" s="44" t="s">
        <v>833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833</v>
      </c>
      <c r="Z27" s="30" t="s">
        <v>57</v>
      </c>
      <c r="AA27" s="30" t="s">
        <v>833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833</v>
      </c>
      <c r="AI27" s="33" t="s">
        <v>57</v>
      </c>
      <c r="AJ27" s="33" t="s">
        <v>833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4648</v>
      </c>
      <c r="C28" s="41" t="s">
        <v>4649</v>
      </c>
      <c r="D28" s="39" t="s">
        <v>4603</v>
      </c>
      <c r="E28" s="42">
        <v>46128</v>
      </c>
      <c r="F28" s="26" t="s">
        <v>55</v>
      </c>
      <c r="G28" s="44" t="s">
        <v>833</v>
      </c>
      <c r="H28" s="26" t="s">
        <v>57</v>
      </c>
      <c r="I28" s="44" t="s">
        <v>833</v>
      </c>
      <c r="J28" s="26" t="s">
        <v>56</v>
      </c>
      <c r="K28" s="27"/>
      <c r="L28" s="28" t="s">
        <v>57</v>
      </c>
      <c r="M28" s="29" t="str">
        <f t="shared" si="0"/>
        <v>✓ OK</v>
      </c>
      <c r="N28" s="42">
        <v>46196</v>
      </c>
      <c r="O28" s="26" t="s">
        <v>55</v>
      </c>
      <c r="P28" s="44" t="s">
        <v>833</v>
      </c>
      <c r="Q28" s="26" t="s">
        <v>57</v>
      </c>
      <c r="R28" s="44" t="s">
        <v>833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833</v>
      </c>
      <c r="Z28" s="30" t="s">
        <v>57</v>
      </c>
      <c r="AA28" s="30" t="s">
        <v>833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833</v>
      </c>
      <c r="AI28" s="33" t="s">
        <v>57</v>
      </c>
      <c r="AJ28" s="33" t="s">
        <v>833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4650</v>
      </c>
      <c r="C29" s="25" t="s">
        <v>4651</v>
      </c>
      <c r="D29" s="23" t="s">
        <v>4603</v>
      </c>
      <c r="E29" s="42">
        <v>46128</v>
      </c>
      <c r="F29" s="26" t="s">
        <v>55</v>
      </c>
      <c r="G29" s="44" t="s">
        <v>833</v>
      </c>
      <c r="H29" s="26" t="s">
        <v>57</v>
      </c>
      <c r="I29" s="44" t="s">
        <v>833</v>
      </c>
      <c r="J29" s="26" t="s">
        <v>56</v>
      </c>
      <c r="K29" s="27"/>
      <c r="L29" s="28" t="s">
        <v>57</v>
      </c>
      <c r="M29" s="29" t="str">
        <f t="shared" si="0"/>
        <v>✓ OK</v>
      </c>
      <c r="N29" s="42">
        <v>46196</v>
      </c>
      <c r="O29" s="26" t="s">
        <v>55</v>
      </c>
      <c r="P29" s="44" t="s">
        <v>833</v>
      </c>
      <c r="Q29" s="26" t="s">
        <v>57</v>
      </c>
      <c r="R29" s="44" t="s">
        <v>833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833</v>
      </c>
      <c r="Z29" s="30" t="s">
        <v>57</v>
      </c>
      <c r="AA29" s="30" t="s">
        <v>833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833</v>
      </c>
      <c r="AI29" s="33" t="s">
        <v>57</v>
      </c>
      <c r="AJ29" s="33" t="s">
        <v>833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4652</v>
      </c>
      <c r="C30" s="41" t="s">
        <v>4653</v>
      </c>
      <c r="D30" s="39" t="s">
        <v>4603</v>
      </c>
      <c r="E30" s="42">
        <v>46128</v>
      </c>
      <c r="F30" s="26" t="s">
        <v>55</v>
      </c>
      <c r="G30" s="44" t="s">
        <v>56</v>
      </c>
      <c r="H30" s="26" t="s">
        <v>57</v>
      </c>
      <c r="I30" s="44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42">
        <v>46196</v>
      </c>
      <c r="O30" s="26" t="s">
        <v>55</v>
      </c>
      <c r="P30" s="44" t="s">
        <v>56</v>
      </c>
      <c r="Q30" s="26" t="s">
        <v>57</v>
      </c>
      <c r="R30" s="44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4654</v>
      </c>
      <c r="C31" s="25" t="s">
        <v>4655</v>
      </c>
      <c r="D31" s="23" t="s">
        <v>4603</v>
      </c>
      <c r="E31" s="42">
        <v>46128</v>
      </c>
      <c r="F31" s="26" t="s">
        <v>55</v>
      </c>
      <c r="G31" s="44" t="s">
        <v>833</v>
      </c>
      <c r="H31" s="26" t="s">
        <v>57</v>
      </c>
      <c r="I31" s="44" t="s">
        <v>833</v>
      </c>
      <c r="J31" s="26" t="s">
        <v>56</v>
      </c>
      <c r="K31" s="27"/>
      <c r="L31" s="28" t="s">
        <v>57</v>
      </c>
      <c r="M31" s="29" t="str">
        <f t="shared" si="0"/>
        <v>✓ OK</v>
      </c>
      <c r="N31" s="42">
        <v>46196</v>
      </c>
      <c r="O31" s="26" t="s">
        <v>55</v>
      </c>
      <c r="P31" s="44" t="s">
        <v>833</v>
      </c>
      <c r="Q31" s="26" t="s">
        <v>57</v>
      </c>
      <c r="R31" s="44" t="s">
        <v>833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833</v>
      </c>
      <c r="Z31" s="30" t="s">
        <v>57</v>
      </c>
      <c r="AA31" s="30" t="s">
        <v>833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833</v>
      </c>
      <c r="AI31" s="33" t="s">
        <v>57</v>
      </c>
      <c r="AJ31" s="33" t="s">
        <v>833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4656</v>
      </c>
      <c r="C32" s="41" t="s">
        <v>4657</v>
      </c>
      <c r="D32" s="39" t="s">
        <v>4603</v>
      </c>
      <c r="E32" s="42">
        <v>46128</v>
      </c>
      <c r="F32" s="26" t="s">
        <v>55</v>
      </c>
      <c r="G32" s="44" t="s">
        <v>833</v>
      </c>
      <c r="H32" s="26" t="s">
        <v>57</v>
      </c>
      <c r="I32" s="44" t="s">
        <v>833</v>
      </c>
      <c r="J32" s="26" t="s">
        <v>56</v>
      </c>
      <c r="K32" s="27"/>
      <c r="L32" s="28" t="s">
        <v>57</v>
      </c>
      <c r="M32" s="29" t="str">
        <f t="shared" si="0"/>
        <v>✓ OK</v>
      </c>
      <c r="N32" s="42">
        <v>46196</v>
      </c>
      <c r="O32" s="26" t="s">
        <v>55</v>
      </c>
      <c r="P32" s="44" t="s">
        <v>833</v>
      </c>
      <c r="Q32" s="26" t="s">
        <v>57</v>
      </c>
      <c r="R32" s="44" t="s">
        <v>833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833</v>
      </c>
      <c r="Z32" s="30" t="s">
        <v>57</v>
      </c>
      <c r="AA32" s="30" t="s">
        <v>833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833</v>
      </c>
      <c r="AI32" s="33" t="s">
        <v>57</v>
      </c>
      <c r="AJ32" s="33" t="s">
        <v>833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4658</v>
      </c>
      <c r="C33" s="25" t="s">
        <v>4659</v>
      </c>
      <c r="D33" s="23" t="s">
        <v>4603</v>
      </c>
      <c r="E33" s="42">
        <v>46128</v>
      </c>
      <c r="F33" s="26" t="s">
        <v>55</v>
      </c>
      <c r="G33" s="44" t="s">
        <v>833</v>
      </c>
      <c r="H33" s="26" t="s">
        <v>57</v>
      </c>
      <c r="I33" s="44" t="s">
        <v>833</v>
      </c>
      <c r="J33" s="26" t="s">
        <v>56</v>
      </c>
      <c r="K33" s="27"/>
      <c r="L33" s="28" t="s">
        <v>57</v>
      </c>
      <c r="M33" s="29" t="str">
        <f t="shared" si="0"/>
        <v>✓ OK</v>
      </c>
      <c r="N33" s="42">
        <v>46196</v>
      </c>
      <c r="O33" s="26" t="s">
        <v>55</v>
      </c>
      <c r="P33" s="44" t="s">
        <v>833</v>
      </c>
      <c r="Q33" s="26" t="s">
        <v>57</v>
      </c>
      <c r="R33" s="44" t="s">
        <v>833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833</v>
      </c>
      <c r="Z33" s="30" t="s">
        <v>57</v>
      </c>
      <c r="AA33" s="30" t="s">
        <v>833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833</v>
      </c>
      <c r="AI33" s="33" t="s">
        <v>57</v>
      </c>
      <c r="AJ33" s="33" t="s">
        <v>833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4660</v>
      </c>
      <c r="C34" s="41" t="s">
        <v>4661</v>
      </c>
      <c r="D34" s="39" t="s">
        <v>4603</v>
      </c>
      <c r="E34" s="42">
        <v>46128</v>
      </c>
      <c r="F34" s="26" t="s">
        <v>55</v>
      </c>
      <c r="G34" s="44" t="s">
        <v>833</v>
      </c>
      <c r="H34" s="26" t="s">
        <v>57</v>
      </c>
      <c r="I34" s="44" t="s">
        <v>833</v>
      </c>
      <c r="J34" s="26" t="s">
        <v>56</v>
      </c>
      <c r="K34" s="27"/>
      <c r="L34" s="28" t="s">
        <v>57</v>
      </c>
      <c r="M34" s="29" t="str">
        <f t="shared" si="0"/>
        <v>✓ OK</v>
      </c>
      <c r="N34" s="42">
        <v>46196</v>
      </c>
      <c r="O34" s="26" t="s">
        <v>55</v>
      </c>
      <c r="P34" s="44" t="s">
        <v>833</v>
      </c>
      <c r="Q34" s="26" t="s">
        <v>57</v>
      </c>
      <c r="R34" s="44" t="s">
        <v>833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833</v>
      </c>
      <c r="Z34" s="30" t="s">
        <v>57</v>
      </c>
      <c r="AA34" s="30" t="s">
        <v>833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833</v>
      </c>
      <c r="AI34" s="33" t="s">
        <v>57</v>
      </c>
      <c r="AJ34" s="33" t="s">
        <v>833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4662</v>
      </c>
      <c r="C35" s="25" t="s">
        <v>4663</v>
      </c>
      <c r="D35" s="23" t="s">
        <v>4603</v>
      </c>
      <c r="E35" s="42">
        <v>46128</v>
      </c>
      <c r="F35" s="26" t="s">
        <v>55</v>
      </c>
      <c r="G35" s="44" t="s">
        <v>833</v>
      </c>
      <c r="H35" s="26" t="s">
        <v>57</v>
      </c>
      <c r="I35" s="44" t="s">
        <v>833</v>
      </c>
      <c r="J35" s="26" t="s">
        <v>56</v>
      </c>
      <c r="K35" s="27"/>
      <c r="L35" s="28" t="s">
        <v>57</v>
      </c>
      <c r="M35" s="29" t="str">
        <f t="shared" si="0"/>
        <v>✓ OK</v>
      </c>
      <c r="N35" s="42">
        <v>46196</v>
      </c>
      <c r="O35" s="26" t="s">
        <v>55</v>
      </c>
      <c r="P35" s="44" t="s">
        <v>833</v>
      </c>
      <c r="Q35" s="26" t="s">
        <v>57</v>
      </c>
      <c r="R35" s="44" t="s">
        <v>833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833</v>
      </c>
      <c r="Z35" s="30" t="s">
        <v>57</v>
      </c>
      <c r="AA35" s="30" t="s">
        <v>833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833</v>
      </c>
      <c r="AI35" s="33" t="s">
        <v>57</v>
      </c>
      <c r="AJ35" s="33" t="s">
        <v>833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4664</v>
      </c>
      <c r="C36" s="41" t="s">
        <v>4665</v>
      </c>
      <c r="D36" s="39" t="s">
        <v>4603</v>
      </c>
      <c r="E36" s="42">
        <v>46128</v>
      </c>
      <c r="F36" s="26" t="s">
        <v>55</v>
      </c>
      <c r="G36" s="44" t="s">
        <v>833</v>
      </c>
      <c r="H36" s="26" t="s">
        <v>57</v>
      </c>
      <c r="I36" s="44" t="s">
        <v>833</v>
      </c>
      <c r="J36" s="26" t="s">
        <v>56</v>
      </c>
      <c r="K36" s="27"/>
      <c r="L36" s="28" t="s">
        <v>57</v>
      </c>
      <c r="M36" s="29" t="str">
        <f t="shared" si="0"/>
        <v>✓ OK</v>
      </c>
      <c r="N36" s="42">
        <v>46196</v>
      </c>
      <c r="O36" s="26" t="s">
        <v>55</v>
      </c>
      <c r="P36" s="44" t="s">
        <v>833</v>
      </c>
      <c r="Q36" s="26" t="s">
        <v>57</v>
      </c>
      <c r="R36" s="44" t="s">
        <v>833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833</v>
      </c>
      <c r="Z36" s="30" t="s">
        <v>57</v>
      </c>
      <c r="AA36" s="30" t="s">
        <v>833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833</v>
      </c>
      <c r="AI36" s="33" t="s">
        <v>57</v>
      </c>
      <c r="AJ36" s="33" t="s">
        <v>833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4666</v>
      </c>
      <c r="C37" s="25" t="s">
        <v>4667</v>
      </c>
      <c r="D37" s="23" t="s">
        <v>4603</v>
      </c>
      <c r="E37" s="42">
        <v>46128</v>
      </c>
      <c r="F37" s="26" t="s">
        <v>55</v>
      </c>
      <c r="G37" s="44" t="s">
        <v>833</v>
      </c>
      <c r="H37" s="26" t="s">
        <v>57</v>
      </c>
      <c r="I37" s="44" t="s">
        <v>833</v>
      </c>
      <c r="J37" s="26" t="s">
        <v>56</v>
      </c>
      <c r="K37" s="27"/>
      <c r="L37" s="28" t="s">
        <v>57</v>
      </c>
      <c r="M37" s="29" t="str">
        <f t="shared" si="0"/>
        <v>✓ OK</v>
      </c>
      <c r="N37" s="42">
        <v>46196</v>
      </c>
      <c r="O37" s="26" t="s">
        <v>55</v>
      </c>
      <c r="P37" s="44" t="s">
        <v>833</v>
      </c>
      <c r="Q37" s="26" t="s">
        <v>57</v>
      </c>
      <c r="R37" s="44" t="s">
        <v>833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833</v>
      </c>
      <c r="Z37" s="30" t="s">
        <v>57</v>
      </c>
      <c r="AA37" s="30" t="s">
        <v>833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 t="s">
        <v>61</v>
      </c>
      <c r="AG37" s="33" t="s">
        <v>55</v>
      </c>
      <c r="AH37" s="33" t="s">
        <v>833</v>
      </c>
      <c r="AI37" s="33" t="s">
        <v>57</v>
      </c>
      <c r="AJ37" s="33" t="s">
        <v>833</v>
      </c>
      <c r="AK37" s="33" t="s">
        <v>56</v>
      </c>
      <c r="AL37" s="27"/>
      <c r="AM37" s="34" t="s">
        <v>57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4668</v>
      </c>
      <c r="C38" s="41" t="s">
        <v>4669</v>
      </c>
      <c r="D38" s="39" t="s">
        <v>4603</v>
      </c>
      <c r="E38" s="42">
        <v>46128</v>
      </c>
      <c r="F38" s="26" t="s">
        <v>55</v>
      </c>
      <c r="G38" s="44" t="s">
        <v>833</v>
      </c>
      <c r="H38" s="26" t="s">
        <v>57</v>
      </c>
      <c r="I38" s="44" t="s">
        <v>833</v>
      </c>
      <c r="J38" s="26" t="s">
        <v>56</v>
      </c>
      <c r="K38" s="27"/>
      <c r="L38" s="28" t="s">
        <v>57</v>
      </c>
      <c r="M38" s="29" t="str">
        <f t="shared" si="0"/>
        <v>✓ OK</v>
      </c>
      <c r="N38" s="42">
        <v>46196</v>
      </c>
      <c r="O38" s="26" t="s">
        <v>55</v>
      </c>
      <c r="P38" s="44" t="s">
        <v>833</v>
      </c>
      <c r="Q38" s="26" t="s">
        <v>57</v>
      </c>
      <c r="R38" s="44" t="s">
        <v>833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833</v>
      </c>
      <c r="Z38" s="30" t="s">
        <v>57</v>
      </c>
      <c r="AA38" s="30" t="s">
        <v>833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 t="s">
        <v>61</v>
      </c>
      <c r="AG38" s="33" t="s">
        <v>55</v>
      </c>
      <c r="AH38" s="33" t="s">
        <v>833</v>
      </c>
      <c r="AI38" s="33" t="s">
        <v>57</v>
      </c>
      <c r="AJ38" s="33" t="s">
        <v>833</v>
      </c>
      <c r="AK38" s="33" t="s">
        <v>56</v>
      </c>
      <c r="AL38" s="27"/>
      <c r="AM38" s="34" t="s">
        <v>57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4670</v>
      </c>
      <c r="C39" s="25" t="s">
        <v>4671</v>
      </c>
      <c r="D39" s="23" t="s">
        <v>4603</v>
      </c>
      <c r="E39" s="42">
        <v>46128</v>
      </c>
      <c r="F39" s="26" t="s">
        <v>55</v>
      </c>
      <c r="G39" s="44" t="s">
        <v>833</v>
      </c>
      <c r="H39" s="26" t="s">
        <v>57</v>
      </c>
      <c r="I39" s="44" t="s">
        <v>833</v>
      </c>
      <c r="J39" s="26" t="s">
        <v>56</v>
      </c>
      <c r="K39" s="27"/>
      <c r="L39" s="28" t="s">
        <v>57</v>
      </c>
      <c r="M39" s="29" t="str">
        <f t="shared" si="0"/>
        <v>✓ OK</v>
      </c>
      <c r="N39" s="42">
        <v>46196</v>
      </c>
      <c r="O39" s="26" t="s">
        <v>55</v>
      </c>
      <c r="P39" s="44" t="s">
        <v>833</v>
      </c>
      <c r="Q39" s="26" t="s">
        <v>57</v>
      </c>
      <c r="R39" s="44" t="s">
        <v>833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833</v>
      </c>
      <c r="Z39" s="30" t="s">
        <v>57</v>
      </c>
      <c r="AA39" s="30" t="s">
        <v>833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 t="s">
        <v>61</v>
      </c>
      <c r="AG39" s="33" t="s">
        <v>55</v>
      </c>
      <c r="AH39" s="33" t="s">
        <v>833</v>
      </c>
      <c r="AI39" s="33" t="s">
        <v>57</v>
      </c>
      <c r="AJ39" s="33" t="s">
        <v>833</v>
      </c>
      <c r="AK39" s="33" t="s">
        <v>56</v>
      </c>
      <c r="AL39" s="27"/>
      <c r="AM39" s="34" t="s">
        <v>57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4672</v>
      </c>
      <c r="C40" s="41" t="s">
        <v>4673</v>
      </c>
      <c r="D40" s="39" t="s">
        <v>4603</v>
      </c>
      <c r="E40" s="42">
        <v>46128</v>
      </c>
      <c r="F40" s="26" t="s">
        <v>55</v>
      </c>
      <c r="G40" s="44" t="s">
        <v>833</v>
      </c>
      <c r="H40" s="26" t="s">
        <v>57</v>
      </c>
      <c r="I40" s="44" t="s">
        <v>833</v>
      </c>
      <c r="J40" s="26" t="s">
        <v>56</v>
      </c>
      <c r="K40" s="27"/>
      <c r="L40" s="28" t="s">
        <v>57</v>
      </c>
      <c r="M40" s="29" t="str">
        <f t="shared" si="0"/>
        <v>✓ OK</v>
      </c>
      <c r="N40" s="42">
        <v>46196</v>
      </c>
      <c r="O40" s="26" t="s">
        <v>55</v>
      </c>
      <c r="P40" s="44" t="s">
        <v>833</v>
      </c>
      <c r="Q40" s="26" t="s">
        <v>57</v>
      </c>
      <c r="R40" s="44" t="s">
        <v>833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833</v>
      </c>
      <c r="Z40" s="30" t="s">
        <v>57</v>
      </c>
      <c r="AA40" s="30" t="s">
        <v>833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 t="s">
        <v>61</v>
      </c>
      <c r="AG40" s="33" t="s">
        <v>55</v>
      </c>
      <c r="AH40" s="33" t="s">
        <v>833</v>
      </c>
      <c r="AI40" s="33" t="s">
        <v>57</v>
      </c>
      <c r="AJ40" s="33" t="s">
        <v>833</v>
      </c>
      <c r="AK40" s="33" t="s">
        <v>56</v>
      </c>
      <c r="AL40" s="27"/>
      <c r="AM40" s="34" t="s">
        <v>57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4674</v>
      </c>
      <c r="C41" s="25" t="s">
        <v>4675</v>
      </c>
      <c r="D41" s="23" t="s">
        <v>4603</v>
      </c>
      <c r="E41" s="42">
        <v>46128</v>
      </c>
      <c r="F41" s="26" t="s">
        <v>55</v>
      </c>
      <c r="G41" s="44" t="s">
        <v>833</v>
      </c>
      <c r="H41" s="26" t="s">
        <v>57</v>
      </c>
      <c r="I41" s="44" t="s">
        <v>833</v>
      </c>
      <c r="J41" s="26" t="s">
        <v>56</v>
      </c>
      <c r="K41" s="27"/>
      <c r="L41" s="28" t="s">
        <v>57</v>
      </c>
      <c r="M41" s="29" t="str">
        <f t="shared" si="0"/>
        <v>✓ OK</v>
      </c>
      <c r="N41" s="42">
        <v>46196</v>
      </c>
      <c r="O41" s="26" t="s">
        <v>55</v>
      </c>
      <c r="P41" s="44" t="s">
        <v>833</v>
      </c>
      <c r="Q41" s="26" t="s">
        <v>57</v>
      </c>
      <c r="R41" s="44" t="s">
        <v>833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833</v>
      </c>
      <c r="Z41" s="30" t="s">
        <v>57</v>
      </c>
      <c r="AA41" s="30" t="s">
        <v>833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 t="s">
        <v>61</v>
      </c>
      <c r="AG41" s="33" t="s">
        <v>55</v>
      </c>
      <c r="AH41" s="33" t="s">
        <v>833</v>
      </c>
      <c r="AI41" s="33" t="s">
        <v>57</v>
      </c>
      <c r="AJ41" s="33" t="s">
        <v>833</v>
      </c>
      <c r="AK41" s="33" t="s">
        <v>56</v>
      </c>
      <c r="AL41" s="27"/>
      <c r="AM41" s="34" t="s">
        <v>57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4676</v>
      </c>
      <c r="C42" s="41" t="s">
        <v>4677</v>
      </c>
      <c r="D42" s="39" t="s">
        <v>4603</v>
      </c>
      <c r="E42" s="42">
        <v>46128</v>
      </c>
      <c r="F42" s="26" t="s">
        <v>55</v>
      </c>
      <c r="G42" s="44" t="s">
        <v>833</v>
      </c>
      <c r="H42" s="26" t="s">
        <v>57</v>
      </c>
      <c r="I42" s="44" t="s">
        <v>833</v>
      </c>
      <c r="J42" s="26" t="s">
        <v>56</v>
      </c>
      <c r="K42" s="27"/>
      <c r="L42" s="28" t="s">
        <v>57</v>
      </c>
      <c r="M42" s="29" t="str">
        <f t="shared" si="0"/>
        <v>✓ OK</v>
      </c>
      <c r="N42" s="42">
        <v>46196</v>
      </c>
      <c r="O42" s="26" t="s">
        <v>55</v>
      </c>
      <c r="P42" s="44" t="s">
        <v>833</v>
      </c>
      <c r="Q42" s="26" t="s">
        <v>57</v>
      </c>
      <c r="R42" s="44" t="s">
        <v>833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833</v>
      </c>
      <c r="Z42" s="30" t="s">
        <v>57</v>
      </c>
      <c r="AA42" s="30" t="s">
        <v>833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 t="s">
        <v>61</v>
      </c>
      <c r="AG42" s="33" t="s">
        <v>55</v>
      </c>
      <c r="AH42" s="33" t="s">
        <v>833</v>
      </c>
      <c r="AI42" s="33" t="s">
        <v>57</v>
      </c>
      <c r="AJ42" s="33" t="s">
        <v>833</v>
      </c>
      <c r="AK42" s="33" t="s">
        <v>56</v>
      </c>
      <c r="AL42" s="27"/>
      <c r="AM42" s="34" t="s">
        <v>57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4678</v>
      </c>
      <c r="C43" s="25" t="s">
        <v>4679</v>
      </c>
      <c r="D43" s="23" t="s">
        <v>4603</v>
      </c>
      <c r="E43" s="42">
        <v>46128</v>
      </c>
      <c r="F43" s="26" t="s">
        <v>55</v>
      </c>
      <c r="G43" s="44" t="s">
        <v>56</v>
      </c>
      <c r="H43" s="26" t="s">
        <v>57</v>
      </c>
      <c r="I43" s="44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42">
        <v>46196</v>
      </c>
      <c r="O43" s="26" t="s">
        <v>55</v>
      </c>
      <c r="P43" s="44" t="s">
        <v>56</v>
      </c>
      <c r="Q43" s="26" t="s">
        <v>57</v>
      </c>
      <c r="R43" s="4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4680</v>
      </c>
      <c r="C44" s="41" t="s">
        <v>4681</v>
      </c>
      <c r="D44" s="39" t="s">
        <v>4603</v>
      </c>
      <c r="E44" s="42">
        <v>46128</v>
      </c>
      <c r="F44" s="26" t="s">
        <v>55</v>
      </c>
      <c r="G44" s="44" t="s">
        <v>833</v>
      </c>
      <c r="H44" s="26" t="s">
        <v>57</v>
      </c>
      <c r="I44" s="44" t="s">
        <v>833</v>
      </c>
      <c r="J44" s="26" t="s">
        <v>56</v>
      </c>
      <c r="K44" s="27"/>
      <c r="L44" s="28" t="s">
        <v>57</v>
      </c>
      <c r="M44" s="29" t="str">
        <f t="shared" si="0"/>
        <v>✓ OK</v>
      </c>
      <c r="N44" s="42">
        <v>46196</v>
      </c>
      <c r="O44" s="26" t="s">
        <v>55</v>
      </c>
      <c r="P44" s="44" t="s">
        <v>833</v>
      </c>
      <c r="Q44" s="26" t="s">
        <v>57</v>
      </c>
      <c r="R44" s="44" t="s">
        <v>833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833</v>
      </c>
      <c r="Z44" s="30" t="s">
        <v>57</v>
      </c>
      <c r="AA44" s="30" t="s">
        <v>833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 t="s">
        <v>61</v>
      </c>
      <c r="AG44" s="33" t="s">
        <v>55</v>
      </c>
      <c r="AH44" s="33" t="s">
        <v>833</v>
      </c>
      <c r="AI44" s="33" t="s">
        <v>57</v>
      </c>
      <c r="AJ44" s="33" t="s">
        <v>833</v>
      </c>
      <c r="AK44" s="33" t="s">
        <v>56</v>
      </c>
      <c r="AL44" s="27"/>
      <c r="AM44" s="34" t="s">
        <v>57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4682</v>
      </c>
      <c r="C45" s="25" t="s">
        <v>4683</v>
      </c>
      <c r="D45" s="23" t="s">
        <v>4603</v>
      </c>
      <c r="E45" s="42">
        <v>46128</v>
      </c>
      <c r="F45" s="26" t="s">
        <v>55</v>
      </c>
      <c r="G45" s="44" t="s">
        <v>833</v>
      </c>
      <c r="H45" s="26" t="s">
        <v>57</v>
      </c>
      <c r="I45" s="44" t="s">
        <v>833</v>
      </c>
      <c r="J45" s="26" t="s">
        <v>56</v>
      </c>
      <c r="K45" s="27"/>
      <c r="L45" s="28" t="s">
        <v>57</v>
      </c>
      <c r="M45" s="29" t="str">
        <f t="shared" si="0"/>
        <v>✓ OK</v>
      </c>
      <c r="N45" s="42">
        <v>46196</v>
      </c>
      <c r="O45" s="26" t="s">
        <v>55</v>
      </c>
      <c r="P45" s="44" t="s">
        <v>833</v>
      </c>
      <c r="Q45" s="26" t="s">
        <v>57</v>
      </c>
      <c r="R45" s="44" t="s">
        <v>833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833</v>
      </c>
      <c r="Z45" s="30" t="s">
        <v>57</v>
      </c>
      <c r="AA45" s="30" t="s">
        <v>833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 t="s">
        <v>61</v>
      </c>
      <c r="AG45" s="33" t="s">
        <v>55</v>
      </c>
      <c r="AH45" s="33" t="s">
        <v>833</v>
      </c>
      <c r="AI45" s="33" t="s">
        <v>57</v>
      </c>
      <c r="AJ45" s="33" t="s">
        <v>833</v>
      </c>
      <c r="AK45" s="33" t="s">
        <v>56</v>
      </c>
      <c r="AL45" s="27"/>
      <c r="AM45" s="34" t="s">
        <v>57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4684</v>
      </c>
      <c r="C46" s="41" t="s">
        <v>4685</v>
      </c>
      <c r="D46" s="39" t="s">
        <v>4603</v>
      </c>
      <c r="E46" s="42">
        <v>46128</v>
      </c>
      <c r="F46" s="26" t="s">
        <v>55</v>
      </c>
      <c r="G46" s="44" t="s">
        <v>833</v>
      </c>
      <c r="H46" s="26" t="s">
        <v>57</v>
      </c>
      <c r="I46" s="44" t="s">
        <v>833</v>
      </c>
      <c r="J46" s="26" t="s">
        <v>56</v>
      </c>
      <c r="K46" s="27"/>
      <c r="L46" s="28" t="s">
        <v>57</v>
      </c>
      <c r="M46" s="29" t="str">
        <f t="shared" si="0"/>
        <v>✓ OK</v>
      </c>
      <c r="N46" s="42">
        <v>46196</v>
      </c>
      <c r="O46" s="26" t="s">
        <v>55</v>
      </c>
      <c r="P46" s="44" t="s">
        <v>833</v>
      </c>
      <c r="Q46" s="26" t="s">
        <v>57</v>
      </c>
      <c r="R46" s="44" t="s">
        <v>833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833</v>
      </c>
      <c r="Z46" s="30" t="s">
        <v>57</v>
      </c>
      <c r="AA46" s="30" t="s">
        <v>833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 t="s">
        <v>61</v>
      </c>
      <c r="AG46" s="33" t="s">
        <v>55</v>
      </c>
      <c r="AH46" s="33" t="s">
        <v>833</v>
      </c>
      <c r="AI46" s="33" t="s">
        <v>57</v>
      </c>
      <c r="AJ46" s="33" t="s">
        <v>833</v>
      </c>
      <c r="AK46" s="33" t="s">
        <v>56</v>
      </c>
      <c r="AL46" s="27"/>
      <c r="AM46" s="34" t="s">
        <v>57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4686</v>
      </c>
      <c r="C47" s="25" t="s">
        <v>4687</v>
      </c>
      <c r="D47" s="23" t="s">
        <v>4603</v>
      </c>
      <c r="E47" s="42">
        <v>46128</v>
      </c>
      <c r="F47" s="26" t="s">
        <v>55</v>
      </c>
      <c r="G47" s="44" t="s">
        <v>833</v>
      </c>
      <c r="H47" s="26" t="s">
        <v>57</v>
      </c>
      <c r="I47" s="44" t="s">
        <v>833</v>
      </c>
      <c r="J47" s="26" t="s">
        <v>56</v>
      </c>
      <c r="K47" s="27"/>
      <c r="L47" s="28" t="s">
        <v>57</v>
      </c>
      <c r="M47" s="29" t="str">
        <f t="shared" si="0"/>
        <v>✓ OK</v>
      </c>
      <c r="N47" s="42">
        <v>46196</v>
      </c>
      <c r="O47" s="26" t="s">
        <v>55</v>
      </c>
      <c r="P47" s="44" t="s">
        <v>833</v>
      </c>
      <c r="Q47" s="26" t="s">
        <v>57</v>
      </c>
      <c r="R47" s="44" t="s">
        <v>833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833</v>
      </c>
      <c r="Z47" s="30" t="s">
        <v>57</v>
      </c>
      <c r="AA47" s="30" t="s">
        <v>833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 t="s">
        <v>61</v>
      </c>
      <c r="AG47" s="33" t="s">
        <v>55</v>
      </c>
      <c r="AH47" s="33" t="s">
        <v>833</v>
      </c>
      <c r="AI47" s="33" t="s">
        <v>57</v>
      </c>
      <c r="AJ47" s="33" t="s">
        <v>833</v>
      </c>
      <c r="AK47" s="33" t="s">
        <v>56</v>
      </c>
      <c r="AL47" s="27"/>
      <c r="AM47" s="34" t="s">
        <v>57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4688</v>
      </c>
      <c r="C48" s="41" t="s">
        <v>4689</v>
      </c>
      <c r="D48" s="39" t="s">
        <v>4603</v>
      </c>
      <c r="E48" s="42">
        <v>46128</v>
      </c>
      <c r="F48" s="26" t="s">
        <v>55</v>
      </c>
      <c r="G48" s="44" t="s">
        <v>833</v>
      </c>
      <c r="H48" s="26" t="s">
        <v>57</v>
      </c>
      <c r="I48" s="44" t="s">
        <v>833</v>
      </c>
      <c r="J48" s="26" t="s">
        <v>56</v>
      </c>
      <c r="K48" s="27"/>
      <c r="L48" s="28" t="s">
        <v>57</v>
      </c>
      <c r="M48" s="29" t="str">
        <f t="shared" si="0"/>
        <v>✓ OK</v>
      </c>
      <c r="N48" s="42">
        <v>46196</v>
      </c>
      <c r="O48" s="26" t="s">
        <v>55</v>
      </c>
      <c r="P48" s="44" t="s">
        <v>833</v>
      </c>
      <c r="Q48" s="26" t="s">
        <v>57</v>
      </c>
      <c r="R48" s="44" t="s">
        <v>833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833</v>
      </c>
      <c r="Z48" s="30" t="s">
        <v>57</v>
      </c>
      <c r="AA48" s="30" t="s">
        <v>833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 t="s">
        <v>61</v>
      </c>
      <c r="AG48" s="33" t="s">
        <v>55</v>
      </c>
      <c r="AH48" s="33" t="s">
        <v>833</v>
      </c>
      <c r="AI48" s="33" t="s">
        <v>57</v>
      </c>
      <c r="AJ48" s="33" t="s">
        <v>833</v>
      </c>
      <c r="AK48" s="33" t="s">
        <v>56</v>
      </c>
      <c r="AL48" s="27"/>
      <c r="AM48" s="34" t="s">
        <v>57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4690</v>
      </c>
      <c r="C49" s="25" t="s">
        <v>4691</v>
      </c>
      <c r="D49" s="23" t="s">
        <v>4603</v>
      </c>
      <c r="E49" s="42">
        <v>46128</v>
      </c>
      <c r="F49" s="26" t="s">
        <v>55</v>
      </c>
      <c r="G49" s="44" t="s">
        <v>833</v>
      </c>
      <c r="H49" s="26" t="s">
        <v>57</v>
      </c>
      <c r="I49" s="44" t="s">
        <v>833</v>
      </c>
      <c r="J49" s="26" t="s">
        <v>56</v>
      </c>
      <c r="K49" s="27"/>
      <c r="L49" s="28" t="s">
        <v>57</v>
      </c>
      <c r="M49" s="29" t="str">
        <f t="shared" si="0"/>
        <v>✓ OK</v>
      </c>
      <c r="N49" s="42">
        <v>46196</v>
      </c>
      <c r="O49" s="26" t="s">
        <v>55</v>
      </c>
      <c r="P49" s="44" t="s">
        <v>833</v>
      </c>
      <c r="Q49" s="26" t="s">
        <v>57</v>
      </c>
      <c r="R49" s="44" t="s">
        <v>833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833</v>
      </c>
      <c r="Z49" s="30" t="s">
        <v>57</v>
      </c>
      <c r="AA49" s="30" t="s">
        <v>833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 t="s">
        <v>61</v>
      </c>
      <c r="AG49" s="33" t="s">
        <v>55</v>
      </c>
      <c r="AH49" s="33" t="s">
        <v>833</v>
      </c>
      <c r="AI49" s="33" t="s">
        <v>57</v>
      </c>
      <c r="AJ49" s="33" t="s">
        <v>833</v>
      </c>
      <c r="AK49" s="33" t="s">
        <v>56</v>
      </c>
      <c r="AL49" s="27"/>
      <c r="AM49" s="34" t="s">
        <v>57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4692</v>
      </c>
      <c r="C50" s="41" t="s">
        <v>4693</v>
      </c>
      <c r="D50" s="39" t="s">
        <v>4603</v>
      </c>
      <c r="E50" s="42">
        <v>46128</v>
      </c>
      <c r="F50" s="26" t="s">
        <v>55</v>
      </c>
      <c r="G50" s="44" t="s">
        <v>833</v>
      </c>
      <c r="H50" s="26" t="s">
        <v>57</v>
      </c>
      <c r="I50" s="44" t="s">
        <v>833</v>
      </c>
      <c r="J50" s="26" t="s">
        <v>56</v>
      </c>
      <c r="K50" s="27"/>
      <c r="L50" s="28" t="s">
        <v>57</v>
      </c>
      <c r="M50" s="29" t="str">
        <f t="shared" si="0"/>
        <v>✓ OK</v>
      </c>
      <c r="N50" s="42">
        <v>46196</v>
      </c>
      <c r="O50" s="26" t="s">
        <v>55</v>
      </c>
      <c r="P50" s="44" t="s">
        <v>833</v>
      </c>
      <c r="Q50" s="26" t="s">
        <v>57</v>
      </c>
      <c r="R50" s="44" t="s">
        <v>833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833</v>
      </c>
      <c r="Z50" s="30" t="s">
        <v>57</v>
      </c>
      <c r="AA50" s="30" t="s">
        <v>833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 t="s">
        <v>61</v>
      </c>
      <c r="AG50" s="33" t="s">
        <v>55</v>
      </c>
      <c r="AH50" s="33" t="s">
        <v>833</v>
      </c>
      <c r="AI50" s="33" t="s">
        <v>57</v>
      </c>
      <c r="AJ50" s="33" t="s">
        <v>833</v>
      </c>
      <c r="AK50" s="33" t="s">
        <v>56</v>
      </c>
      <c r="AL50" s="27"/>
      <c r="AM50" s="34" t="s">
        <v>57</v>
      </c>
      <c r="AN50" s="35" t="str">
        <f t="shared" si="3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4694</v>
      </c>
      <c r="C51" s="25" t="s">
        <v>4695</v>
      </c>
      <c r="D51" s="23" t="s">
        <v>4603</v>
      </c>
      <c r="E51" s="42">
        <v>46128</v>
      </c>
      <c r="F51" s="26" t="s">
        <v>55</v>
      </c>
      <c r="G51" s="44" t="s">
        <v>56</v>
      </c>
      <c r="H51" s="26" t="s">
        <v>57</v>
      </c>
      <c r="I51" s="44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42">
        <v>46196</v>
      </c>
      <c r="O51" s="26" t="s">
        <v>55</v>
      </c>
      <c r="P51" s="44" t="s">
        <v>56</v>
      </c>
      <c r="Q51" s="26" t="s">
        <v>57</v>
      </c>
      <c r="R51" s="4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4696</v>
      </c>
      <c r="C52" s="41" t="s">
        <v>4697</v>
      </c>
      <c r="D52" s="39" t="s">
        <v>4603</v>
      </c>
      <c r="E52" s="42">
        <v>46128</v>
      </c>
      <c r="F52" s="26" t="s">
        <v>55</v>
      </c>
      <c r="G52" s="44" t="s">
        <v>833</v>
      </c>
      <c r="H52" s="26" t="s">
        <v>57</v>
      </c>
      <c r="I52" s="44" t="s">
        <v>833</v>
      </c>
      <c r="J52" s="26" t="s">
        <v>56</v>
      </c>
      <c r="K52" s="27"/>
      <c r="L52" s="28" t="s">
        <v>57</v>
      </c>
      <c r="M52" s="29" t="str">
        <f t="shared" si="0"/>
        <v>✓ OK</v>
      </c>
      <c r="N52" s="42">
        <v>46196</v>
      </c>
      <c r="O52" s="26" t="s">
        <v>55</v>
      </c>
      <c r="P52" s="44" t="s">
        <v>833</v>
      </c>
      <c r="Q52" s="26" t="s">
        <v>57</v>
      </c>
      <c r="R52" s="44" t="s">
        <v>833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833</v>
      </c>
      <c r="Z52" s="30" t="s">
        <v>57</v>
      </c>
      <c r="AA52" s="30" t="s">
        <v>833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 t="s">
        <v>61</v>
      </c>
      <c r="AG52" s="33" t="s">
        <v>55</v>
      </c>
      <c r="AH52" s="33" t="s">
        <v>833</v>
      </c>
      <c r="AI52" s="33" t="s">
        <v>57</v>
      </c>
      <c r="AJ52" s="33" t="s">
        <v>833</v>
      </c>
      <c r="AK52" s="33" t="s">
        <v>56</v>
      </c>
      <c r="AL52" s="27"/>
      <c r="AM52" s="34" t="s">
        <v>57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4698</v>
      </c>
      <c r="C53" s="25" t="s">
        <v>4699</v>
      </c>
      <c r="D53" s="23" t="s">
        <v>4603</v>
      </c>
      <c r="E53" s="42">
        <v>46128</v>
      </c>
      <c r="F53" s="26" t="s">
        <v>55</v>
      </c>
      <c r="G53" s="44" t="s">
        <v>57</v>
      </c>
      <c r="H53" s="26" t="s">
        <v>57</v>
      </c>
      <c r="I53" s="44" t="s">
        <v>90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42">
        <v>46196</v>
      </c>
      <c r="O53" s="26" t="s">
        <v>55</v>
      </c>
      <c r="P53" s="44" t="s">
        <v>57</v>
      </c>
      <c r="Q53" s="26" t="s">
        <v>57</v>
      </c>
      <c r="R53" s="44" t="s">
        <v>90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70">
        <v>46248</v>
      </c>
      <c r="X53" s="30" t="s">
        <v>55</v>
      </c>
      <c r="Y53" s="30" t="s">
        <v>57</v>
      </c>
      <c r="Z53" s="30" t="s">
        <v>57</v>
      </c>
      <c r="AA53" s="30" t="s">
        <v>90</v>
      </c>
      <c r="AB53" s="30" t="s">
        <v>57</v>
      </c>
      <c r="AC53" s="27"/>
      <c r="AD53" s="31" t="s">
        <v>56</v>
      </c>
      <c r="AE53" s="32" t="str">
        <f t="shared" si="2"/>
        <v>⚠ Missing</v>
      </c>
      <c r="AF53" s="33" t="s">
        <v>61</v>
      </c>
      <c r="AG53" s="33" t="s">
        <v>62</v>
      </c>
      <c r="AH53" s="33" t="s">
        <v>57</v>
      </c>
      <c r="AI53" s="33" t="s">
        <v>56</v>
      </c>
      <c r="AJ53" s="33" t="s">
        <v>60</v>
      </c>
      <c r="AK53" s="33" t="s">
        <v>57</v>
      </c>
      <c r="AL53" s="27"/>
      <c r="AM53" s="34" t="s">
        <v>57</v>
      </c>
      <c r="AN53" s="35" t="str">
        <f t="shared" si="3"/>
        <v>❌ Disc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4700</v>
      </c>
      <c r="C54" s="41" t="s">
        <v>4701</v>
      </c>
      <c r="D54" s="39" t="s">
        <v>4603</v>
      </c>
      <c r="E54" s="42">
        <v>46128</v>
      </c>
      <c r="F54" s="26" t="s">
        <v>55</v>
      </c>
      <c r="G54" s="44" t="s">
        <v>57</v>
      </c>
      <c r="H54" s="26" t="s">
        <v>57</v>
      </c>
      <c r="I54" s="44" t="s">
        <v>90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42">
        <v>46196</v>
      </c>
      <c r="O54" s="26" t="s">
        <v>55</v>
      </c>
      <c r="P54" s="44" t="s">
        <v>57</v>
      </c>
      <c r="Q54" s="26" t="s">
        <v>57</v>
      </c>
      <c r="R54" s="44" t="s">
        <v>90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70">
        <v>46248</v>
      </c>
      <c r="X54" s="30" t="s">
        <v>55</v>
      </c>
      <c r="Y54" s="30" t="s">
        <v>57</v>
      </c>
      <c r="Z54" s="30" t="s">
        <v>57</v>
      </c>
      <c r="AA54" s="30" t="s">
        <v>90</v>
      </c>
      <c r="AB54" s="30" t="s">
        <v>57</v>
      </c>
      <c r="AC54" s="27"/>
      <c r="AD54" s="31" t="s">
        <v>56</v>
      </c>
      <c r="AE54" s="32" t="str">
        <f t="shared" si="2"/>
        <v>⚠ Missing</v>
      </c>
      <c r="AF54" s="33" t="s">
        <v>61</v>
      </c>
      <c r="AG54" s="33" t="s">
        <v>62</v>
      </c>
      <c r="AH54" s="33" t="s">
        <v>57</v>
      </c>
      <c r="AI54" s="33" t="s">
        <v>56</v>
      </c>
      <c r="AJ54" s="33" t="s">
        <v>60</v>
      </c>
      <c r="AK54" s="33" t="s">
        <v>57</v>
      </c>
      <c r="AL54" s="27"/>
      <c r="AM54" s="34" t="s">
        <v>57</v>
      </c>
      <c r="AN54" s="35" t="str">
        <f t="shared" si="3"/>
        <v>❌ Disc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4702</v>
      </c>
      <c r="C55" s="25" t="s">
        <v>4703</v>
      </c>
      <c r="D55" s="23" t="s">
        <v>4603</v>
      </c>
      <c r="E55" s="42">
        <v>46128</v>
      </c>
      <c r="F55" s="26" t="s">
        <v>55</v>
      </c>
      <c r="G55" s="44" t="s">
        <v>57</v>
      </c>
      <c r="H55" s="26" t="s">
        <v>57</v>
      </c>
      <c r="I55" s="44" t="s">
        <v>90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42">
        <v>46196</v>
      </c>
      <c r="O55" s="26" t="s">
        <v>55</v>
      </c>
      <c r="P55" s="44" t="s">
        <v>57</v>
      </c>
      <c r="Q55" s="26" t="s">
        <v>57</v>
      </c>
      <c r="R55" s="44" t="s">
        <v>90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70">
        <v>46248</v>
      </c>
      <c r="X55" s="30" t="s">
        <v>55</v>
      </c>
      <c r="Y55" s="30" t="s">
        <v>57</v>
      </c>
      <c r="Z55" s="30" t="s">
        <v>57</v>
      </c>
      <c r="AA55" s="30" t="s">
        <v>90</v>
      </c>
      <c r="AB55" s="30" t="s">
        <v>57</v>
      </c>
      <c r="AC55" s="27"/>
      <c r="AD55" s="31" t="s">
        <v>56</v>
      </c>
      <c r="AE55" s="32" t="str">
        <f t="shared" si="2"/>
        <v>⚠ Missing</v>
      </c>
      <c r="AF55" s="33" t="s">
        <v>61</v>
      </c>
      <c r="AG55" s="33" t="s">
        <v>55</v>
      </c>
      <c r="AH55" s="33" t="s">
        <v>57</v>
      </c>
      <c r="AI55" s="33" t="s">
        <v>57</v>
      </c>
      <c r="AJ55" s="33" t="s">
        <v>90</v>
      </c>
      <c r="AK55" s="33" t="s">
        <v>57</v>
      </c>
      <c r="AL55" s="27"/>
      <c r="AM55" s="34" t="s">
        <v>56</v>
      </c>
      <c r="AN55" s="35" t="str">
        <f t="shared" si="3"/>
        <v>⚠ Missing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4704</v>
      </c>
      <c r="C56" s="41" t="s">
        <v>4705</v>
      </c>
      <c r="D56" s="39" t="s">
        <v>4603</v>
      </c>
      <c r="E56" s="42">
        <v>46128</v>
      </c>
      <c r="F56" s="26" t="s">
        <v>55</v>
      </c>
      <c r="G56" s="44" t="s">
        <v>57</v>
      </c>
      <c r="H56" s="26" t="s">
        <v>57</v>
      </c>
      <c r="I56" s="44" t="s">
        <v>90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42">
        <v>46196</v>
      </c>
      <c r="O56" s="26" t="s">
        <v>55</v>
      </c>
      <c r="P56" s="44" t="s">
        <v>57</v>
      </c>
      <c r="Q56" s="26" t="s">
        <v>57</v>
      </c>
      <c r="R56" s="44" t="s">
        <v>90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70">
        <v>46248</v>
      </c>
      <c r="X56" s="30" t="s">
        <v>55</v>
      </c>
      <c r="Y56" s="30" t="s">
        <v>57</v>
      </c>
      <c r="Z56" s="30" t="s">
        <v>57</v>
      </c>
      <c r="AA56" s="30" t="s">
        <v>90</v>
      </c>
      <c r="AB56" s="30" t="s">
        <v>57</v>
      </c>
      <c r="AC56" s="27"/>
      <c r="AD56" s="31" t="s">
        <v>56</v>
      </c>
      <c r="AE56" s="32" t="str">
        <f t="shared" si="2"/>
        <v>⚠ Missing</v>
      </c>
      <c r="AF56" s="33" t="s">
        <v>61</v>
      </c>
      <c r="AG56" s="33" t="s">
        <v>62</v>
      </c>
      <c r="AH56" s="33" t="s">
        <v>57</v>
      </c>
      <c r="AI56" s="33" t="s">
        <v>56</v>
      </c>
      <c r="AJ56" s="33" t="s">
        <v>60</v>
      </c>
      <c r="AK56" s="33" t="s">
        <v>57</v>
      </c>
      <c r="AL56" s="27"/>
      <c r="AM56" s="34" t="s">
        <v>57</v>
      </c>
      <c r="AN56" s="35" t="str">
        <f t="shared" si="3"/>
        <v>❌ Disc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4706</v>
      </c>
      <c r="C57" s="25" t="s">
        <v>4707</v>
      </c>
      <c r="D57" s="23" t="s">
        <v>4603</v>
      </c>
      <c r="E57" s="42">
        <v>46128</v>
      </c>
      <c r="F57" s="26" t="s">
        <v>55</v>
      </c>
      <c r="G57" s="44" t="s">
        <v>57</v>
      </c>
      <c r="H57" s="26" t="s">
        <v>57</v>
      </c>
      <c r="I57" s="44" t="s">
        <v>90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42">
        <v>46196</v>
      </c>
      <c r="O57" s="26" t="s">
        <v>55</v>
      </c>
      <c r="P57" s="44" t="s">
        <v>57</v>
      </c>
      <c r="Q57" s="26" t="s">
        <v>57</v>
      </c>
      <c r="R57" s="44" t="s">
        <v>90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70">
        <v>46248</v>
      </c>
      <c r="X57" s="30" t="s">
        <v>55</v>
      </c>
      <c r="Y57" s="30" t="s">
        <v>57</v>
      </c>
      <c r="Z57" s="30" t="s">
        <v>57</v>
      </c>
      <c r="AA57" s="30" t="s">
        <v>90</v>
      </c>
      <c r="AB57" s="30" t="s">
        <v>57</v>
      </c>
      <c r="AC57" s="27"/>
      <c r="AD57" s="31" t="s">
        <v>56</v>
      </c>
      <c r="AE57" s="32" t="str">
        <f t="shared" si="2"/>
        <v>⚠ Missing</v>
      </c>
      <c r="AF57" s="33" t="s">
        <v>61</v>
      </c>
      <c r="AG57" s="33" t="s">
        <v>62</v>
      </c>
      <c r="AH57" s="33" t="s">
        <v>57</v>
      </c>
      <c r="AI57" s="33" t="s">
        <v>56</v>
      </c>
      <c r="AJ57" s="33" t="s">
        <v>60</v>
      </c>
      <c r="AK57" s="33" t="s">
        <v>57</v>
      </c>
      <c r="AL57" s="27"/>
      <c r="AM57" s="34" t="s">
        <v>57</v>
      </c>
      <c r="AN57" s="35" t="str">
        <f t="shared" si="3"/>
        <v>❌ Disc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4708</v>
      </c>
      <c r="C58" s="41" t="s">
        <v>4709</v>
      </c>
      <c r="D58" s="39" t="s">
        <v>4603</v>
      </c>
      <c r="E58" s="42">
        <v>46128</v>
      </c>
      <c r="F58" s="26" t="s">
        <v>55</v>
      </c>
      <c r="G58" s="44" t="s">
        <v>57</v>
      </c>
      <c r="H58" s="26" t="s">
        <v>57</v>
      </c>
      <c r="I58" s="44" t="s">
        <v>90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42">
        <v>46196</v>
      </c>
      <c r="O58" s="26" t="s">
        <v>55</v>
      </c>
      <c r="P58" s="44" t="s">
        <v>57</v>
      </c>
      <c r="Q58" s="26" t="s">
        <v>57</v>
      </c>
      <c r="R58" s="44" t="s">
        <v>90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70">
        <v>46248</v>
      </c>
      <c r="X58" s="30" t="s">
        <v>55</v>
      </c>
      <c r="Y58" s="30" t="s">
        <v>57</v>
      </c>
      <c r="Z58" s="30" t="s">
        <v>57</v>
      </c>
      <c r="AA58" s="30" t="s">
        <v>90</v>
      </c>
      <c r="AB58" s="30" t="s">
        <v>57</v>
      </c>
      <c r="AC58" s="27"/>
      <c r="AD58" s="31" t="s">
        <v>56</v>
      </c>
      <c r="AE58" s="32" t="str">
        <f t="shared" si="2"/>
        <v>⚠ Missing</v>
      </c>
      <c r="AF58" s="33" t="s">
        <v>61</v>
      </c>
      <c r="AG58" s="33" t="s">
        <v>62</v>
      </c>
      <c r="AH58" s="33" t="s">
        <v>57</v>
      </c>
      <c r="AI58" s="33" t="s">
        <v>56</v>
      </c>
      <c r="AJ58" s="33" t="s">
        <v>60</v>
      </c>
      <c r="AK58" s="33" t="s">
        <v>57</v>
      </c>
      <c r="AL58" s="27"/>
      <c r="AM58" s="34" t="s">
        <v>57</v>
      </c>
      <c r="AN58" s="35" t="str">
        <f t="shared" si="3"/>
        <v>❌ Disc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4710</v>
      </c>
      <c r="C59" s="25" t="s">
        <v>4711</v>
      </c>
      <c r="D59" s="23" t="s">
        <v>4603</v>
      </c>
      <c r="E59" s="42">
        <v>46128</v>
      </c>
      <c r="F59" s="26" t="s">
        <v>55</v>
      </c>
      <c r="G59" s="44" t="s">
        <v>57</v>
      </c>
      <c r="H59" s="26" t="s">
        <v>57</v>
      </c>
      <c r="I59" s="44" t="s">
        <v>90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42">
        <v>46196</v>
      </c>
      <c r="O59" s="26" t="s">
        <v>55</v>
      </c>
      <c r="P59" s="44" t="s">
        <v>57</v>
      </c>
      <c r="Q59" s="26" t="s">
        <v>57</v>
      </c>
      <c r="R59" s="44" t="s">
        <v>90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70">
        <v>46248</v>
      </c>
      <c r="X59" s="30" t="s">
        <v>55</v>
      </c>
      <c r="Y59" s="30" t="s">
        <v>57</v>
      </c>
      <c r="Z59" s="30" t="s">
        <v>57</v>
      </c>
      <c r="AA59" s="30" t="s">
        <v>90</v>
      </c>
      <c r="AB59" s="30" t="s">
        <v>57</v>
      </c>
      <c r="AC59" s="27"/>
      <c r="AD59" s="31" t="s">
        <v>56</v>
      </c>
      <c r="AE59" s="32" t="str">
        <f t="shared" si="2"/>
        <v>⚠ Missing</v>
      </c>
      <c r="AF59" s="33" t="s">
        <v>61</v>
      </c>
      <c r="AG59" s="33" t="s">
        <v>62</v>
      </c>
      <c r="AH59" s="33" t="s">
        <v>57</v>
      </c>
      <c r="AI59" s="33" t="s">
        <v>56</v>
      </c>
      <c r="AJ59" s="33" t="s">
        <v>60</v>
      </c>
      <c r="AK59" s="33" t="s">
        <v>57</v>
      </c>
      <c r="AL59" s="27"/>
      <c r="AM59" s="34" t="s">
        <v>57</v>
      </c>
      <c r="AN59" s="35" t="str">
        <f t="shared" si="3"/>
        <v>❌ Disc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4712</v>
      </c>
      <c r="C60" s="41" t="s">
        <v>4713</v>
      </c>
      <c r="D60" s="39" t="s">
        <v>4603</v>
      </c>
      <c r="E60" s="42">
        <v>46128</v>
      </c>
      <c r="F60" s="26" t="s">
        <v>55</v>
      </c>
      <c r="G60" s="44" t="s">
        <v>57</v>
      </c>
      <c r="H60" s="26" t="s">
        <v>57</v>
      </c>
      <c r="I60" s="44" t="s">
        <v>90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42">
        <v>46196</v>
      </c>
      <c r="O60" s="26" t="s">
        <v>55</v>
      </c>
      <c r="P60" s="44" t="s">
        <v>57</v>
      </c>
      <c r="Q60" s="26" t="s">
        <v>57</v>
      </c>
      <c r="R60" s="44" t="s">
        <v>90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70">
        <v>46248</v>
      </c>
      <c r="X60" s="30" t="s">
        <v>55</v>
      </c>
      <c r="Y60" s="30" t="s">
        <v>57</v>
      </c>
      <c r="Z60" s="30" t="s">
        <v>57</v>
      </c>
      <c r="AA60" s="30" t="s">
        <v>90</v>
      </c>
      <c r="AB60" s="30" t="s">
        <v>57</v>
      </c>
      <c r="AC60" s="27"/>
      <c r="AD60" s="31" t="s">
        <v>56</v>
      </c>
      <c r="AE60" s="32" t="str">
        <f t="shared" si="2"/>
        <v>⚠ Missing</v>
      </c>
      <c r="AF60" s="33" t="s">
        <v>61</v>
      </c>
      <c r="AG60" s="33" t="s">
        <v>62</v>
      </c>
      <c r="AH60" s="33" t="s">
        <v>57</v>
      </c>
      <c r="AI60" s="33" t="s">
        <v>56</v>
      </c>
      <c r="AJ60" s="33" t="s">
        <v>60</v>
      </c>
      <c r="AK60" s="33" t="s">
        <v>57</v>
      </c>
      <c r="AL60" s="27"/>
      <c r="AM60" s="34" t="s">
        <v>57</v>
      </c>
      <c r="AN60" s="35" t="str">
        <f t="shared" si="3"/>
        <v>❌ Disc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4714</v>
      </c>
      <c r="C61" s="25" t="s">
        <v>4715</v>
      </c>
      <c r="D61" s="23" t="s">
        <v>4603</v>
      </c>
      <c r="E61" s="42">
        <v>46128</v>
      </c>
      <c r="F61" s="26" t="s">
        <v>55</v>
      </c>
      <c r="G61" s="44" t="s">
        <v>57</v>
      </c>
      <c r="H61" s="26" t="s">
        <v>57</v>
      </c>
      <c r="I61" s="44" t="s">
        <v>90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42">
        <v>46196</v>
      </c>
      <c r="O61" s="26" t="s">
        <v>55</v>
      </c>
      <c r="P61" s="44" t="s">
        <v>57</v>
      </c>
      <c r="Q61" s="26" t="s">
        <v>57</v>
      </c>
      <c r="R61" s="44" t="s">
        <v>90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70">
        <v>46248</v>
      </c>
      <c r="X61" s="30" t="s">
        <v>55</v>
      </c>
      <c r="Y61" s="30" t="s">
        <v>57</v>
      </c>
      <c r="Z61" s="30" t="s">
        <v>57</v>
      </c>
      <c r="AA61" s="30" t="s">
        <v>90</v>
      </c>
      <c r="AB61" s="30" t="s">
        <v>57</v>
      </c>
      <c r="AC61" s="27"/>
      <c r="AD61" s="31" t="s">
        <v>56</v>
      </c>
      <c r="AE61" s="32" t="str">
        <f t="shared" si="2"/>
        <v>⚠ Missing</v>
      </c>
      <c r="AF61" s="33" t="s">
        <v>61</v>
      </c>
      <c r="AG61" s="33" t="s">
        <v>62</v>
      </c>
      <c r="AH61" s="33" t="s">
        <v>57</v>
      </c>
      <c r="AI61" s="33" t="s">
        <v>56</v>
      </c>
      <c r="AJ61" s="33" t="s">
        <v>60</v>
      </c>
      <c r="AK61" s="33" t="s">
        <v>57</v>
      </c>
      <c r="AL61" s="27"/>
      <c r="AM61" s="34" t="s">
        <v>57</v>
      </c>
      <c r="AN61" s="35" t="str">
        <f t="shared" si="3"/>
        <v>❌ Disc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4716</v>
      </c>
      <c r="C62" s="41" t="s">
        <v>4717</v>
      </c>
      <c r="D62" s="39" t="s">
        <v>4603</v>
      </c>
      <c r="E62" s="42">
        <v>46128</v>
      </c>
      <c r="F62" s="26" t="s">
        <v>55</v>
      </c>
      <c r="G62" s="44" t="s">
        <v>57</v>
      </c>
      <c r="H62" s="26" t="s">
        <v>57</v>
      </c>
      <c r="I62" s="44" t="s">
        <v>90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42">
        <v>46196</v>
      </c>
      <c r="O62" s="26" t="s">
        <v>55</v>
      </c>
      <c r="P62" s="44" t="s">
        <v>57</v>
      </c>
      <c r="Q62" s="26" t="s">
        <v>57</v>
      </c>
      <c r="R62" s="44" t="s">
        <v>90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70">
        <v>46248</v>
      </c>
      <c r="X62" s="30" t="s">
        <v>55</v>
      </c>
      <c r="Y62" s="30" t="s">
        <v>57</v>
      </c>
      <c r="Z62" s="30" t="s">
        <v>57</v>
      </c>
      <c r="AA62" s="30" t="s">
        <v>90</v>
      </c>
      <c r="AB62" s="30" t="s">
        <v>57</v>
      </c>
      <c r="AC62" s="27"/>
      <c r="AD62" s="31" t="s">
        <v>56</v>
      </c>
      <c r="AE62" s="32" t="str">
        <f t="shared" si="2"/>
        <v>⚠ Missing</v>
      </c>
      <c r="AF62" s="33" t="s">
        <v>61</v>
      </c>
      <c r="AG62" s="33" t="s">
        <v>62</v>
      </c>
      <c r="AH62" s="33" t="s">
        <v>57</v>
      </c>
      <c r="AI62" s="33" t="s">
        <v>56</v>
      </c>
      <c r="AJ62" s="33" t="s">
        <v>60</v>
      </c>
      <c r="AK62" s="33" t="s">
        <v>57</v>
      </c>
      <c r="AL62" s="27"/>
      <c r="AM62" s="34" t="s">
        <v>57</v>
      </c>
      <c r="AN62" s="35" t="str">
        <f t="shared" si="3"/>
        <v>❌ Disc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4718</v>
      </c>
      <c r="C63" s="25" t="s">
        <v>4719</v>
      </c>
      <c r="D63" s="23" t="s">
        <v>4603</v>
      </c>
      <c r="E63" s="42">
        <v>46128</v>
      </c>
      <c r="F63" s="26" t="s">
        <v>55</v>
      </c>
      <c r="G63" s="44" t="s">
        <v>57</v>
      </c>
      <c r="H63" s="26" t="s">
        <v>57</v>
      </c>
      <c r="I63" s="44" t="s">
        <v>90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42">
        <v>46196</v>
      </c>
      <c r="O63" s="26" t="s">
        <v>55</v>
      </c>
      <c r="P63" s="44" t="s">
        <v>57</v>
      </c>
      <c r="Q63" s="26" t="s">
        <v>57</v>
      </c>
      <c r="R63" s="44" t="s">
        <v>90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70">
        <v>46248</v>
      </c>
      <c r="X63" s="30" t="s">
        <v>55</v>
      </c>
      <c r="Y63" s="30" t="s">
        <v>57</v>
      </c>
      <c r="Z63" s="30" t="s">
        <v>57</v>
      </c>
      <c r="AA63" s="30" t="s">
        <v>90</v>
      </c>
      <c r="AB63" s="30" t="s">
        <v>57</v>
      </c>
      <c r="AC63" s="27"/>
      <c r="AD63" s="31" t="s">
        <v>56</v>
      </c>
      <c r="AE63" s="32" t="str">
        <f t="shared" si="2"/>
        <v>⚠ Missing</v>
      </c>
      <c r="AF63" s="33" t="s">
        <v>61</v>
      </c>
      <c r="AG63" s="33" t="s">
        <v>62</v>
      </c>
      <c r="AH63" s="33" t="s">
        <v>57</v>
      </c>
      <c r="AI63" s="33" t="s">
        <v>56</v>
      </c>
      <c r="AJ63" s="33" t="s">
        <v>60</v>
      </c>
      <c r="AK63" s="33" t="s">
        <v>57</v>
      </c>
      <c r="AL63" s="27"/>
      <c r="AM63" s="34" t="s">
        <v>57</v>
      </c>
      <c r="AN63" s="35" t="str">
        <f t="shared" si="3"/>
        <v>❌ Disc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4720</v>
      </c>
      <c r="C64" s="41" t="s">
        <v>4721</v>
      </c>
      <c r="D64" s="39" t="s">
        <v>4603</v>
      </c>
      <c r="E64" s="42">
        <v>46128</v>
      </c>
      <c r="F64" s="26" t="s">
        <v>55</v>
      </c>
      <c r="G64" s="44" t="s">
        <v>57</v>
      </c>
      <c r="H64" s="26" t="s">
        <v>57</v>
      </c>
      <c r="I64" s="44" t="s">
        <v>90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42">
        <v>46196</v>
      </c>
      <c r="O64" s="26" t="s">
        <v>55</v>
      </c>
      <c r="P64" s="44" t="s">
        <v>57</v>
      </c>
      <c r="Q64" s="26" t="s">
        <v>57</v>
      </c>
      <c r="R64" s="44" t="s">
        <v>90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70">
        <v>46248</v>
      </c>
      <c r="X64" s="30" t="s">
        <v>55</v>
      </c>
      <c r="Y64" s="30" t="s">
        <v>57</v>
      </c>
      <c r="Z64" s="30" t="s">
        <v>57</v>
      </c>
      <c r="AA64" s="30" t="s">
        <v>90</v>
      </c>
      <c r="AB64" s="30" t="s">
        <v>57</v>
      </c>
      <c r="AC64" s="27"/>
      <c r="AD64" s="31" t="s">
        <v>56</v>
      </c>
      <c r="AE64" s="32" t="str">
        <f t="shared" si="2"/>
        <v>⚠ Missing</v>
      </c>
      <c r="AF64" s="33" t="s">
        <v>61</v>
      </c>
      <c r="AG64" s="33" t="s">
        <v>62</v>
      </c>
      <c r="AH64" s="33" t="s">
        <v>57</v>
      </c>
      <c r="AI64" s="33" t="s">
        <v>56</v>
      </c>
      <c r="AJ64" s="33" t="s">
        <v>60</v>
      </c>
      <c r="AK64" s="33" t="s">
        <v>57</v>
      </c>
      <c r="AL64" s="27"/>
      <c r="AM64" s="34" t="s">
        <v>57</v>
      </c>
      <c r="AN64" s="35" t="str">
        <f t="shared" si="3"/>
        <v>❌ Disc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4722</v>
      </c>
      <c r="C65" s="25" t="s">
        <v>4723</v>
      </c>
      <c r="D65" s="23" t="s">
        <v>4603</v>
      </c>
      <c r="E65" s="42">
        <v>46128</v>
      </c>
      <c r="F65" s="26" t="s">
        <v>55</v>
      </c>
      <c r="G65" s="44" t="s">
        <v>57</v>
      </c>
      <c r="H65" s="26" t="s">
        <v>57</v>
      </c>
      <c r="I65" s="44" t="s">
        <v>90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42">
        <v>46196</v>
      </c>
      <c r="O65" s="26" t="s">
        <v>55</v>
      </c>
      <c r="P65" s="44" t="s">
        <v>57</v>
      </c>
      <c r="Q65" s="26" t="s">
        <v>57</v>
      </c>
      <c r="R65" s="44" t="s">
        <v>90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70">
        <v>46248</v>
      </c>
      <c r="X65" s="30" t="s">
        <v>55</v>
      </c>
      <c r="Y65" s="30" t="s">
        <v>57</v>
      </c>
      <c r="Z65" s="30" t="s">
        <v>57</v>
      </c>
      <c r="AA65" s="30" t="s">
        <v>90</v>
      </c>
      <c r="AB65" s="30" t="s">
        <v>57</v>
      </c>
      <c r="AC65" s="27"/>
      <c r="AD65" s="31" t="s">
        <v>56</v>
      </c>
      <c r="AE65" s="32" t="str">
        <f t="shared" si="2"/>
        <v>⚠ Missing</v>
      </c>
      <c r="AF65" s="33" t="s">
        <v>61</v>
      </c>
      <c r="AG65" s="33" t="s">
        <v>62</v>
      </c>
      <c r="AH65" s="33" t="s">
        <v>57</v>
      </c>
      <c r="AI65" s="33" t="s">
        <v>56</v>
      </c>
      <c r="AJ65" s="33" t="s">
        <v>60</v>
      </c>
      <c r="AK65" s="33" t="s">
        <v>57</v>
      </c>
      <c r="AL65" s="27"/>
      <c r="AM65" s="34" t="s">
        <v>57</v>
      </c>
      <c r="AN65" s="35" t="str">
        <f t="shared" si="3"/>
        <v>❌ Disc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4724</v>
      </c>
      <c r="C66" s="41" t="s">
        <v>4725</v>
      </c>
      <c r="D66" s="39" t="s">
        <v>4603</v>
      </c>
      <c r="E66" s="42">
        <v>46128</v>
      </c>
      <c r="F66" s="26" t="s">
        <v>55</v>
      </c>
      <c r="G66" s="44" t="s">
        <v>57</v>
      </c>
      <c r="H66" s="26" t="s">
        <v>57</v>
      </c>
      <c r="I66" s="44" t="s">
        <v>90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42">
        <v>46196</v>
      </c>
      <c r="O66" s="26" t="s">
        <v>55</v>
      </c>
      <c r="P66" s="44" t="s">
        <v>57</v>
      </c>
      <c r="Q66" s="26" t="s">
        <v>57</v>
      </c>
      <c r="R66" s="44" t="s">
        <v>90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70">
        <v>46248</v>
      </c>
      <c r="X66" s="30" t="s">
        <v>55</v>
      </c>
      <c r="Y66" s="30" t="s">
        <v>57</v>
      </c>
      <c r="Z66" s="30" t="s">
        <v>57</v>
      </c>
      <c r="AA66" s="30" t="s">
        <v>90</v>
      </c>
      <c r="AB66" s="30" t="s">
        <v>57</v>
      </c>
      <c r="AC66" s="27"/>
      <c r="AD66" s="31" t="s">
        <v>56</v>
      </c>
      <c r="AE66" s="32" t="str">
        <f t="shared" si="2"/>
        <v>⚠ Missing</v>
      </c>
      <c r="AF66" s="33" t="s">
        <v>61</v>
      </c>
      <c r="AG66" s="33" t="s">
        <v>62</v>
      </c>
      <c r="AH66" s="33" t="s">
        <v>57</v>
      </c>
      <c r="AI66" s="33" t="s">
        <v>56</v>
      </c>
      <c r="AJ66" s="33" t="s">
        <v>60</v>
      </c>
      <c r="AK66" s="33" t="s">
        <v>57</v>
      </c>
      <c r="AL66" s="27"/>
      <c r="AM66" s="34" t="s">
        <v>57</v>
      </c>
      <c r="AN66" s="35" t="str">
        <f t="shared" si="3"/>
        <v>❌ Disc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4726</v>
      </c>
      <c r="C67" s="25" t="s">
        <v>4727</v>
      </c>
      <c r="D67" s="23" t="s">
        <v>4603</v>
      </c>
      <c r="E67" s="42">
        <v>46128</v>
      </c>
      <c r="F67" s="26" t="s">
        <v>55</v>
      </c>
      <c r="G67" s="44" t="s">
        <v>57</v>
      </c>
      <c r="H67" s="26" t="s">
        <v>57</v>
      </c>
      <c r="I67" s="44" t="s">
        <v>90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42">
        <v>46196</v>
      </c>
      <c r="O67" s="26" t="s">
        <v>55</v>
      </c>
      <c r="P67" s="44" t="s">
        <v>57</v>
      </c>
      <c r="Q67" s="26" t="s">
        <v>57</v>
      </c>
      <c r="R67" s="44" t="s">
        <v>90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70">
        <v>46248</v>
      </c>
      <c r="X67" s="30" t="s">
        <v>55</v>
      </c>
      <c r="Y67" s="30" t="s">
        <v>57</v>
      </c>
      <c r="Z67" s="30" t="s">
        <v>57</v>
      </c>
      <c r="AA67" s="30" t="s">
        <v>90</v>
      </c>
      <c r="AB67" s="30" t="s">
        <v>57</v>
      </c>
      <c r="AC67" s="27"/>
      <c r="AD67" s="31" t="s">
        <v>56</v>
      </c>
      <c r="AE67" s="32" t="str">
        <f t="shared" si="2"/>
        <v>⚠ Missing</v>
      </c>
      <c r="AF67" s="33" t="s">
        <v>61</v>
      </c>
      <c r="AG67" s="33" t="s">
        <v>62</v>
      </c>
      <c r="AH67" s="33" t="s">
        <v>57</v>
      </c>
      <c r="AI67" s="33" t="s">
        <v>56</v>
      </c>
      <c r="AJ67" s="33" t="s">
        <v>60</v>
      </c>
      <c r="AK67" s="33" t="s">
        <v>57</v>
      </c>
      <c r="AL67" s="27"/>
      <c r="AM67" s="34" t="s">
        <v>57</v>
      </c>
      <c r="AN67" s="35" t="str">
        <f t="shared" si="3"/>
        <v>❌ Disc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4728</v>
      </c>
      <c r="C68" s="41" t="s">
        <v>4729</v>
      </c>
      <c r="D68" s="39" t="s">
        <v>4603</v>
      </c>
      <c r="E68" s="42">
        <v>46128</v>
      </c>
      <c r="F68" s="26" t="s">
        <v>55</v>
      </c>
      <c r="G68" s="44" t="s">
        <v>57</v>
      </c>
      <c r="H68" s="26" t="s">
        <v>57</v>
      </c>
      <c r="I68" s="44" t="s">
        <v>90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42">
        <v>46196</v>
      </c>
      <c r="O68" s="26" t="s">
        <v>55</v>
      </c>
      <c r="P68" s="44" t="s">
        <v>57</v>
      </c>
      <c r="Q68" s="26" t="s">
        <v>57</v>
      </c>
      <c r="R68" s="44" t="s">
        <v>90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70">
        <v>46248</v>
      </c>
      <c r="X68" s="30" t="s">
        <v>55</v>
      </c>
      <c r="Y68" s="30" t="s">
        <v>57</v>
      </c>
      <c r="Z68" s="30" t="s">
        <v>57</v>
      </c>
      <c r="AA68" s="30" t="s">
        <v>90</v>
      </c>
      <c r="AB68" s="30" t="s">
        <v>57</v>
      </c>
      <c r="AC68" s="27"/>
      <c r="AD68" s="31" t="s">
        <v>56</v>
      </c>
      <c r="AE68" s="32" t="str">
        <f t="shared" si="2"/>
        <v>⚠ Missing</v>
      </c>
      <c r="AF68" s="33" t="s">
        <v>61</v>
      </c>
      <c r="AG68" s="33" t="s">
        <v>62</v>
      </c>
      <c r="AH68" s="33" t="s">
        <v>57</v>
      </c>
      <c r="AI68" s="33" t="s">
        <v>56</v>
      </c>
      <c r="AJ68" s="33" t="s">
        <v>60</v>
      </c>
      <c r="AK68" s="33" t="s">
        <v>57</v>
      </c>
      <c r="AL68" s="27"/>
      <c r="AM68" s="34" t="s">
        <v>57</v>
      </c>
      <c r="AN68" s="35" t="str">
        <f t="shared" si="3"/>
        <v>❌ Disc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4730</v>
      </c>
      <c r="C69" s="25" t="s">
        <v>4731</v>
      </c>
      <c r="D69" s="23" t="s">
        <v>4603</v>
      </c>
      <c r="E69" s="42">
        <v>46128</v>
      </c>
      <c r="F69" s="26" t="s">
        <v>55</v>
      </c>
      <c r="G69" s="44" t="s">
        <v>57</v>
      </c>
      <c r="H69" s="26" t="s">
        <v>57</v>
      </c>
      <c r="I69" s="44" t="s">
        <v>90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42">
        <v>46196</v>
      </c>
      <c r="O69" s="26" t="s">
        <v>55</v>
      </c>
      <c r="P69" s="44" t="s">
        <v>57</v>
      </c>
      <c r="Q69" s="26" t="s">
        <v>57</v>
      </c>
      <c r="R69" s="44" t="s">
        <v>90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70">
        <v>46248</v>
      </c>
      <c r="X69" s="30" t="s">
        <v>55</v>
      </c>
      <c r="Y69" s="30" t="s">
        <v>57</v>
      </c>
      <c r="Z69" s="30" t="s">
        <v>57</v>
      </c>
      <c r="AA69" s="30" t="s">
        <v>90</v>
      </c>
      <c r="AB69" s="30" t="s">
        <v>57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⚠ Missing</v>
      </c>
      <c r="AF69" s="33" t="s">
        <v>61</v>
      </c>
      <c r="AG69" s="33" t="s">
        <v>62</v>
      </c>
      <c r="AH69" s="33" t="s">
        <v>57</v>
      </c>
      <c r="AI69" s="33" t="s">
        <v>56</v>
      </c>
      <c r="AJ69" s="33" t="s">
        <v>60</v>
      </c>
      <c r="AK69" s="33" t="s">
        <v>57</v>
      </c>
      <c r="AL69" s="27"/>
      <c r="AM69" s="34" t="s">
        <v>57</v>
      </c>
      <c r="AN69" s="35" t="str">
        <f t="shared" ref="AN69:AN132" si="8">IF(AF69="","",IF(AI69="Yes","❌ Disc",IF(AH69="No","⚠ Missing",IF(AK69="Yes","✓ OK","⚠ Check"))))</f>
        <v>❌ Disc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4732</v>
      </c>
      <c r="C70" s="41" t="s">
        <v>4733</v>
      </c>
      <c r="D70" s="39" t="s">
        <v>4603</v>
      </c>
      <c r="E70" s="42">
        <v>46128</v>
      </c>
      <c r="F70" s="26" t="s">
        <v>55</v>
      </c>
      <c r="G70" s="44" t="s">
        <v>57</v>
      </c>
      <c r="H70" s="26" t="s">
        <v>57</v>
      </c>
      <c r="I70" s="44" t="s">
        <v>90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42">
        <v>46196</v>
      </c>
      <c r="O70" s="26" t="s">
        <v>55</v>
      </c>
      <c r="P70" s="44" t="s">
        <v>57</v>
      </c>
      <c r="Q70" s="26" t="s">
        <v>57</v>
      </c>
      <c r="R70" s="44" t="s">
        <v>90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70">
        <v>46248</v>
      </c>
      <c r="X70" s="30" t="s">
        <v>55</v>
      </c>
      <c r="Y70" s="30" t="s">
        <v>57</v>
      </c>
      <c r="Z70" s="30" t="s">
        <v>57</v>
      </c>
      <c r="AA70" s="30" t="s">
        <v>90</v>
      </c>
      <c r="AB70" s="30" t="s">
        <v>57</v>
      </c>
      <c r="AC70" s="27"/>
      <c r="AD70" s="31" t="s">
        <v>56</v>
      </c>
      <c r="AE70" s="32" t="str">
        <f t="shared" si="7"/>
        <v>⚠ Missing</v>
      </c>
      <c r="AF70" s="33" t="s">
        <v>61</v>
      </c>
      <c r="AG70" s="33" t="s">
        <v>62</v>
      </c>
      <c r="AH70" s="33" t="s">
        <v>57</v>
      </c>
      <c r="AI70" s="33" t="s">
        <v>56</v>
      </c>
      <c r="AJ70" s="33" t="s">
        <v>60</v>
      </c>
      <c r="AK70" s="33" t="s">
        <v>57</v>
      </c>
      <c r="AL70" s="27"/>
      <c r="AM70" s="34" t="s">
        <v>57</v>
      </c>
      <c r="AN70" s="35" t="str">
        <f t="shared" si="8"/>
        <v>❌ Disc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4734</v>
      </c>
      <c r="C71" s="25" t="s">
        <v>4735</v>
      </c>
      <c r="D71" s="23" t="s">
        <v>4603</v>
      </c>
      <c r="E71" s="42">
        <v>46128</v>
      </c>
      <c r="F71" s="26" t="s">
        <v>55</v>
      </c>
      <c r="G71" s="44" t="s">
        <v>57</v>
      </c>
      <c r="H71" s="26" t="s">
        <v>57</v>
      </c>
      <c r="I71" s="44" t="s">
        <v>90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42">
        <v>46196</v>
      </c>
      <c r="O71" s="26" t="s">
        <v>55</v>
      </c>
      <c r="P71" s="44" t="s">
        <v>57</v>
      </c>
      <c r="Q71" s="26" t="s">
        <v>57</v>
      </c>
      <c r="R71" s="44" t="s">
        <v>90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70">
        <v>46248</v>
      </c>
      <c r="X71" s="30" t="s">
        <v>55</v>
      </c>
      <c r="Y71" s="30" t="s">
        <v>57</v>
      </c>
      <c r="Z71" s="30" t="s">
        <v>57</v>
      </c>
      <c r="AA71" s="30" t="s">
        <v>90</v>
      </c>
      <c r="AB71" s="30" t="s">
        <v>57</v>
      </c>
      <c r="AC71" s="27"/>
      <c r="AD71" s="31" t="s">
        <v>56</v>
      </c>
      <c r="AE71" s="32" t="str">
        <f t="shared" si="7"/>
        <v>⚠ Missing</v>
      </c>
      <c r="AF71" s="33" t="s">
        <v>61</v>
      </c>
      <c r="AG71" s="33" t="s">
        <v>62</v>
      </c>
      <c r="AH71" s="33" t="s">
        <v>57</v>
      </c>
      <c r="AI71" s="33" t="s">
        <v>56</v>
      </c>
      <c r="AJ71" s="33" t="s">
        <v>60</v>
      </c>
      <c r="AK71" s="33" t="s">
        <v>57</v>
      </c>
      <c r="AL71" s="27"/>
      <c r="AM71" s="34" t="s">
        <v>57</v>
      </c>
      <c r="AN71" s="35" t="str">
        <f t="shared" si="8"/>
        <v>❌ Disc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4736</v>
      </c>
      <c r="C72" s="41" t="s">
        <v>4737</v>
      </c>
      <c r="D72" s="39" t="s">
        <v>4603</v>
      </c>
      <c r="E72" s="42">
        <v>46128</v>
      </c>
      <c r="F72" s="26" t="s">
        <v>55</v>
      </c>
      <c r="G72" s="44" t="s">
        <v>57</v>
      </c>
      <c r="H72" s="26" t="s">
        <v>57</v>
      </c>
      <c r="I72" s="44" t="s">
        <v>90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42">
        <v>46196</v>
      </c>
      <c r="O72" s="26" t="s">
        <v>55</v>
      </c>
      <c r="P72" s="44" t="s">
        <v>57</v>
      </c>
      <c r="Q72" s="26" t="s">
        <v>57</v>
      </c>
      <c r="R72" s="44" t="s">
        <v>90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70">
        <v>46248</v>
      </c>
      <c r="X72" s="30" t="s">
        <v>55</v>
      </c>
      <c r="Y72" s="30" t="s">
        <v>57</v>
      </c>
      <c r="Z72" s="30" t="s">
        <v>57</v>
      </c>
      <c r="AA72" s="30" t="s">
        <v>90</v>
      </c>
      <c r="AB72" s="30" t="s">
        <v>57</v>
      </c>
      <c r="AC72" s="27"/>
      <c r="AD72" s="31" t="s">
        <v>56</v>
      </c>
      <c r="AE72" s="32" t="str">
        <f t="shared" si="7"/>
        <v>⚠ Missing</v>
      </c>
      <c r="AF72" s="33" t="s">
        <v>61</v>
      </c>
      <c r="AG72" s="33" t="s">
        <v>62</v>
      </c>
      <c r="AH72" s="33" t="s">
        <v>57</v>
      </c>
      <c r="AI72" s="33" t="s">
        <v>56</v>
      </c>
      <c r="AJ72" s="33" t="s">
        <v>60</v>
      </c>
      <c r="AK72" s="33" t="s">
        <v>57</v>
      </c>
      <c r="AL72" s="27"/>
      <c r="AM72" s="34" t="s">
        <v>57</v>
      </c>
      <c r="AN72" s="35" t="str">
        <f t="shared" si="8"/>
        <v>❌ Disc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4738</v>
      </c>
      <c r="C73" s="25" t="s">
        <v>4739</v>
      </c>
      <c r="D73" s="23" t="s">
        <v>4603</v>
      </c>
      <c r="E73" s="42">
        <v>46128</v>
      </c>
      <c r="F73" s="26" t="s">
        <v>55</v>
      </c>
      <c r="G73" s="44" t="s">
        <v>57</v>
      </c>
      <c r="H73" s="26" t="s">
        <v>57</v>
      </c>
      <c r="I73" s="44" t="s">
        <v>90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42">
        <v>46196</v>
      </c>
      <c r="O73" s="26" t="s">
        <v>55</v>
      </c>
      <c r="P73" s="44" t="s">
        <v>57</v>
      </c>
      <c r="Q73" s="26" t="s">
        <v>57</v>
      </c>
      <c r="R73" s="44" t="s">
        <v>90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70">
        <v>46248</v>
      </c>
      <c r="X73" s="30" t="s">
        <v>55</v>
      </c>
      <c r="Y73" s="30" t="s">
        <v>57</v>
      </c>
      <c r="Z73" s="30" t="s">
        <v>57</v>
      </c>
      <c r="AA73" s="30" t="s">
        <v>90</v>
      </c>
      <c r="AB73" s="30" t="s">
        <v>57</v>
      </c>
      <c r="AC73" s="27"/>
      <c r="AD73" s="31" t="s">
        <v>56</v>
      </c>
      <c r="AE73" s="32" t="str">
        <f t="shared" si="7"/>
        <v>⚠ Missing</v>
      </c>
      <c r="AF73" s="33" t="s">
        <v>61</v>
      </c>
      <c r="AG73" s="33" t="s">
        <v>62</v>
      </c>
      <c r="AH73" s="33" t="s">
        <v>57</v>
      </c>
      <c r="AI73" s="33" t="s">
        <v>56</v>
      </c>
      <c r="AJ73" s="33" t="s">
        <v>60</v>
      </c>
      <c r="AK73" s="33" t="s">
        <v>57</v>
      </c>
      <c r="AL73" s="27"/>
      <c r="AM73" s="34" t="s">
        <v>57</v>
      </c>
      <c r="AN73" s="35" t="str">
        <f t="shared" si="8"/>
        <v>❌ Disc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4740</v>
      </c>
      <c r="C74" s="41" t="s">
        <v>4741</v>
      </c>
      <c r="D74" s="39" t="s">
        <v>4603</v>
      </c>
      <c r="E74" s="42">
        <v>46128</v>
      </c>
      <c r="F74" s="26" t="s">
        <v>55</v>
      </c>
      <c r="G74" s="44" t="s">
        <v>57</v>
      </c>
      <c r="H74" s="26" t="s">
        <v>57</v>
      </c>
      <c r="I74" s="44" t="s">
        <v>90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42">
        <v>46196</v>
      </c>
      <c r="O74" s="26" t="s">
        <v>55</v>
      </c>
      <c r="P74" s="44" t="s">
        <v>57</v>
      </c>
      <c r="Q74" s="26" t="s">
        <v>57</v>
      </c>
      <c r="R74" s="44" t="s">
        <v>90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70">
        <v>46248</v>
      </c>
      <c r="X74" s="30" t="s">
        <v>55</v>
      </c>
      <c r="Y74" s="30" t="s">
        <v>57</v>
      </c>
      <c r="Z74" s="30" t="s">
        <v>57</v>
      </c>
      <c r="AA74" s="30" t="s">
        <v>90</v>
      </c>
      <c r="AB74" s="30" t="s">
        <v>57</v>
      </c>
      <c r="AC74" s="27"/>
      <c r="AD74" s="31" t="s">
        <v>56</v>
      </c>
      <c r="AE74" s="32" t="str">
        <f t="shared" si="7"/>
        <v>⚠ Missing</v>
      </c>
      <c r="AF74" s="33" t="s">
        <v>61</v>
      </c>
      <c r="AG74" s="33" t="s">
        <v>62</v>
      </c>
      <c r="AH74" s="33" t="s">
        <v>57</v>
      </c>
      <c r="AI74" s="33" t="s">
        <v>56</v>
      </c>
      <c r="AJ74" s="33" t="s">
        <v>60</v>
      </c>
      <c r="AK74" s="33" t="s">
        <v>57</v>
      </c>
      <c r="AL74" s="27"/>
      <c r="AM74" s="34" t="s">
        <v>57</v>
      </c>
      <c r="AN74" s="35" t="str">
        <f t="shared" si="8"/>
        <v>❌ Disc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4742</v>
      </c>
      <c r="C75" s="25" t="s">
        <v>4743</v>
      </c>
      <c r="D75" s="23" t="s">
        <v>4603</v>
      </c>
      <c r="E75" s="42">
        <v>46128</v>
      </c>
      <c r="F75" s="26" t="s">
        <v>55</v>
      </c>
      <c r="G75" s="44" t="s">
        <v>57</v>
      </c>
      <c r="H75" s="26" t="s">
        <v>57</v>
      </c>
      <c r="I75" s="44" t="s">
        <v>90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42">
        <v>46196</v>
      </c>
      <c r="O75" s="26" t="s">
        <v>55</v>
      </c>
      <c r="P75" s="44" t="s">
        <v>57</v>
      </c>
      <c r="Q75" s="26" t="s">
        <v>57</v>
      </c>
      <c r="R75" s="44" t="s">
        <v>90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70">
        <v>46248</v>
      </c>
      <c r="X75" s="30" t="s">
        <v>55</v>
      </c>
      <c r="Y75" s="30" t="s">
        <v>57</v>
      </c>
      <c r="Z75" s="30" t="s">
        <v>57</v>
      </c>
      <c r="AA75" s="30" t="s">
        <v>90</v>
      </c>
      <c r="AB75" s="30" t="s">
        <v>57</v>
      </c>
      <c r="AC75" s="27"/>
      <c r="AD75" s="31" t="s">
        <v>56</v>
      </c>
      <c r="AE75" s="32" t="str">
        <f t="shared" si="7"/>
        <v>⚠ Missing</v>
      </c>
      <c r="AF75" s="33" t="s">
        <v>61</v>
      </c>
      <c r="AG75" s="33" t="s">
        <v>62</v>
      </c>
      <c r="AH75" s="33" t="s">
        <v>57</v>
      </c>
      <c r="AI75" s="33" t="s">
        <v>56</v>
      </c>
      <c r="AJ75" s="33" t="s">
        <v>60</v>
      </c>
      <c r="AK75" s="33" t="s">
        <v>57</v>
      </c>
      <c r="AL75" s="27"/>
      <c r="AM75" s="34" t="s">
        <v>57</v>
      </c>
      <c r="AN75" s="35" t="str">
        <f t="shared" si="8"/>
        <v>❌ Disc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4744</v>
      </c>
      <c r="C76" s="41" t="s">
        <v>4745</v>
      </c>
      <c r="D76" s="39" t="s">
        <v>4603</v>
      </c>
      <c r="E76" s="42">
        <v>46128</v>
      </c>
      <c r="F76" s="26" t="s">
        <v>55</v>
      </c>
      <c r="G76" s="44" t="s">
        <v>57</v>
      </c>
      <c r="H76" s="26" t="s">
        <v>57</v>
      </c>
      <c r="I76" s="44" t="s">
        <v>90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42">
        <v>46196</v>
      </c>
      <c r="O76" s="26" t="s">
        <v>55</v>
      </c>
      <c r="P76" s="44" t="s">
        <v>57</v>
      </c>
      <c r="Q76" s="26" t="s">
        <v>57</v>
      </c>
      <c r="R76" s="44" t="s">
        <v>90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70">
        <v>46248</v>
      </c>
      <c r="X76" s="30" t="s">
        <v>55</v>
      </c>
      <c r="Y76" s="30" t="s">
        <v>57</v>
      </c>
      <c r="Z76" s="30" t="s">
        <v>57</v>
      </c>
      <c r="AA76" s="30" t="s">
        <v>90</v>
      </c>
      <c r="AB76" s="30" t="s">
        <v>57</v>
      </c>
      <c r="AC76" s="27"/>
      <c r="AD76" s="31" t="s">
        <v>56</v>
      </c>
      <c r="AE76" s="32" t="str">
        <f t="shared" si="7"/>
        <v>⚠ Missing</v>
      </c>
      <c r="AF76" s="33" t="s">
        <v>61</v>
      </c>
      <c r="AG76" s="33" t="s">
        <v>62</v>
      </c>
      <c r="AH76" s="33" t="s">
        <v>57</v>
      </c>
      <c r="AI76" s="33" t="s">
        <v>56</v>
      </c>
      <c r="AJ76" s="33" t="s">
        <v>60</v>
      </c>
      <c r="AK76" s="33" t="s">
        <v>57</v>
      </c>
      <c r="AL76" s="27"/>
      <c r="AM76" s="34" t="s">
        <v>57</v>
      </c>
      <c r="AN76" s="35" t="str">
        <f t="shared" si="8"/>
        <v>❌ Disc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4746</v>
      </c>
      <c r="C77" s="25" t="s">
        <v>4747</v>
      </c>
      <c r="D77" s="23" t="s">
        <v>4603</v>
      </c>
      <c r="E77" s="42">
        <v>46128</v>
      </c>
      <c r="F77" s="26" t="s">
        <v>55</v>
      </c>
      <c r="G77" s="44" t="s">
        <v>57</v>
      </c>
      <c r="H77" s="26" t="s">
        <v>57</v>
      </c>
      <c r="I77" s="44" t="s">
        <v>90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42">
        <v>46196</v>
      </c>
      <c r="O77" s="26" t="s">
        <v>55</v>
      </c>
      <c r="P77" s="44" t="s">
        <v>57</v>
      </c>
      <c r="Q77" s="26" t="s">
        <v>57</v>
      </c>
      <c r="R77" s="44" t="s">
        <v>90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70">
        <v>46248</v>
      </c>
      <c r="X77" s="30" t="s">
        <v>55</v>
      </c>
      <c r="Y77" s="30" t="s">
        <v>57</v>
      </c>
      <c r="Z77" s="30" t="s">
        <v>57</v>
      </c>
      <c r="AA77" s="30" t="s">
        <v>90</v>
      </c>
      <c r="AB77" s="30" t="s">
        <v>57</v>
      </c>
      <c r="AC77" s="27"/>
      <c r="AD77" s="31" t="s">
        <v>56</v>
      </c>
      <c r="AE77" s="32" t="str">
        <f t="shared" si="7"/>
        <v>⚠ Missing</v>
      </c>
      <c r="AF77" s="33" t="s">
        <v>61</v>
      </c>
      <c r="AG77" s="33" t="s">
        <v>62</v>
      </c>
      <c r="AH77" s="33" t="s">
        <v>57</v>
      </c>
      <c r="AI77" s="33" t="s">
        <v>56</v>
      </c>
      <c r="AJ77" s="33" t="s">
        <v>60</v>
      </c>
      <c r="AK77" s="33" t="s">
        <v>57</v>
      </c>
      <c r="AL77" s="27"/>
      <c r="AM77" s="34" t="s">
        <v>57</v>
      </c>
      <c r="AN77" s="35" t="str">
        <f t="shared" si="8"/>
        <v>❌ Disc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4748</v>
      </c>
      <c r="C78" s="41" t="s">
        <v>4749</v>
      </c>
      <c r="D78" s="39" t="s">
        <v>4603</v>
      </c>
      <c r="E78" s="42">
        <v>46128</v>
      </c>
      <c r="F78" s="26" t="s">
        <v>55</v>
      </c>
      <c r="G78" s="44" t="s">
        <v>57</v>
      </c>
      <c r="H78" s="26" t="s">
        <v>57</v>
      </c>
      <c r="I78" s="44" t="s">
        <v>90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42">
        <v>46196</v>
      </c>
      <c r="O78" s="26" t="s">
        <v>55</v>
      </c>
      <c r="P78" s="44" t="s">
        <v>57</v>
      </c>
      <c r="Q78" s="26" t="s">
        <v>57</v>
      </c>
      <c r="R78" s="44" t="s">
        <v>90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70">
        <v>46248</v>
      </c>
      <c r="X78" s="30" t="s">
        <v>55</v>
      </c>
      <c r="Y78" s="30" t="s">
        <v>57</v>
      </c>
      <c r="Z78" s="30" t="s">
        <v>57</v>
      </c>
      <c r="AA78" s="30" t="s">
        <v>90</v>
      </c>
      <c r="AB78" s="30" t="s">
        <v>57</v>
      </c>
      <c r="AC78" s="27"/>
      <c r="AD78" s="31" t="s">
        <v>56</v>
      </c>
      <c r="AE78" s="32" t="str">
        <f t="shared" si="7"/>
        <v>⚠ Missing</v>
      </c>
      <c r="AF78" s="33" t="s">
        <v>61</v>
      </c>
      <c r="AG78" s="33" t="s">
        <v>62</v>
      </c>
      <c r="AH78" s="33" t="s">
        <v>57</v>
      </c>
      <c r="AI78" s="33" t="s">
        <v>56</v>
      </c>
      <c r="AJ78" s="33" t="s">
        <v>60</v>
      </c>
      <c r="AK78" s="33" t="s">
        <v>57</v>
      </c>
      <c r="AL78" s="27"/>
      <c r="AM78" s="34" t="s">
        <v>57</v>
      </c>
      <c r="AN78" s="35" t="str">
        <f t="shared" si="8"/>
        <v>❌ Disc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4750</v>
      </c>
      <c r="C79" s="25" t="s">
        <v>4751</v>
      </c>
      <c r="D79" s="23" t="s">
        <v>4603</v>
      </c>
      <c r="E79" s="42">
        <v>46128</v>
      </c>
      <c r="F79" s="26" t="s">
        <v>55</v>
      </c>
      <c r="G79" s="44" t="s">
        <v>57</v>
      </c>
      <c r="H79" s="26" t="s">
        <v>57</v>
      </c>
      <c r="I79" s="44" t="s">
        <v>90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42">
        <v>46196</v>
      </c>
      <c r="O79" s="26" t="s">
        <v>55</v>
      </c>
      <c r="P79" s="44" t="s">
        <v>57</v>
      </c>
      <c r="Q79" s="26" t="s">
        <v>57</v>
      </c>
      <c r="R79" s="44" t="s">
        <v>90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70">
        <v>46248</v>
      </c>
      <c r="X79" s="30" t="s">
        <v>55</v>
      </c>
      <c r="Y79" s="30" t="s">
        <v>57</v>
      </c>
      <c r="Z79" s="30" t="s">
        <v>57</v>
      </c>
      <c r="AA79" s="30" t="s">
        <v>90</v>
      </c>
      <c r="AB79" s="30" t="s">
        <v>57</v>
      </c>
      <c r="AC79" s="27"/>
      <c r="AD79" s="31" t="s">
        <v>56</v>
      </c>
      <c r="AE79" s="32" t="str">
        <f t="shared" si="7"/>
        <v>⚠ Missing</v>
      </c>
      <c r="AF79" s="33" t="s">
        <v>61</v>
      </c>
      <c r="AG79" s="33" t="s">
        <v>62</v>
      </c>
      <c r="AH79" s="33" t="s">
        <v>57</v>
      </c>
      <c r="AI79" s="33" t="s">
        <v>56</v>
      </c>
      <c r="AJ79" s="33" t="s">
        <v>60</v>
      </c>
      <c r="AK79" s="33" t="s">
        <v>57</v>
      </c>
      <c r="AL79" s="27"/>
      <c r="AM79" s="34" t="s">
        <v>57</v>
      </c>
      <c r="AN79" s="35" t="str">
        <f t="shared" si="8"/>
        <v>❌ Disc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4752</v>
      </c>
      <c r="C80" s="41" t="s">
        <v>4753</v>
      </c>
      <c r="D80" s="39" t="s">
        <v>4603</v>
      </c>
      <c r="E80" s="42">
        <v>46128</v>
      </c>
      <c r="F80" s="26" t="s">
        <v>55</v>
      </c>
      <c r="G80" s="44" t="s">
        <v>57</v>
      </c>
      <c r="H80" s="26" t="s">
        <v>57</v>
      </c>
      <c r="I80" s="44" t="s">
        <v>90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42">
        <v>46196</v>
      </c>
      <c r="O80" s="26" t="s">
        <v>55</v>
      </c>
      <c r="P80" s="44" t="s">
        <v>57</v>
      </c>
      <c r="Q80" s="26" t="s">
        <v>57</v>
      </c>
      <c r="R80" s="44" t="s">
        <v>90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70">
        <v>46248</v>
      </c>
      <c r="X80" s="30" t="s">
        <v>55</v>
      </c>
      <c r="Y80" s="30" t="s">
        <v>57</v>
      </c>
      <c r="Z80" s="30" t="s">
        <v>57</v>
      </c>
      <c r="AA80" s="30" t="s">
        <v>90</v>
      </c>
      <c r="AB80" s="30" t="s">
        <v>57</v>
      </c>
      <c r="AC80" s="27"/>
      <c r="AD80" s="31" t="s">
        <v>56</v>
      </c>
      <c r="AE80" s="32" t="str">
        <f t="shared" si="7"/>
        <v>⚠ Missing</v>
      </c>
      <c r="AF80" s="33" t="s">
        <v>61</v>
      </c>
      <c r="AG80" s="33" t="s">
        <v>62</v>
      </c>
      <c r="AH80" s="33" t="s">
        <v>57</v>
      </c>
      <c r="AI80" s="33" t="s">
        <v>56</v>
      </c>
      <c r="AJ80" s="33" t="s">
        <v>60</v>
      </c>
      <c r="AK80" s="33" t="s">
        <v>57</v>
      </c>
      <c r="AL80" s="27"/>
      <c r="AM80" s="34" t="s">
        <v>57</v>
      </c>
      <c r="AN80" s="35" t="str">
        <f t="shared" si="8"/>
        <v>❌ Disc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4754</v>
      </c>
      <c r="C81" s="25" t="s">
        <v>4755</v>
      </c>
      <c r="D81" s="23" t="s">
        <v>4603</v>
      </c>
      <c r="E81" s="42">
        <v>46128</v>
      </c>
      <c r="F81" s="26" t="s">
        <v>55</v>
      </c>
      <c r="G81" s="44" t="s">
        <v>57</v>
      </c>
      <c r="H81" s="26" t="s">
        <v>57</v>
      </c>
      <c r="I81" s="44" t="s">
        <v>90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42">
        <v>46196</v>
      </c>
      <c r="O81" s="26" t="s">
        <v>55</v>
      </c>
      <c r="P81" s="44" t="s">
        <v>57</v>
      </c>
      <c r="Q81" s="26" t="s">
        <v>57</v>
      </c>
      <c r="R81" s="44" t="s">
        <v>90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70">
        <v>46248</v>
      </c>
      <c r="X81" s="30" t="s">
        <v>55</v>
      </c>
      <c r="Y81" s="30" t="s">
        <v>57</v>
      </c>
      <c r="Z81" s="30" t="s">
        <v>57</v>
      </c>
      <c r="AA81" s="30" t="s">
        <v>90</v>
      </c>
      <c r="AB81" s="30" t="s">
        <v>57</v>
      </c>
      <c r="AC81" s="27"/>
      <c r="AD81" s="31" t="s">
        <v>56</v>
      </c>
      <c r="AE81" s="32" t="str">
        <f t="shared" si="7"/>
        <v>⚠ Missing</v>
      </c>
      <c r="AF81" s="33" t="s">
        <v>61</v>
      </c>
      <c r="AG81" s="33" t="s">
        <v>62</v>
      </c>
      <c r="AH81" s="33" t="s">
        <v>57</v>
      </c>
      <c r="AI81" s="33" t="s">
        <v>56</v>
      </c>
      <c r="AJ81" s="33" t="s">
        <v>60</v>
      </c>
      <c r="AK81" s="33" t="s">
        <v>57</v>
      </c>
      <c r="AL81" s="27"/>
      <c r="AM81" s="34" t="s">
        <v>57</v>
      </c>
      <c r="AN81" s="35" t="str">
        <f t="shared" si="8"/>
        <v>❌ Disc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4756</v>
      </c>
      <c r="C82" s="41" t="s">
        <v>4757</v>
      </c>
      <c r="D82" s="39" t="s">
        <v>4603</v>
      </c>
      <c r="E82" s="42">
        <v>46128</v>
      </c>
      <c r="F82" s="26" t="s">
        <v>55</v>
      </c>
      <c r="G82" s="44" t="s">
        <v>57</v>
      </c>
      <c r="H82" s="26" t="s">
        <v>57</v>
      </c>
      <c r="I82" s="44" t="s">
        <v>90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42">
        <v>46196</v>
      </c>
      <c r="O82" s="26" t="s">
        <v>55</v>
      </c>
      <c r="P82" s="44" t="s">
        <v>57</v>
      </c>
      <c r="Q82" s="26" t="s">
        <v>57</v>
      </c>
      <c r="R82" s="44" t="s">
        <v>90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70">
        <v>46248</v>
      </c>
      <c r="X82" s="30" t="s">
        <v>55</v>
      </c>
      <c r="Y82" s="30" t="s">
        <v>57</v>
      </c>
      <c r="Z82" s="30" t="s">
        <v>57</v>
      </c>
      <c r="AA82" s="30" t="s">
        <v>90</v>
      </c>
      <c r="AB82" s="30" t="s">
        <v>57</v>
      </c>
      <c r="AC82" s="27"/>
      <c r="AD82" s="31" t="s">
        <v>56</v>
      </c>
      <c r="AE82" s="32" t="str">
        <f t="shared" si="7"/>
        <v>⚠ Missing</v>
      </c>
      <c r="AF82" s="33" t="s">
        <v>61</v>
      </c>
      <c r="AG82" s="33" t="s">
        <v>55</v>
      </c>
      <c r="AH82" s="33" t="s">
        <v>57</v>
      </c>
      <c r="AI82" s="33" t="s">
        <v>57</v>
      </c>
      <c r="AJ82" s="33" t="s">
        <v>90</v>
      </c>
      <c r="AK82" s="33" t="s">
        <v>57</v>
      </c>
      <c r="AL82" s="27"/>
      <c r="AM82" s="34" t="s">
        <v>56</v>
      </c>
      <c r="AN82" s="35" t="str">
        <f t="shared" si="8"/>
        <v>⚠ Missing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4758</v>
      </c>
      <c r="C83" s="25" t="s">
        <v>4759</v>
      </c>
      <c r="D83" s="23" t="s">
        <v>4603</v>
      </c>
      <c r="E83" s="42">
        <v>46128</v>
      </c>
      <c r="F83" s="26" t="s">
        <v>55</v>
      </c>
      <c r="G83" s="44" t="s">
        <v>57</v>
      </c>
      <c r="H83" s="26" t="s">
        <v>57</v>
      </c>
      <c r="I83" s="44" t="s">
        <v>90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42">
        <v>46196</v>
      </c>
      <c r="O83" s="26" t="s">
        <v>55</v>
      </c>
      <c r="P83" s="44" t="s">
        <v>57</v>
      </c>
      <c r="Q83" s="26" t="s">
        <v>57</v>
      </c>
      <c r="R83" s="44" t="s">
        <v>90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70">
        <v>46248</v>
      </c>
      <c r="X83" s="30" t="s">
        <v>55</v>
      </c>
      <c r="Y83" s="30" t="s">
        <v>57</v>
      </c>
      <c r="Z83" s="30" t="s">
        <v>57</v>
      </c>
      <c r="AA83" s="30" t="s">
        <v>90</v>
      </c>
      <c r="AB83" s="30" t="s">
        <v>57</v>
      </c>
      <c r="AC83" s="27"/>
      <c r="AD83" s="31" t="s">
        <v>56</v>
      </c>
      <c r="AE83" s="32" t="str">
        <f t="shared" si="7"/>
        <v>⚠ Missing</v>
      </c>
      <c r="AF83" s="33" t="s">
        <v>61</v>
      </c>
      <c r="AG83" s="33" t="s">
        <v>62</v>
      </c>
      <c r="AH83" s="33" t="s">
        <v>57</v>
      </c>
      <c r="AI83" s="33" t="s">
        <v>56</v>
      </c>
      <c r="AJ83" s="33" t="s">
        <v>60</v>
      </c>
      <c r="AK83" s="33" t="s">
        <v>57</v>
      </c>
      <c r="AL83" s="27"/>
      <c r="AM83" s="34" t="s">
        <v>57</v>
      </c>
      <c r="AN83" s="35" t="str">
        <f t="shared" si="8"/>
        <v>❌ Disc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4760</v>
      </c>
      <c r="C84" s="41" t="s">
        <v>4761</v>
      </c>
      <c r="D84" s="39" t="s">
        <v>4603</v>
      </c>
      <c r="E84" s="42">
        <v>46128</v>
      </c>
      <c r="F84" s="26" t="s">
        <v>55</v>
      </c>
      <c r="G84" s="44" t="s">
        <v>57</v>
      </c>
      <c r="H84" s="26" t="s">
        <v>57</v>
      </c>
      <c r="I84" s="44" t="s">
        <v>90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42">
        <v>46196</v>
      </c>
      <c r="O84" s="26" t="s">
        <v>55</v>
      </c>
      <c r="P84" s="44" t="s">
        <v>57</v>
      </c>
      <c r="Q84" s="26" t="s">
        <v>57</v>
      </c>
      <c r="R84" s="44" t="s">
        <v>90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70">
        <v>46248</v>
      </c>
      <c r="X84" s="30" t="s">
        <v>55</v>
      </c>
      <c r="Y84" s="30" t="s">
        <v>57</v>
      </c>
      <c r="Z84" s="30" t="s">
        <v>57</v>
      </c>
      <c r="AA84" s="30" t="s">
        <v>90</v>
      </c>
      <c r="AB84" s="30" t="s">
        <v>57</v>
      </c>
      <c r="AC84" s="27"/>
      <c r="AD84" s="31" t="s">
        <v>56</v>
      </c>
      <c r="AE84" s="32" t="str">
        <f t="shared" si="7"/>
        <v>⚠ Missing</v>
      </c>
      <c r="AF84" s="33" t="s">
        <v>61</v>
      </c>
      <c r="AG84" s="33" t="s">
        <v>62</v>
      </c>
      <c r="AH84" s="33" t="s">
        <v>57</v>
      </c>
      <c r="AI84" s="33" t="s">
        <v>56</v>
      </c>
      <c r="AJ84" s="33" t="s">
        <v>60</v>
      </c>
      <c r="AK84" s="33" t="s">
        <v>57</v>
      </c>
      <c r="AL84" s="27"/>
      <c r="AM84" s="34" t="s">
        <v>57</v>
      </c>
      <c r="AN84" s="35" t="str">
        <f t="shared" si="8"/>
        <v>❌ Disc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4762</v>
      </c>
      <c r="C85" s="25" t="s">
        <v>4763</v>
      </c>
      <c r="D85" s="23" t="s">
        <v>4603</v>
      </c>
      <c r="E85" s="42">
        <v>46128</v>
      </c>
      <c r="F85" s="26" t="s">
        <v>55</v>
      </c>
      <c r="G85" s="44" t="s">
        <v>57</v>
      </c>
      <c r="H85" s="26" t="s">
        <v>57</v>
      </c>
      <c r="I85" s="44" t="s">
        <v>90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42">
        <v>46196</v>
      </c>
      <c r="O85" s="26" t="s">
        <v>55</v>
      </c>
      <c r="P85" s="44" t="s">
        <v>57</v>
      </c>
      <c r="Q85" s="26" t="s">
        <v>57</v>
      </c>
      <c r="R85" s="44" t="s">
        <v>90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70">
        <v>46248</v>
      </c>
      <c r="X85" s="30" t="s">
        <v>55</v>
      </c>
      <c r="Y85" s="30" t="s">
        <v>57</v>
      </c>
      <c r="Z85" s="30" t="s">
        <v>57</v>
      </c>
      <c r="AA85" s="30" t="s">
        <v>90</v>
      </c>
      <c r="AB85" s="30" t="s">
        <v>57</v>
      </c>
      <c r="AC85" s="27"/>
      <c r="AD85" s="31" t="s">
        <v>56</v>
      </c>
      <c r="AE85" s="32" t="str">
        <f t="shared" si="7"/>
        <v>⚠ Missing</v>
      </c>
      <c r="AF85" s="33" t="s">
        <v>61</v>
      </c>
      <c r="AG85" s="33" t="s">
        <v>62</v>
      </c>
      <c r="AH85" s="33" t="s">
        <v>57</v>
      </c>
      <c r="AI85" s="33" t="s">
        <v>56</v>
      </c>
      <c r="AJ85" s="33" t="s">
        <v>60</v>
      </c>
      <c r="AK85" s="33" t="s">
        <v>57</v>
      </c>
      <c r="AL85" s="27"/>
      <c r="AM85" s="34" t="s">
        <v>57</v>
      </c>
      <c r="AN85" s="35" t="str">
        <f t="shared" si="8"/>
        <v>❌ Disc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4764</v>
      </c>
      <c r="C86" s="41" t="s">
        <v>4765</v>
      </c>
      <c r="D86" s="39" t="s">
        <v>4603</v>
      </c>
      <c r="E86" s="42">
        <v>46128</v>
      </c>
      <c r="F86" s="26" t="s">
        <v>55</v>
      </c>
      <c r="G86" s="44" t="s">
        <v>57</v>
      </c>
      <c r="H86" s="26" t="s">
        <v>57</v>
      </c>
      <c r="I86" s="44" t="s">
        <v>90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42">
        <v>46196</v>
      </c>
      <c r="O86" s="26" t="s">
        <v>55</v>
      </c>
      <c r="P86" s="44" t="s">
        <v>57</v>
      </c>
      <c r="Q86" s="26" t="s">
        <v>57</v>
      </c>
      <c r="R86" s="44" t="s">
        <v>90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70">
        <v>46248</v>
      </c>
      <c r="X86" s="30" t="s">
        <v>55</v>
      </c>
      <c r="Y86" s="30" t="s">
        <v>57</v>
      </c>
      <c r="Z86" s="30" t="s">
        <v>57</v>
      </c>
      <c r="AA86" s="30" t="s">
        <v>90</v>
      </c>
      <c r="AB86" s="30" t="s">
        <v>57</v>
      </c>
      <c r="AC86" s="27"/>
      <c r="AD86" s="31" t="s">
        <v>56</v>
      </c>
      <c r="AE86" s="32" t="str">
        <f t="shared" si="7"/>
        <v>⚠ Missing</v>
      </c>
      <c r="AF86" s="33" t="s">
        <v>61</v>
      </c>
      <c r="AG86" s="33" t="s">
        <v>62</v>
      </c>
      <c r="AH86" s="33" t="s">
        <v>57</v>
      </c>
      <c r="AI86" s="33" t="s">
        <v>56</v>
      </c>
      <c r="AJ86" s="33" t="s">
        <v>60</v>
      </c>
      <c r="AK86" s="33" t="s">
        <v>57</v>
      </c>
      <c r="AL86" s="27"/>
      <c r="AM86" s="34" t="s">
        <v>57</v>
      </c>
      <c r="AN86" s="35" t="str">
        <f t="shared" si="8"/>
        <v>❌ Disc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4766</v>
      </c>
      <c r="C87" s="25" t="s">
        <v>4767</v>
      </c>
      <c r="D87" s="23" t="s">
        <v>4603</v>
      </c>
      <c r="E87" s="42">
        <v>46128</v>
      </c>
      <c r="F87" s="26" t="s">
        <v>55</v>
      </c>
      <c r="G87" s="44" t="s">
        <v>57</v>
      </c>
      <c r="H87" s="26" t="s">
        <v>57</v>
      </c>
      <c r="I87" s="44" t="s">
        <v>90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42">
        <v>46196</v>
      </c>
      <c r="O87" s="26" t="s">
        <v>55</v>
      </c>
      <c r="P87" s="44" t="s">
        <v>57</v>
      </c>
      <c r="Q87" s="26" t="s">
        <v>57</v>
      </c>
      <c r="R87" s="44" t="s">
        <v>90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70">
        <v>46248</v>
      </c>
      <c r="X87" s="30" t="s">
        <v>55</v>
      </c>
      <c r="Y87" s="30" t="s">
        <v>57</v>
      </c>
      <c r="Z87" s="30" t="s">
        <v>57</v>
      </c>
      <c r="AA87" s="30" t="s">
        <v>90</v>
      </c>
      <c r="AB87" s="30" t="s">
        <v>57</v>
      </c>
      <c r="AC87" s="27"/>
      <c r="AD87" s="31" t="s">
        <v>56</v>
      </c>
      <c r="AE87" s="32" t="str">
        <f t="shared" si="7"/>
        <v>⚠ Missing</v>
      </c>
      <c r="AF87" s="33" t="s">
        <v>61</v>
      </c>
      <c r="AG87" s="33" t="s">
        <v>62</v>
      </c>
      <c r="AH87" s="33" t="s">
        <v>57</v>
      </c>
      <c r="AI87" s="33" t="s">
        <v>56</v>
      </c>
      <c r="AJ87" s="33" t="s">
        <v>60</v>
      </c>
      <c r="AK87" s="33" t="s">
        <v>57</v>
      </c>
      <c r="AL87" s="27"/>
      <c r="AM87" s="34" t="s">
        <v>57</v>
      </c>
      <c r="AN87" s="35" t="str">
        <f t="shared" si="8"/>
        <v>❌ Disc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4768</v>
      </c>
      <c r="C88" s="41" t="s">
        <v>4769</v>
      </c>
      <c r="D88" s="39" t="s">
        <v>4603</v>
      </c>
      <c r="E88" s="42">
        <v>46128</v>
      </c>
      <c r="F88" s="26" t="s">
        <v>55</v>
      </c>
      <c r="G88" s="44" t="s">
        <v>57</v>
      </c>
      <c r="H88" s="26" t="s">
        <v>57</v>
      </c>
      <c r="I88" s="44" t="s">
        <v>90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42">
        <v>46196</v>
      </c>
      <c r="O88" s="26" t="s">
        <v>55</v>
      </c>
      <c r="P88" s="44" t="s">
        <v>57</v>
      </c>
      <c r="Q88" s="26" t="s">
        <v>57</v>
      </c>
      <c r="R88" s="44" t="s">
        <v>90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70">
        <v>46248</v>
      </c>
      <c r="X88" s="30" t="s">
        <v>55</v>
      </c>
      <c r="Y88" s="30" t="s">
        <v>57</v>
      </c>
      <c r="Z88" s="30" t="s">
        <v>57</v>
      </c>
      <c r="AA88" s="30" t="s">
        <v>90</v>
      </c>
      <c r="AB88" s="30" t="s">
        <v>57</v>
      </c>
      <c r="AC88" s="27"/>
      <c r="AD88" s="31" t="s">
        <v>56</v>
      </c>
      <c r="AE88" s="32" t="str">
        <f t="shared" si="7"/>
        <v>⚠ Missing</v>
      </c>
      <c r="AF88" s="33" t="s">
        <v>61</v>
      </c>
      <c r="AG88" s="33" t="s">
        <v>62</v>
      </c>
      <c r="AH88" s="33" t="s">
        <v>57</v>
      </c>
      <c r="AI88" s="33" t="s">
        <v>56</v>
      </c>
      <c r="AJ88" s="33" t="s">
        <v>60</v>
      </c>
      <c r="AK88" s="33" t="s">
        <v>57</v>
      </c>
      <c r="AL88" s="27"/>
      <c r="AM88" s="34" t="s">
        <v>57</v>
      </c>
      <c r="AN88" s="35" t="str">
        <f t="shared" si="8"/>
        <v>❌ Disc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4770</v>
      </c>
      <c r="C89" s="25" t="s">
        <v>4771</v>
      </c>
      <c r="D89" s="23" t="s">
        <v>4603</v>
      </c>
      <c r="E89" s="42">
        <v>46128</v>
      </c>
      <c r="F89" s="26" t="s">
        <v>55</v>
      </c>
      <c r="G89" s="44" t="s">
        <v>57</v>
      </c>
      <c r="H89" s="26" t="s">
        <v>57</v>
      </c>
      <c r="I89" s="44" t="s">
        <v>90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42">
        <v>46196</v>
      </c>
      <c r="O89" s="26" t="s">
        <v>55</v>
      </c>
      <c r="P89" s="44" t="s">
        <v>57</v>
      </c>
      <c r="Q89" s="26" t="s">
        <v>57</v>
      </c>
      <c r="R89" s="44" t="s">
        <v>90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70">
        <v>46248</v>
      </c>
      <c r="X89" s="30" t="s">
        <v>55</v>
      </c>
      <c r="Y89" s="30" t="s">
        <v>57</v>
      </c>
      <c r="Z89" s="30" t="s">
        <v>57</v>
      </c>
      <c r="AA89" s="30" t="s">
        <v>90</v>
      </c>
      <c r="AB89" s="30" t="s">
        <v>57</v>
      </c>
      <c r="AC89" s="27"/>
      <c r="AD89" s="31" t="s">
        <v>56</v>
      </c>
      <c r="AE89" s="32" t="str">
        <f t="shared" si="7"/>
        <v>⚠ Missing</v>
      </c>
      <c r="AF89" s="33" t="s">
        <v>61</v>
      </c>
      <c r="AG89" s="33" t="s">
        <v>62</v>
      </c>
      <c r="AH89" s="33" t="s">
        <v>57</v>
      </c>
      <c r="AI89" s="33" t="s">
        <v>56</v>
      </c>
      <c r="AJ89" s="33" t="s">
        <v>60</v>
      </c>
      <c r="AK89" s="33" t="s">
        <v>57</v>
      </c>
      <c r="AL89" s="27"/>
      <c r="AM89" s="34" t="s">
        <v>57</v>
      </c>
      <c r="AN89" s="35" t="str">
        <f t="shared" si="8"/>
        <v>❌ Disc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4772</v>
      </c>
      <c r="C90" s="41" t="s">
        <v>4773</v>
      </c>
      <c r="D90" s="39" t="s">
        <v>4603</v>
      </c>
      <c r="E90" s="42">
        <v>46128</v>
      </c>
      <c r="F90" s="26" t="s">
        <v>55</v>
      </c>
      <c r="G90" s="44" t="s">
        <v>833</v>
      </c>
      <c r="H90" s="26" t="s">
        <v>57</v>
      </c>
      <c r="I90" s="44" t="s">
        <v>833</v>
      </c>
      <c r="J90" s="26" t="s">
        <v>56</v>
      </c>
      <c r="K90" s="27"/>
      <c r="L90" s="28" t="s">
        <v>57</v>
      </c>
      <c r="M90" s="29" t="str">
        <f t="shared" si="5"/>
        <v>✓ OK</v>
      </c>
      <c r="N90" s="42">
        <v>46196</v>
      </c>
      <c r="O90" s="26" t="s">
        <v>55</v>
      </c>
      <c r="P90" s="44" t="s">
        <v>833</v>
      </c>
      <c r="Q90" s="26" t="s">
        <v>57</v>
      </c>
      <c r="R90" s="44" t="s">
        <v>833</v>
      </c>
      <c r="S90" s="26" t="s">
        <v>56</v>
      </c>
      <c r="T90" s="27"/>
      <c r="U90" s="28" t="s">
        <v>57</v>
      </c>
      <c r="V90" s="29" t="str">
        <f t="shared" si="6"/>
        <v>✓ OK</v>
      </c>
      <c r="W90" s="70">
        <v>46248</v>
      </c>
      <c r="X90" s="30" t="s">
        <v>55</v>
      </c>
      <c r="Y90" s="30" t="s">
        <v>833</v>
      </c>
      <c r="Z90" s="30" t="s">
        <v>57</v>
      </c>
      <c r="AA90" s="30" t="s">
        <v>833</v>
      </c>
      <c r="AB90" s="30" t="s">
        <v>56</v>
      </c>
      <c r="AC90" s="27"/>
      <c r="AD90" s="31" t="s">
        <v>57</v>
      </c>
      <c r="AE90" s="32" t="str">
        <f t="shared" si="7"/>
        <v>✓ OK</v>
      </c>
      <c r="AF90" s="33" t="s">
        <v>61</v>
      </c>
      <c r="AG90" s="33" t="s">
        <v>55</v>
      </c>
      <c r="AH90" s="33" t="s">
        <v>833</v>
      </c>
      <c r="AI90" s="33" t="s">
        <v>57</v>
      </c>
      <c r="AJ90" s="33" t="s">
        <v>833</v>
      </c>
      <c r="AK90" s="33" t="s">
        <v>56</v>
      </c>
      <c r="AL90" s="27"/>
      <c r="AM90" s="34" t="s">
        <v>57</v>
      </c>
      <c r="AN90" s="35" t="str">
        <f t="shared" si="8"/>
        <v>✓ OK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4774</v>
      </c>
      <c r="C91" s="25" t="s">
        <v>4775</v>
      </c>
      <c r="D91" s="23" t="s">
        <v>4603</v>
      </c>
      <c r="E91" s="42">
        <v>46128</v>
      </c>
      <c r="F91" s="26" t="s">
        <v>55</v>
      </c>
      <c r="G91" s="44" t="s">
        <v>833</v>
      </c>
      <c r="H91" s="26" t="s">
        <v>57</v>
      </c>
      <c r="I91" s="44" t="s">
        <v>833</v>
      </c>
      <c r="J91" s="26" t="s">
        <v>56</v>
      </c>
      <c r="K91" s="27"/>
      <c r="L91" s="28" t="s">
        <v>57</v>
      </c>
      <c r="M91" s="29" t="str">
        <f t="shared" si="5"/>
        <v>✓ OK</v>
      </c>
      <c r="N91" s="42">
        <v>46196</v>
      </c>
      <c r="O91" s="26" t="s">
        <v>55</v>
      </c>
      <c r="P91" s="44" t="s">
        <v>833</v>
      </c>
      <c r="Q91" s="26" t="s">
        <v>57</v>
      </c>
      <c r="R91" s="44" t="s">
        <v>833</v>
      </c>
      <c r="S91" s="26" t="s">
        <v>56</v>
      </c>
      <c r="T91" s="27"/>
      <c r="U91" s="28" t="s">
        <v>57</v>
      </c>
      <c r="V91" s="29" t="str">
        <f t="shared" si="6"/>
        <v>✓ OK</v>
      </c>
      <c r="W91" s="70">
        <v>46248</v>
      </c>
      <c r="X91" s="30" t="s">
        <v>55</v>
      </c>
      <c r="Y91" s="30" t="s">
        <v>833</v>
      </c>
      <c r="Z91" s="30" t="s">
        <v>57</v>
      </c>
      <c r="AA91" s="30" t="s">
        <v>833</v>
      </c>
      <c r="AB91" s="30" t="s">
        <v>56</v>
      </c>
      <c r="AC91" s="27"/>
      <c r="AD91" s="31" t="s">
        <v>57</v>
      </c>
      <c r="AE91" s="32" t="str">
        <f t="shared" si="7"/>
        <v>✓ OK</v>
      </c>
      <c r="AF91" s="33" t="s">
        <v>61</v>
      </c>
      <c r="AG91" s="33" t="s">
        <v>55</v>
      </c>
      <c r="AH91" s="33" t="s">
        <v>833</v>
      </c>
      <c r="AI91" s="33" t="s">
        <v>57</v>
      </c>
      <c r="AJ91" s="33" t="s">
        <v>833</v>
      </c>
      <c r="AK91" s="33" t="s">
        <v>56</v>
      </c>
      <c r="AL91" s="27"/>
      <c r="AM91" s="34" t="s">
        <v>57</v>
      </c>
      <c r="AN91" s="35" t="str">
        <f t="shared" si="8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4776</v>
      </c>
      <c r="C92" s="41" t="s">
        <v>4777</v>
      </c>
      <c r="D92" s="39" t="s">
        <v>4603</v>
      </c>
      <c r="E92" s="42">
        <v>46128</v>
      </c>
      <c r="F92" s="26" t="s">
        <v>55</v>
      </c>
      <c r="G92" s="44" t="s">
        <v>833</v>
      </c>
      <c r="H92" s="26" t="s">
        <v>57</v>
      </c>
      <c r="I92" s="44" t="s">
        <v>833</v>
      </c>
      <c r="J92" s="26" t="s">
        <v>56</v>
      </c>
      <c r="K92" s="27"/>
      <c r="L92" s="28" t="s">
        <v>57</v>
      </c>
      <c r="M92" s="29" t="str">
        <f t="shared" si="5"/>
        <v>✓ OK</v>
      </c>
      <c r="N92" s="42">
        <v>46196</v>
      </c>
      <c r="O92" s="26" t="s">
        <v>55</v>
      </c>
      <c r="P92" s="44" t="s">
        <v>833</v>
      </c>
      <c r="Q92" s="26" t="s">
        <v>57</v>
      </c>
      <c r="R92" s="44" t="s">
        <v>833</v>
      </c>
      <c r="S92" s="26" t="s">
        <v>56</v>
      </c>
      <c r="T92" s="27"/>
      <c r="U92" s="28" t="s">
        <v>57</v>
      </c>
      <c r="V92" s="29" t="str">
        <f t="shared" si="6"/>
        <v>✓ OK</v>
      </c>
      <c r="W92" s="70">
        <v>46248</v>
      </c>
      <c r="X92" s="30" t="s">
        <v>55</v>
      </c>
      <c r="Y92" s="30" t="s">
        <v>833</v>
      </c>
      <c r="Z92" s="30" t="s">
        <v>57</v>
      </c>
      <c r="AA92" s="30" t="s">
        <v>833</v>
      </c>
      <c r="AB92" s="30" t="s">
        <v>56</v>
      </c>
      <c r="AC92" s="27"/>
      <c r="AD92" s="31" t="s">
        <v>57</v>
      </c>
      <c r="AE92" s="32" t="str">
        <f t="shared" si="7"/>
        <v>✓ OK</v>
      </c>
      <c r="AF92" s="33" t="s">
        <v>61</v>
      </c>
      <c r="AG92" s="33" t="s">
        <v>55</v>
      </c>
      <c r="AH92" s="33" t="s">
        <v>833</v>
      </c>
      <c r="AI92" s="33" t="s">
        <v>57</v>
      </c>
      <c r="AJ92" s="33" t="s">
        <v>833</v>
      </c>
      <c r="AK92" s="33" t="s">
        <v>56</v>
      </c>
      <c r="AL92" s="27"/>
      <c r="AM92" s="34" t="s">
        <v>57</v>
      </c>
      <c r="AN92" s="35" t="str">
        <f t="shared" si="8"/>
        <v>✓ OK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4778</v>
      </c>
      <c r="C93" s="25" t="s">
        <v>4779</v>
      </c>
      <c r="D93" s="23" t="s">
        <v>4603</v>
      </c>
      <c r="E93" s="42">
        <v>46128</v>
      </c>
      <c r="F93" s="26" t="s">
        <v>55</v>
      </c>
      <c r="G93" s="44" t="s">
        <v>833</v>
      </c>
      <c r="H93" s="26" t="s">
        <v>57</v>
      </c>
      <c r="I93" s="44" t="s">
        <v>833</v>
      </c>
      <c r="J93" s="26" t="s">
        <v>56</v>
      </c>
      <c r="K93" s="27"/>
      <c r="L93" s="28" t="s">
        <v>57</v>
      </c>
      <c r="M93" s="29" t="str">
        <f t="shared" si="5"/>
        <v>✓ OK</v>
      </c>
      <c r="N93" s="42">
        <v>46196</v>
      </c>
      <c r="O93" s="26" t="s">
        <v>55</v>
      </c>
      <c r="P93" s="44" t="s">
        <v>833</v>
      </c>
      <c r="Q93" s="26" t="s">
        <v>57</v>
      </c>
      <c r="R93" s="44" t="s">
        <v>833</v>
      </c>
      <c r="S93" s="26" t="s">
        <v>56</v>
      </c>
      <c r="T93" s="27"/>
      <c r="U93" s="28" t="s">
        <v>57</v>
      </c>
      <c r="V93" s="29" t="str">
        <f t="shared" si="6"/>
        <v>✓ OK</v>
      </c>
      <c r="W93" s="70">
        <v>46248</v>
      </c>
      <c r="X93" s="30" t="s">
        <v>55</v>
      </c>
      <c r="Y93" s="30" t="s">
        <v>833</v>
      </c>
      <c r="Z93" s="30" t="s">
        <v>57</v>
      </c>
      <c r="AA93" s="30" t="s">
        <v>833</v>
      </c>
      <c r="AB93" s="30" t="s">
        <v>56</v>
      </c>
      <c r="AC93" s="27"/>
      <c r="AD93" s="31" t="s">
        <v>57</v>
      </c>
      <c r="AE93" s="32" t="str">
        <f t="shared" si="7"/>
        <v>✓ OK</v>
      </c>
      <c r="AF93" s="33" t="s">
        <v>61</v>
      </c>
      <c r="AG93" s="33" t="s">
        <v>55</v>
      </c>
      <c r="AH93" s="33" t="s">
        <v>833</v>
      </c>
      <c r="AI93" s="33" t="s">
        <v>57</v>
      </c>
      <c r="AJ93" s="33" t="s">
        <v>833</v>
      </c>
      <c r="AK93" s="33" t="s">
        <v>56</v>
      </c>
      <c r="AL93" s="27"/>
      <c r="AM93" s="34" t="s">
        <v>57</v>
      </c>
      <c r="AN93" s="35" t="str">
        <f t="shared" si="8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4780</v>
      </c>
      <c r="C94" s="41" t="s">
        <v>4781</v>
      </c>
      <c r="D94" s="39" t="s">
        <v>4603</v>
      </c>
      <c r="E94" s="42">
        <v>46128</v>
      </c>
      <c r="F94" s="26" t="s">
        <v>55</v>
      </c>
      <c r="G94" s="44" t="s">
        <v>833</v>
      </c>
      <c r="H94" s="26" t="s">
        <v>57</v>
      </c>
      <c r="I94" s="44" t="s">
        <v>833</v>
      </c>
      <c r="J94" s="26" t="s">
        <v>56</v>
      </c>
      <c r="K94" s="27"/>
      <c r="L94" s="28" t="s">
        <v>57</v>
      </c>
      <c r="M94" s="29" t="str">
        <f t="shared" si="5"/>
        <v>✓ OK</v>
      </c>
      <c r="N94" s="42">
        <v>46196</v>
      </c>
      <c r="O94" s="26" t="s">
        <v>55</v>
      </c>
      <c r="P94" s="44" t="s">
        <v>833</v>
      </c>
      <c r="Q94" s="26" t="s">
        <v>57</v>
      </c>
      <c r="R94" s="44" t="s">
        <v>833</v>
      </c>
      <c r="S94" s="26" t="s">
        <v>56</v>
      </c>
      <c r="T94" s="27"/>
      <c r="U94" s="28" t="s">
        <v>57</v>
      </c>
      <c r="V94" s="29" t="str">
        <f t="shared" si="6"/>
        <v>✓ OK</v>
      </c>
      <c r="W94" s="70">
        <v>46248</v>
      </c>
      <c r="X94" s="30" t="s">
        <v>55</v>
      </c>
      <c r="Y94" s="30" t="s">
        <v>833</v>
      </c>
      <c r="Z94" s="30" t="s">
        <v>57</v>
      </c>
      <c r="AA94" s="30" t="s">
        <v>833</v>
      </c>
      <c r="AB94" s="30" t="s">
        <v>56</v>
      </c>
      <c r="AC94" s="27"/>
      <c r="AD94" s="31" t="s">
        <v>57</v>
      </c>
      <c r="AE94" s="32" t="str">
        <f t="shared" si="7"/>
        <v>✓ OK</v>
      </c>
      <c r="AF94" s="33" t="s">
        <v>61</v>
      </c>
      <c r="AG94" s="33" t="s">
        <v>55</v>
      </c>
      <c r="AH94" s="33" t="s">
        <v>833</v>
      </c>
      <c r="AI94" s="33" t="s">
        <v>57</v>
      </c>
      <c r="AJ94" s="33" t="s">
        <v>833</v>
      </c>
      <c r="AK94" s="33" t="s">
        <v>56</v>
      </c>
      <c r="AL94" s="27"/>
      <c r="AM94" s="34" t="s">
        <v>57</v>
      </c>
      <c r="AN94" s="35" t="str">
        <f t="shared" si="8"/>
        <v>✓ OK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4782</v>
      </c>
      <c r="C95" s="25" t="s">
        <v>4783</v>
      </c>
      <c r="D95" s="23" t="s">
        <v>4603</v>
      </c>
      <c r="E95" s="42">
        <v>46128</v>
      </c>
      <c r="F95" s="26" t="s">
        <v>55</v>
      </c>
      <c r="G95" s="44" t="s">
        <v>833</v>
      </c>
      <c r="H95" s="26" t="s">
        <v>57</v>
      </c>
      <c r="I95" s="44" t="s">
        <v>833</v>
      </c>
      <c r="J95" s="26" t="s">
        <v>56</v>
      </c>
      <c r="K95" s="27"/>
      <c r="L95" s="28" t="s">
        <v>57</v>
      </c>
      <c r="M95" s="29" t="str">
        <f t="shared" si="5"/>
        <v>✓ OK</v>
      </c>
      <c r="N95" s="42">
        <v>46196</v>
      </c>
      <c r="O95" s="26" t="s">
        <v>55</v>
      </c>
      <c r="P95" s="44" t="s">
        <v>833</v>
      </c>
      <c r="Q95" s="26" t="s">
        <v>57</v>
      </c>
      <c r="R95" s="44" t="s">
        <v>833</v>
      </c>
      <c r="S95" s="26" t="s">
        <v>56</v>
      </c>
      <c r="T95" s="27"/>
      <c r="U95" s="28" t="s">
        <v>57</v>
      </c>
      <c r="V95" s="29" t="str">
        <f t="shared" si="6"/>
        <v>✓ OK</v>
      </c>
      <c r="W95" s="70">
        <v>46248</v>
      </c>
      <c r="X95" s="30" t="s">
        <v>55</v>
      </c>
      <c r="Y95" s="30" t="s">
        <v>833</v>
      </c>
      <c r="Z95" s="30" t="s">
        <v>57</v>
      </c>
      <c r="AA95" s="30" t="s">
        <v>833</v>
      </c>
      <c r="AB95" s="30" t="s">
        <v>56</v>
      </c>
      <c r="AC95" s="27"/>
      <c r="AD95" s="31" t="s">
        <v>57</v>
      </c>
      <c r="AE95" s="32" t="str">
        <f t="shared" si="7"/>
        <v>✓ OK</v>
      </c>
      <c r="AF95" s="33" t="s">
        <v>61</v>
      </c>
      <c r="AG95" s="33" t="s">
        <v>55</v>
      </c>
      <c r="AH95" s="33" t="s">
        <v>833</v>
      </c>
      <c r="AI95" s="33" t="s">
        <v>57</v>
      </c>
      <c r="AJ95" s="33" t="s">
        <v>833</v>
      </c>
      <c r="AK95" s="33" t="s">
        <v>56</v>
      </c>
      <c r="AL95" s="27"/>
      <c r="AM95" s="34" t="s">
        <v>57</v>
      </c>
      <c r="AN95" s="35" t="str">
        <f t="shared" si="8"/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4784</v>
      </c>
      <c r="C96" s="41" t="s">
        <v>4785</v>
      </c>
      <c r="D96" s="39" t="s">
        <v>4603</v>
      </c>
      <c r="E96" s="42">
        <v>46128</v>
      </c>
      <c r="F96" s="26" t="s">
        <v>55</v>
      </c>
      <c r="G96" s="44" t="s">
        <v>833</v>
      </c>
      <c r="H96" s="26" t="s">
        <v>57</v>
      </c>
      <c r="I96" s="44" t="s">
        <v>833</v>
      </c>
      <c r="J96" s="26" t="s">
        <v>56</v>
      </c>
      <c r="K96" s="27"/>
      <c r="L96" s="28" t="s">
        <v>57</v>
      </c>
      <c r="M96" s="29" t="str">
        <f t="shared" si="5"/>
        <v>✓ OK</v>
      </c>
      <c r="N96" s="42">
        <v>46196</v>
      </c>
      <c r="O96" s="26" t="s">
        <v>55</v>
      </c>
      <c r="P96" s="44" t="s">
        <v>833</v>
      </c>
      <c r="Q96" s="26" t="s">
        <v>57</v>
      </c>
      <c r="R96" s="44" t="s">
        <v>833</v>
      </c>
      <c r="S96" s="26" t="s">
        <v>56</v>
      </c>
      <c r="T96" s="27"/>
      <c r="U96" s="28" t="s">
        <v>57</v>
      </c>
      <c r="V96" s="29" t="str">
        <f t="shared" si="6"/>
        <v>✓ OK</v>
      </c>
      <c r="W96" s="70">
        <v>46248</v>
      </c>
      <c r="X96" s="30" t="s">
        <v>55</v>
      </c>
      <c r="Y96" s="30" t="s">
        <v>833</v>
      </c>
      <c r="Z96" s="30" t="s">
        <v>57</v>
      </c>
      <c r="AA96" s="30" t="s">
        <v>833</v>
      </c>
      <c r="AB96" s="30" t="s">
        <v>56</v>
      </c>
      <c r="AC96" s="27"/>
      <c r="AD96" s="31" t="s">
        <v>57</v>
      </c>
      <c r="AE96" s="32" t="str">
        <f t="shared" si="7"/>
        <v>✓ OK</v>
      </c>
      <c r="AF96" s="33" t="s">
        <v>61</v>
      </c>
      <c r="AG96" s="33" t="s">
        <v>55</v>
      </c>
      <c r="AH96" s="33" t="s">
        <v>833</v>
      </c>
      <c r="AI96" s="33" t="s">
        <v>57</v>
      </c>
      <c r="AJ96" s="33" t="s">
        <v>833</v>
      </c>
      <c r="AK96" s="33" t="s">
        <v>56</v>
      </c>
      <c r="AL96" s="27"/>
      <c r="AM96" s="34" t="s">
        <v>57</v>
      </c>
      <c r="AN96" s="35" t="str">
        <f t="shared" si="8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4786</v>
      </c>
      <c r="C97" s="25" t="s">
        <v>4787</v>
      </c>
      <c r="D97" s="23" t="s">
        <v>4603</v>
      </c>
      <c r="E97" s="42">
        <v>46128</v>
      </c>
      <c r="F97" s="26" t="s">
        <v>55</v>
      </c>
      <c r="G97" s="44" t="s">
        <v>833</v>
      </c>
      <c r="H97" s="26" t="s">
        <v>57</v>
      </c>
      <c r="I97" s="44" t="s">
        <v>833</v>
      </c>
      <c r="J97" s="26" t="s">
        <v>56</v>
      </c>
      <c r="K97" s="27"/>
      <c r="L97" s="28" t="s">
        <v>57</v>
      </c>
      <c r="M97" s="29" t="str">
        <f t="shared" si="5"/>
        <v>✓ OK</v>
      </c>
      <c r="N97" s="42">
        <v>46196</v>
      </c>
      <c r="O97" s="26" t="s">
        <v>55</v>
      </c>
      <c r="P97" s="44" t="s">
        <v>833</v>
      </c>
      <c r="Q97" s="26" t="s">
        <v>57</v>
      </c>
      <c r="R97" s="44" t="s">
        <v>833</v>
      </c>
      <c r="S97" s="26" t="s">
        <v>56</v>
      </c>
      <c r="T97" s="27"/>
      <c r="U97" s="28" t="s">
        <v>57</v>
      </c>
      <c r="V97" s="29" t="str">
        <f t="shared" si="6"/>
        <v>✓ OK</v>
      </c>
      <c r="W97" s="70">
        <v>46248</v>
      </c>
      <c r="X97" s="30" t="s">
        <v>55</v>
      </c>
      <c r="Y97" s="30" t="s">
        <v>833</v>
      </c>
      <c r="Z97" s="30" t="s">
        <v>57</v>
      </c>
      <c r="AA97" s="30" t="s">
        <v>833</v>
      </c>
      <c r="AB97" s="30" t="s">
        <v>56</v>
      </c>
      <c r="AC97" s="27"/>
      <c r="AD97" s="31" t="s">
        <v>57</v>
      </c>
      <c r="AE97" s="32" t="str">
        <f t="shared" si="7"/>
        <v>✓ OK</v>
      </c>
      <c r="AF97" s="33" t="s">
        <v>61</v>
      </c>
      <c r="AG97" s="33" t="s">
        <v>55</v>
      </c>
      <c r="AH97" s="33" t="s">
        <v>833</v>
      </c>
      <c r="AI97" s="33" t="s">
        <v>57</v>
      </c>
      <c r="AJ97" s="33" t="s">
        <v>833</v>
      </c>
      <c r="AK97" s="33" t="s">
        <v>56</v>
      </c>
      <c r="AL97" s="27"/>
      <c r="AM97" s="34" t="s">
        <v>57</v>
      </c>
      <c r="AN97" s="35" t="str">
        <f t="shared" si="8"/>
        <v>✓ OK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4788</v>
      </c>
      <c r="C98" s="41" t="s">
        <v>4789</v>
      </c>
      <c r="D98" s="39" t="s">
        <v>4603</v>
      </c>
      <c r="E98" s="42">
        <v>46128</v>
      </c>
      <c r="F98" s="26" t="s">
        <v>55</v>
      </c>
      <c r="G98" s="44" t="s">
        <v>56</v>
      </c>
      <c r="H98" s="26" t="s">
        <v>57</v>
      </c>
      <c r="I98" s="44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42">
        <v>46196</v>
      </c>
      <c r="O98" s="26" t="s">
        <v>55</v>
      </c>
      <c r="P98" s="44" t="s">
        <v>56</v>
      </c>
      <c r="Q98" s="26" t="s">
        <v>57</v>
      </c>
      <c r="R98" s="44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 t="s">
        <v>61</v>
      </c>
      <c r="AG98" s="33" t="s">
        <v>55</v>
      </c>
      <c r="AH98" s="33" t="s">
        <v>56</v>
      </c>
      <c r="AI98" s="33" t="s">
        <v>57</v>
      </c>
      <c r="AJ98" s="33" t="s">
        <v>58</v>
      </c>
      <c r="AK98" s="33" t="s">
        <v>56</v>
      </c>
      <c r="AL98" s="27"/>
      <c r="AM98" s="34" t="s">
        <v>57</v>
      </c>
      <c r="AN98" s="35" t="str">
        <f t="shared" si="8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4790</v>
      </c>
      <c r="C99" s="25" t="s">
        <v>4791</v>
      </c>
      <c r="D99" s="23" t="s">
        <v>4603</v>
      </c>
      <c r="E99" s="42">
        <v>46128</v>
      </c>
      <c r="F99" s="26" t="s">
        <v>55</v>
      </c>
      <c r="G99" s="44" t="s">
        <v>833</v>
      </c>
      <c r="H99" s="26" t="s">
        <v>57</v>
      </c>
      <c r="I99" s="44" t="s">
        <v>833</v>
      </c>
      <c r="J99" s="26" t="s">
        <v>56</v>
      </c>
      <c r="K99" s="27"/>
      <c r="L99" s="28" t="s">
        <v>57</v>
      </c>
      <c r="M99" s="29" t="str">
        <f t="shared" si="5"/>
        <v>✓ OK</v>
      </c>
      <c r="N99" s="42">
        <v>46196</v>
      </c>
      <c r="O99" s="26" t="s">
        <v>55</v>
      </c>
      <c r="P99" s="44" t="s">
        <v>833</v>
      </c>
      <c r="Q99" s="26" t="s">
        <v>57</v>
      </c>
      <c r="R99" s="44" t="s">
        <v>833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833</v>
      </c>
      <c r="Z99" s="30" t="s">
        <v>57</v>
      </c>
      <c r="AA99" s="30" t="s">
        <v>833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 t="s">
        <v>61</v>
      </c>
      <c r="AG99" s="33" t="s">
        <v>55</v>
      </c>
      <c r="AH99" s="33" t="s">
        <v>833</v>
      </c>
      <c r="AI99" s="33" t="s">
        <v>57</v>
      </c>
      <c r="AJ99" s="33" t="s">
        <v>833</v>
      </c>
      <c r="AK99" s="33" t="s">
        <v>56</v>
      </c>
      <c r="AL99" s="27"/>
      <c r="AM99" s="34" t="s">
        <v>57</v>
      </c>
      <c r="AN99" s="35" t="str">
        <f t="shared" si="8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4792</v>
      </c>
      <c r="C100" s="41" t="s">
        <v>4793</v>
      </c>
      <c r="D100" s="39" t="s">
        <v>4603</v>
      </c>
      <c r="E100" s="42">
        <v>46128</v>
      </c>
      <c r="F100" s="26" t="s">
        <v>55</v>
      </c>
      <c r="G100" s="44" t="s">
        <v>56</v>
      </c>
      <c r="H100" s="26" t="s">
        <v>57</v>
      </c>
      <c r="I100" s="44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42">
        <v>46196</v>
      </c>
      <c r="O100" s="26" t="s">
        <v>55</v>
      </c>
      <c r="P100" s="44" t="s">
        <v>56</v>
      </c>
      <c r="Q100" s="26" t="s">
        <v>57</v>
      </c>
      <c r="R100" s="44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 t="s">
        <v>61</v>
      </c>
      <c r="AG100" s="33" t="s">
        <v>55</v>
      </c>
      <c r="AH100" s="33" t="s">
        <v>56</v>
      </c>
      <c r="AI100" s="33" t="s">
        <v>57</v>
      </c>
      <c r="AJ100" s="33" t="s">
        <v>58</v>
      </c>
      <c r="AK100" s="33" t="s">
        <v>56</v>
      </c>
      <c r="AL100" s="27"/>
      <c r="AM100" s="34" t="s">
        <v>57</v>
      </c>
      <c r="AN100" s="35" t="str">
        <f t="shared" si="8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4794</v>
      </c>
      <c r="C101" s="25" t="s">
        <v>4795</v>
      </c>
      <c r="D101" s="23" t="s">
        <v>4603</v>
      </c>
      <c r="E101" s="42">
        <v>46128</v>
      </c>
      <c r="F101" s="26" t="s">
        <v>55</v>
      </c>
      <c r="G101" s="44" t="s">
        <v>833</v>
      </c>
      <c r="H101" s="26" t="s">
        <v>57</v>
      </c>
      <c r="I101" s="44" t="s">
        <v>833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42">
        <v>46196</v>
      </c>
      <c r="O101" s="26" t="s">
        <v>55</v>
      </c>
      <c r="P101" s="44" t="s">
        <v>833</v>
      </c>
      <c r="Q101" s="26" t="s">
        <v>57</v>
      </c>
      <c r="R101" s="44" t="s">
        <v>833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833</v>
      </c>
      <c r="Z101" s="30" t="s">
        <v>57</v>
      </c>
      <c r="AA101" s="30" t="s">
        <v>833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 t="s">
        <v>61</v>
      </c>
      <c r="AG101" s="33" t="s">
        <v>55</v>
      </c>
      <c r="AH101" s="33" t="s">
        <v>833</v>
      </c>
      <c r="AI101" s="33" t="s">
        <v>57</v>
      </c>
      <c r="AJ101" s="33" t="s">
        <v>833</v>
      </c>
      <c r="AK101" s="33" t="s">
        <v>56</v>
      </c>
      <c r="AL101" s="27"/>
      <c r="AM101" s="34" t="s">
        <v>57</v>
      </c>
      <c r="AN101" s="35" t="str">
        <f t="shared" si="8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4796</v>
      </c>
      <c r="C102" s="41" t="s">
        <v>4797</v>
      </c>
      <c r="D102" s="39" t="s">
        <v>4603</v>
      </c>
      <c r="E102" s="42">
        <v>46128</v>
      </c>
      <c r="F102" s="26" t="s">
        <v>55</v>
      </c>
      <c r="G102" s="44" t="s">
        <v>833</v>
      </c>
      <c r="H102" s="26" t="s">
        <v>57</v>
      </c>
      <c r="I102" s="44" t="s">
        <v>833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42">
        <v>46196</v>
      </c>
      <c r="O102" s="26" t="s">
        <v>55</v>
      </c>
      <c r="P102" s="44" t="s">
        <v>833</v>
      </c>
      <c r="Q102" s="26" t="s">
        <v>57</v>
      </c>
      <c r="R102" s="44" t="s">
        <v>833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833</v>
      </c>
      <c r="Z102" s="30" t="s">
        <v>57</v>
      </c>
      <c r="AA102" s="30" t="s">
        <v>833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 t="s">
        <v>61</v>
      </c>
      <c r="AG102" s="33" t="s">
        <v>55</v>
      </c>
      <c r="AH102" s="33" t="s">
        <v>833</v>
      </c>
      <c r="AI102" s="33" t="s">
        <v>57</v>
      </c>
      <c r="AJ102" s="33" t="s">
        <v>833</v>
      </c>
      <c r="AK102" s="33" t="s">
        <v>56</v>
      </c>
      <c r="AL102" s="27"/>
      <c r="AM102" s="34" t="s">
        <v>57</v>
      </c>
      <c r="AN102" s="35" t="str">
        <f t="shared" si="8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4798</v>
      </c>
      <c r="C103" s="25" t="s">
        <v>4799</v>
      </c>
      <c r="D103" s="23" t="s">
        <v>4603</v>
      </c>
      <c r="E103" s="42">
        <v>46128</v>
      </c>
      <c r="F103" s="26" t="s">
        <v>55</v>
      </c>
      <c r="G103" s="44" t="s">
        <v>833</v>
      </c>
      <c r="H103" s="26" t="s">
        <v>57</v>
      </c>
      <c r="I103" s="44" t="s">
        <v>833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42">
        <v>46196</v>
      </c>
      <c r="O103" s="26" t="s">
        <v>55</v>
      </c>
      <c r="P103" s="44" t="s">
        <v>833</v>
      </c>
      <c r="Q103" s="26" t="s">
        <v>57</v>
      </c>
      <c r="R103" s="44" t="s">
        <v>833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833</v>
      </c>
      <c r="Z103" s="30" t="s">
        <v>57</v>
      </c>
      <c r="AA103" s="30" t="s">
        <v>833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 t="s">
        <v>61</v>
      </c>
      <c r="AG103" s="33" t="s">
        <v>55</v>
      </c>
      <c r="AH103" s="33" t="s">
        <v>833</v>
      </c>
      <c r="AI103" s="33" t="s">
        <v>57</v>
      </c>
      <c r="AJ103" s="33" t="s">
        <v>833</v>
      </c>
      <c r="AK103" s="33" t="s">
        <v>56</v>
      </c>
      <c r="AL103" s="27"/>
      <c r="AM103" s="34" t="s">
        <v>57</v>
      </c>
      <c r="AN103" s="35" t="str">
        <f t="shared" si="8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4800</v>
      </c>
      <c r="C104" s="41" t="s">
        <v>4801</v>
      </c>
      <c r="D104" s="39" t="s">
        <v>4603</v>
      </c>
      <c r="E104" s="42">
        <v>46128</v>
      </c>
      <c r="F104" s="26" t="s">
        <v>55</v>
      </c>
      <c r="G104" s="44" t="s">
        <v>833</v>
      </c>
      <c r="H104" s="26" t="s">
        <v>57</v>
      </c>
      <c r="I104" s="44" t="s">
        <v>833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42">
        <v>46196</v>
      </c>
      <c r="O104" s="26" t="s">
        <v>55</v>
      </c>
      <c r="P104" s="44" t="s">
        <v>833</v>
      </c>
      <c r="Q104" s="26" t="s">
        <v>57</v>
      </c>
      <c r="R104" s="44" t="s">
        <v>833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833</v>
      </c>
      <c r="Z104" s="30" t="s">
        <v>57</v>
      </c>
      <c r="AA104" s="30" t="s">
        <v>833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 t="s">
        <v>61</v>
      </c>
      <c r="AG104" s="33" t="s">
        <v>55</v>
      </c>
      <c r="AH104" s="33" t="s">
        <v>833</v>
      </c>
      <c r="AI104" s="33" t="s">
        <v>57</v>
      </c>
      <c r="AJ104" s="33" t="s">
        <v>833</v>
      </c>
      <c r="AK104" s="33" t="s">
        <v>56</v>
      </c>
      <c r="AL104" s="27"/>
      <c r="AM104" s="34" t="s">
        <v>57</v>
      </c>
      <c r="AN104" s="35" t="str">
        <f t="shared" si="8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4802</v>
      </c>
      <c r="C105" s="25" t="s">
        <v>4803</v>
      </c>
      <c r="D105" s="23" t="s">
        <v>4603</v>
      </c>
      <c r="E105" s="42">
        <v>46128</v>
      </c>
      <c r="F105" s="26" t="s">
        <v>55</v>
      </c>
      <c r="G105" s="44" t="s">
        <v>833</v>
      </c>
      <c r="H105" s="26" t="s">
        <v>57</v>
      </c>
      <c r="I105" s="44" t="s">
        <v>833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42">
        <v>46196</v>
      </c>
      <c r="O105" s="26" t="s">
        <v>55</v>
      </c>
      <c r="P105" s="44" t="s">
        <v>833</v>
      </c>
      <c r="Q105" s="26" t="s">
        <v>57</v>
      </c>
      <c r="R105" s="44" t="s">
        <v>833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833</v>
      </c>
      <c r="Z105" s="30" t="s">
        <v>57</v>
      </c>
      <c r="AA105" s="30" t="s">
        <v>833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 t="s">
        <v>61</v>
      </c>
      <c r="AG105" s="33" t="s">
        <v>55</v>
      </c>
      <c r="AH105" s="33" t="s">
        <v>833</v>
      </c>
      <c r="AI105" s="33" t="s">
        <v>57</v>
      </c>
      <c r="AJ105" s="33" t="s">
        <v>833</v>
      </c>
      <c r="AK105" s="33" t="s">
        <v>56</v>
      </c>
      <c r="AL105" s="27"/>
      <c r="AM105" s="34" t="s">
        <v>57</v>
      </c>
      <c r="AN105" s="35" t="str">
        <f t="shared" si="8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4804</v>
      </c>
      <c r="C106" s="41" t="s">
        <v>4805</v>
      </c>
      <c r="D106" s="39" t="s">
        <v>4603</v>
      </c>
      <c r="E106" s="42">
        <v>46128</v>
      </c>
      <c r="F106" s="26" t="s">
        <v>55</v>
      </c>
      <c r="G106" s="44" t="s">
        <v>56</v>
      </c>
      <c r="H106" s="26" t="s">
        <v>57</v>
      </c>
      <c r="I106" s="44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42">
        <v>46196</v>
      </c>
      <c r="O106" s="26" t="s">
        <v>55</v>
      </c>
      <c r="P106" s="44" t="s">
        <v>56</v>
      </c>
      <c r="Q106" s="26" t="s">
        <v>57</v>
      </c>
      <c r="R106" s="44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 t="s">
        <v>61</v>
      </c>
      <c r="AG106" s="33" t="s">
        <v>55</v>
      </c>
      <c r="AH106" s="33" t="s">
        <v>56</v>
      </c>
      <c r="AI106" s="33" t="s">
        <v>57</v>
      </c>
      <c r="AJ106" s="33" t="s">
        <v>58</v>
      </c>
      <c r="AK106" s="33" t="s">
        <v>56</v>
      </c>
      <c r="AL106" s="27"/>
      <c r="AM106" s="34" t="s">
        <v>57</v>
      </c>
      <c r="AN106" s="35" t="str">
        <f t="shared" si="8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4806</v>
      </c>
      <c r="C107" s="25" t="s">
        <v>4807</v>
      </c>
      <c r="D107" s="23" t="s">
        <v>4603</v>
      </c>
      <c r="E107" s="42">
        <v>46128</v>
      </c>
      <c r="F107" s="26" t="s">
        <v>55</v>
      </c>
      <c r="G107" s="44" t="s">
        <v>833</v>
      </c>
      <c r="H107" s="26" t="s">
        <v>57</v>
      </c>
      <c r="I107" s="44" t="s">
        <v>833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42">
        <v>46196</v>
      </c>
      <c r="O107" s="26" t="s">
        <v>55</v>
      </c>
      <c r="P107" s="44" t="s">
        <v>833</v>
      </c>
      <c r="Q107" s="26" t="s">
        <v>57</v>
      </c>
      <c r="R107" s="44" t="s">
        <v>833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833</v>
      </c>
      <c r="Z107" s="30" t="s">
        <v>57</v>
      </c>
      <c r="AA107" s="30" t="s">
        <v>833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 t="s">
        <v>61</v>
      </c>
      <c r="AG107" s="33" t="s">
        <v>55</v>
      </c>
      <c r="AH107" s="33" t="s">
        <v>833</v>
      </c>
      <c r="AI107" s="33" t="s">
        <v>57</v>
      </c>
      <c r="AJ107" s="33" t="s">
        <v>833</v>
      </c>
      <c r="AK107" s="33" t="s">
        <v>56</v>
      </c>
      <c r="AL107" s="27"/>
      <c r="AM107" s="34" t="s">
        <v>57</v>
      </c>
      <c r="AN107" s="35" t="str">
        <f t="shared" si="8"/>
        <v>✓ OK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4808</v>
      </c>
      <c r="C108" s="41" t="s">
        <v>4809</v>
      </c>
      <c r="D108" s="39" t="s">
        <v>4603</v>
      </c>
      <c r="E108" s="42">
        <v>46128</v>
      </c>
      <c r="F108" s="26" t="s">
        <v>55</v>
      </c>
      <c r="G108" s="44" t="s">
        <v>833</v>
      </c>
      <c r="H108" s="26" t="s">
        <v>57</v>
      </c>
      <c r="I108" s="44" t="s">
        <v>833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42">
        <v>46196</v>
      </c>
      <c r="O108" s="26" t="s">
        <v>55</v>
      </c>
      <c r="P108" s="44" t="s">
        <v>833</v>
      </c>
      <c r="Q108" s="26" t="s">
        <v>57</v>
      </c>
      <c r="R108" s="44" t="s">
        <v>833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833</v>
      </c>
      <c r="Z108" s="30" t="s">
        <v>57</v>
      </c>
      <c r="AA108" s="30" t="s">
        <v>833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 t="s">
        <v>61</v>
      </c>
      <c r="AG108" s="33" t="s">
        <v>55</v>
      </c>
      <c r="AH108" s="33" t="s">
        <v>833</v>
      </c>
      <c r="AI108" s="33" t="s">
        <v>57</v>
      </c>
      <c r="AJ108" s="33" t="s">
        <v>833</v>
      </c>
      <c r="AK108" s="33" t="s">
        <v>56</v>
      </c>
      <c r="AL108" s="27"/>
      <c r="AM108" s="34" t="s">
        <v>57</v>
      </c>
      <c r="AN108" s="35" t="str">
        <f t="shared" si="8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4810</v>
      </c>
      <c r="C109" s="25" t="s">
        <v>4811</v>
      </c>
      <c r="D109" s="23" t="s">
        <v>4603</v>
      </c>
      <c r="E109" s="42">
        <v>46128</v>
      </c>
      <c r="F109" s="26" t="s">
        <v>55</v>
      </c>
      <c r="G109" s="44" t="s">
        <v>56</v>
      </c>
      <c r="H109" s="26" t="s">
        <v>57</v>
      </c>
      <c r="I109" s="44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42">
        <v>46196</v>
      </c>
      <c r="O109" s="26" t="s">
        <v>55</v>
      </c>
      <c r="P109" s="44" t="s">
        <v>56</v>
      </c>
      <c r="Q109" s="26" t="s">
        <v>57</v>
      </c>
      <c r="R109" s="44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 t="s">
        <v>61</v>
      </c>
      <c r="AG109" s="33" t="s">
        <v>55</v>
      </c>
      <c r="AH109" s="33" t="s">
        <v>56</v>
      </c>
      <c r="AI109" s="33" t="s">
        <v>57</v>
      </c>
      <c r="AJ109" s="33" t="s">
        <v>58</v>
      </c>
      <c r="AK109" s="33" t="s">
        <v>56</v>
      </c>
      <c r="AL109" s="27"/>
      <c r="AM109" s="34" t="s">
        <v>57</v>
      </c>
      <c r="AN109" s="35" t="str">
        <f t="shared" si="8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4812</v>
      </c>
      <c r="C110" s="41" t="s">
        <v>4813</v>
      </c>
      <c r="D110" s="39" t="s">
        <v>4603</v>
      </c>
      <c r="E110" s="42">
        <v>46128</v>
      </c>
      <c r="F110" s="26" t="s">
        <v>55</v>
      </c>
      <c r="G110" s="44" t="s">
        <v>833</v>
      </c>
      <c r="H110" s="26" t="s">
        <v>57</v>
      </c>
      <c r="I110" s="44" t="s">
        <v>833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42">
        <v>46196</v>
      </c>
      <c r="O110" s="26" t="s">
        <v>55</v>
      </c>
      <c r="P110" s="44" t="s">
        <v>833</v>
      </c>
      <c r="Q110" s="26" t="s">
        <v>57</v>
      </c>
      <c r="R110" s="44" t="s">
        <v>833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833</v>
      </c>
      <c r="Z110" s="30" t="s">
        <v>57</v>
      </c>
      <c r="AA110" s="30" t="s">
        <v>833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 t="s">
        <v>61</v>
      </c>
      <c r="AG110" s="33" t="s">
        <v>55</v>
      </c>
      <c r="AH110" s="33" t="s">
        <v>833</v>
      </c>
      <c r="AI110" s="33" t="s">
        <v>57</v>
      </c>
      <c r="AJ110" s="33" t="s">
        <v>833</v>
      </c>
      <c r="AK110" s="33" t="s">
        <v>56</v>
      </c>
      <c r="AL110" s="27"/>
      <c r="AM110" s="34" t="s">
        <v>57</v>
      </c>
      <c r="AN110" s="35" t="str">
        <f t="shared" si="8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4814</v>
      </c>
      <c r="C111" s="25" t="s">
        <v>4815</v>
      </c>
      <c r="D111" s="23" t="s">
        <v>4603</v>
      </c>
      <c r="E111" s="42">
        <v>46128</v>
      </c>
      <c r="F111" s="26" t="s">
        <v>55</v>
      </c>
      <c r="G111" s="44" t="s">
        <v>833</v>
      </c>
      <c r="H111" s="26" t="s">
        <v>57</v>
      </c>
      <c r="I111" s="44" t="s">
        <v>833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42">
        <v>46196</v>
      </c>
      <c r="O111" s="26" t="s">
        <v>55</v>
      </c>
      <c r="P111" s="44" t="s">
        <v>833</v>
      </c>
      <c r="Q111" s="26" t="s">
        <v>57</v>
      </c>
      <c r="R111" s="44" t="s">
        <v>833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833</v>
      </c>
      <c r="Z111" s="30" t="s">
        <v>57</v>
      </c>
      <c r="AA111" s="30" t="s">
        <v>833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 t="s">
        <v>61</v>
      </c>
      <c r="AG111" s="33" t="s">
        <v>55</v>
      </c>
      <c r="AH111" s="33" t="s">
        <v>833</v>
      </c>
      <c r="AI111" s="33" t="s">
        <v>57</v>
      </c>
      <c r="AJ111" s="33" t="s">
        <v>833</v>
      </c>
      <c r="AK111" s="33" t="s">
        <v>56</v>
      </c>
      <c r="AL111" s="27"/>
      <c r="AM111" s="34" t="s">
        <v>57</v>
      </c>
      <c r="AN111" s="35" t="str">
        <f t="shared" si="8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4816</v>
      </c>
      <c r="C112" s="41" t="s">
        <v>4817</v>
      </c>
      <c r="D112" s="39" t="s">
        <v>4603</v>
      </c>
      <c r="E112" s="42">
        <v>46128</v>
      </c>
      <c r="F112" s="26" t="s">
        <v>55</v>
      </c>
      <c r="G112" s="44" t="s">
        <v>56</v>
      </c>
      <c r="H112" s="26" t="s">
        <v>57</v>
      </c>
      <c r="I112" s="44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42">
        <v>46196</v>
      </c>
      <c r="O112" s="26" t="s">
        <v>55</v>
      </c>
      <c r="P112" s="44" t="s">
        <v>56</v>
      </c>
      <c r="Q112" s="26" t="s">
        <v>57</v>
      </c>
      <c r="R112" s="44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 t="s">
        <v>61</v>
      </c>
      <c r="AG112" s="33" t="s">
        <v>55</v>
      </c>
      <c r="AH112" s="33" t="s">
        <v>56</v>
      </c>
      <c r="AI112" s="33" t="s">
        <v>57</v>
      </c>
      <c r="AJ112" s="33" t="s">
        <v>58</v>
      </c>
      <c r="AK112" s="33" t="s">
        <v>56</v>
      </c>
      <c r="AL112" s="27"/>
      <c r="AM112" s="34" t="s">
        <v>57</v>
      </c>
      <c r="AN112" s="35" t="str">
        <f t="shared" si="8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4818</v>
      </c>
      <c r="C113" s="25" t="s">
        <v>4819</v>
      </c>
      <c r="D113" s="23" t="s">
        <v>4603</v>
      </c>
      <c r="E113" s="42">
        <v>46128</v>
      </c>
      <c r="F113" s="26" t="s">
        <v>55</v>
      </c>
      <c r="G113" s="44" t="s">
        <v>833</v>
      </c>
      <c r="H113" s="26" t="s">
        <v>57</v>
      </c>
      <c r="I113" s="44" t="s">
        <v>833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42">
        <v>46196</v>
      </c>
      <c r="O113" s="26" t="s">
        <v>55</v>
      </c>
      <c r="P113" s="44" t="s">
        <v>833</v>
      </c>
      <c r="Q113" s="26" t="s">
        <v>57</v>
      </c>
      <c r="R113" s="44" t="s">
        <v>833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833</v>
      </c>
      <c r="Z113" s="30" t="s">
        <v>57</v>
      </c>
      <c r="AA113" s="30" t="s">
        <v>833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 t="s">
        <v>61</v>
      </c>
      <c r="AG113" s="33" t="s">
        <v>55</v>
      </c>
      <c r="AH113" s="33" t="s">
        <v>833</v>
      </c>
      <c r="AI113" s="33" t="s">
        <v>57</v>
      </c>
      <c r="AJ113" s="33" t="s">
        <v>833</v>
      </c>
      <c r="AK113" s="33" t="s">
        <v>56</v>
      </c>
      <c r="AL113" s="27"/>
      <c r="AM113" s="34" t="s">
        <v>57</v>
      </c>
      <c r="AN113" s="35" t="str">
        <f t="shared" si="8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4820</v>
      </c>
      <c r="C114" s="41" t="s">
        <v>4821</v>
      </c>
      <c r="D114" s="39" t="s">
        <v>4603</v>
      </c>
      <c r="E114" s="42">
        <v>46128</v>
      </c>
      <c r="F114" s="26" t="s">
        <v>55</v>
      </c>
      <c r="G114" s="44" t="s">
        <v>833</v>
      </c>
      <c r="H114" s="26" t="s">
        <v>57</v>
      </c>
      <c r="I114" s="44" t="s">
        <v>833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42">
        <v>46196</v>
      </c>
      <c r="O114" s="26" t="s">
        <v>55</v>
      </c>
      <c r="P114" s="44" t="s">
        <v>833</v>
      </c>
      <c r="Q114" s="26" t="s">
        <v>57</v>
      </c>
      <c r="R114" s="44" t="s">
        <v>833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833</v>
      </c>
      <c r="Z114" s="30" t="s">
        <v>57</v>
      </c>
      <c r="AA114" s="30" t="s">
        <v>833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 t="s">
        <v>61</v>
      </c>
      <c r="AG114" s="33" t="s">
        <v>55</v>
      </c>
      <c r="AH114" s="33" t="s">
        <v>833</v>
      </c>
      <c r="AI114" s="33" t="s">
        <v>57</v>
      </c>
      <c r="AJ114" s="33" t="s">
        <v>833</v>
      </c>
      <c r="AK114" s="33" t="s">
        <v>56</v>
      </c>
      <c r="AL114" s="27"/>
      <c r="AM114" s="34" t="s">
        <v>57</v>
      </c>
      <c r="AN114" s="35" t="str">
        <f t="shared" si="8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4822</v>
      </c>
      <c r="C115" s="25" t="s">
        <v>4823</v>
      </c>
      <c r="D115" s="23" t="s">
        <v>4603</v>
      </c>
      <c r="E115" s="42">
        <v>46128</v>
      </c>
      <c r="F115" s="26" t="s">
        <v>55</v>
      </c>
      <c r="G115" s="44" t="s">
        <v>833</v>
      </c>
      <c r="H115" s="26" t="s">
        <v>57</v>
      </c>
      <c r="I115" s="44" t="s">
        <v>833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42">
        <v>46196</v>
      </c>
      <c r="O115" s="26" t="s">
        <v>55</v>
      </c>
      <c r="P115" s="44" t="s">
        <v>833</v>
      </c>
      <c r="Q115" s="26" t="s">
        <v>57</v>
      </c>
      <c r="R115" s="44" t="s">
        <v>833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833</v>
      </c>
      <c r="Z115" s="30" t="s">
        <v>57</v>
      </c>
      <c r="AA115" s="30" t="s">
        <v>833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 t="s">
        <v>61</v>
      </c>
      <c r="AG115" s="33" t="s">
        <v>55</v>
      </c>
      <c r="AH115" s="33" t="s">
        <v>833</v>
      </c>
      <c r="AI115" s="33" t="s">
        <v>57</v>
      </c>
      <c r="AJ115" s="33" t="s">
        <v>833</v>
      </c>
      <c r="AK115" s="33" t="s">
        <v>56</v>
      </c>
      <c r="AL115" s="27"/>
      <c r="AM115" s="34" t="s">
        <v>57</v>
      </c>
      <c r="AN115" s="35" t="str">
        <f t="shared" si="8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4824</v>
      </c>
      <c r="C116" s="41" t="s">
        <v>4825</v>
      </c>
      <c r="D116" s="39" t="s">
        <v>4603</v>
      </c>
      <c r="E116" s="42">
        <v>46128</v>
      </c>
      <c r="F116" s="26" t="s">
        <v>55</v>
      </c>
      <c r="G116" s="44" t="s">
        <v>833</v>
      </c>
      <c r="H116" s="26" t="s">
        <v>57</v>
      </c>
      <c r="I116" s="44" t="s">
        <v>833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42">
        <v>46196</v>
      </c>
      <c r="O116" s="26" t="s">
        <v>55</v>
      </c>
      <c r="P116" s="44" t="s">
        <v>833</v>
      </c>
      <c r="Q116" s="26" t="s">
        <v>57</v>
      </c>
      <c r="R116" s="44" t="s">
        <v>833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833</v>
      </c>
      <c r="Z116" s="30" t="s">
        <v>57</v>
      </c>
      <c r="AA116" s="30" t="s">
        <v>833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 t="s">
        <v>61</v>
      </c>
      <c r="AG116" s="33" t="s">
        <v>55</v>
      </c>
      <c r="AH116" s="33" t="s">
        <v>833</v>
      </c>
      <c r="AI116" s="33" t="s">
        <v>57</v>
      </c>
      <c r="AJ116" s="33" t="s">
        <v>833</v>
      </c>
      <c r="AK116" s="33" t="s">
        <v>56</v>
      </c>
      <c r="AL116" s="27"/>
      <c r="AM116" s="34" t="s">
        <v>57</v>
      </c>
      <c r="AN116" s="35" t="str">
        <f t="shared" si="8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4826</v>
      </c>
      <c r="C117" s="25" t="s">
        <v>4827</v>
      </c>
      <c r="D117" s="23" t="s">
        <v>4603</v>
      </c>
      <c r="E117" s="42">
        <v>46128</v>
      </c>
      <c r="F117" s="26" t="s">
        <v>55</v>
      </c>
      <c r="G117" s="44" t="s">
        <v>833</v>
      </c>
      <c r="H117" s="26" t="s">
        <v>57</v>
      </c>
      <c r="I117" s="44" t="s">
        <v>833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42">
        <v>46196</v>
      </c>
      <c r="O117" s="26" t="s">
        <v>55</v>
      </c>
      <c r="P117" s="44" t="s">
        <v>833</v>
      </c>
      <c r="Q117" s="26" t="s">
        <v>57</v>
      </c>
      <c r="R117" s="44" t="s">
        <v>833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833</v>
      </c>
      <c r="Z117" s="30" t="s">
        <v>57</v>
      </c>
      <c r="AA117" s="30" t="s">
        <v>833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 t="s">
        <v>61</v>
      </c>
      <c r="AG117" s="33" t="s">
        <v>55</v>
      </c>
      <c r="AH117" s="33" t="s">
        <v>833</v>
      </c>
      <c r="AI117" s="33" t="s">
        <v>57</v>
      </c>
      <c r="AJ117" s="33" t="s">
        <v>833</v>
      </c>
      <c r="AK117" s="33" t="s">
        <v>56</v>
      </c>
      <c r="AL117" s="27"/>
      <c r="AM117" s="34" t="s">
        <v>57</v>
      </c>
      <c r="AN117" s="35" t="str">
        <f t="shared" si="8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4828</v>
      </c>
      <c r="C118" s="41" t="s">
        <v>4829</v>
      </c>
      <c r="D118" s="39" t="s">
        <v>4603</v>
      </c>
      <c r="E118" s="42">
        <v>46128</v>
      </c>
      <c r="F118" s="26" t="s">
        <v>55</v>
      </c>
      <c r="G118" s="44" t="s">
        <v>833</v>
      </c>
      <c r="H118" s="26" t="s">
        <v>57</v>
      </c>
      <c r="I118" s="44" t="s">
        <v>833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42">
        <v>46196</v>
      </c>
      <c r="O118" s="26" t="s">
        <v>55</v>
      </c>
      <c r="P118" s="44" t="s">
        <v>833</v>
      </c>
      <c r="Q118" s="26" t="s">
        <v>57</v>
      </c>
      <c r="R118" s="44" t="s">
        <v>833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833</v>
      </c>
      <c r="Z118" s="30" t="s">
        <v>57</v>
      </c>
      <c r="AA118" s="30" t="s">
        <v>833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 t="s">
        <v>61</v>
      </c>
      <c r="AG118" s="33" t="s">
        <v>55</v>
      </c>
      <c r="AH118" s="33" t="s">
        <v>833</v>
      </c>
      <c r="AI118" s="33" t="s">
        <v>57</v>
      </c>
      <c r="AJ118" s="33" t="s">
        <v>833</v>
      </c>
      <c r="AK118" s="33" t="s">
        <v>56</v>
      </c>
      <c r="AL118" s="27"/>
      <c r="AM118" s="34" t="s">
        <v>57</v>
      </c>
      <c r="AN118" s="35" t="str">
        <f t="shared" si="8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4830</v>
      </c>
      <c r="C119" s="25" t="s">
        <v>4831</v>
      </c>
      <c r="D119" s="23" t="s">
        <v>4603</v>
      </c>
      <c r="E119" s="42">
        <v>46128</v>
      </c>
      <c r="F119" s="26" t="s">
        <v>55</v>
      </c>
      <c r="G119" s="44" t="s">
        <v>833</v>
      </c>
      <c r="H119" s="26" t="s">
        <v>57</v>
      </c>
      <c r="I119" s="44" t="s">
        <v>833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42">
        <v>46196</v>
      </c>
      <c r="O119" s="26" t="s">
        <v>55</v>
      </c>
      <c r="P119" s="44" t="s">
        <v>833</v>
      </c>
      <c r="Q119" s="26" t="s">
        <v>57</v>
      </c>
      <c r="R119" s="44" t="s">
        <v>833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833</v>
      </c>
      <c r="Z119" s="30" t="s">
        <v>57</v>
      </c>
      <c r="AA119" s="30" t="s">
        <v>833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 t="s">
        <v>61</v>
      </c>
      <c r="AG119" s="33" t="s">
        <v>55</v>
      </c>
      <c r="AH119" s="33" t="s">
        <v>833</v>
      </c>
      <c r="AI119" s="33" t="s">
        <v>57</v>
      </c>
      <c r="AJ119" s="33" t="s">
        <v>833</v>
      </c>
      <c r="AK119" s="33" t="s">
        <v>56</v>
      </c>
      <c r="AL119" s="27"/>
      <c r="AM119" s="34" t="s">
        <v>57</v>
      </c>
      <c r="AN119" s="35" t="str">
        <f t="shared" si="8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4832</v>
      </c>
      <c r="C120" s="41" t="s">
        <v>4833</v>
      </c>
      <c r="D120" s="39" t="s">
        <v>4603</v>
      </c>
      <c r="E120" s="42">
        <v>46128</v>
      </c>
      <c r="F120" s="26" t="s">
        <v>55</v>
      </c>
      <c r="G120" s="44" t="s">
        <v>833</v>
      </c>
      <c r="H120" s="26" t="s">
        <v>57</v>
      </c>
      <c r="I120" s="44" t="s">
        <v>833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42">
        <v>46196</v>
      </c>
      <c r="O120" s="26" t="s">
        <v>55</v>
      </c>
      <c r="P120" s="44" t="s">
        <v>833</v>
      </c>
      <c r="Q120" s="26" t="s">
        <v>57</v>
      </c>
      <c r="R120" s="44" t="s">
        <v>833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833</v>
      </c>
      <c r="Z120" s="30" t="s">
        <v>57</v>
      </c>
      <c r="AA120" s="30" t="s">
        <v>833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 t="s">
        <v>61</v>
      </c>
      <c r="AG120" s="33" t="s">
        <v>55</v>
      </c>
      <c r="AH120" s="33" t="s">
        <v>833</v>
      </c>
      <c r="AI120" s="33" t="s">
        <v>57</v>
      </c>
      <c r="AJ120" s="33" t="s">
        <v>833</v>
      </c>
      <c r="AK120" s="33" t="s">
        <v>56</v>
      </c>
      <c r="AL120" s="27"/>
      <c r="AM120" s="34" t="s">
        <v>57</v>
      </c>
      <c r="AN120" s="35" t="str">
        <f t="shared" si="8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4834</v>
      </c>
      <c r="C121" s="25" t="s">
        <v>4835</v>
      </c>
      <c r="D121" s="23" t="s">
        <v>4603</v>
      </c>
      <c r="E121" s="42">
        <v>46128</v>
      </c>
      <c r="F121" s="26" t="s">
        <v>55</v>
      </c>
      <c r="G121" s="44" t="s">
        <v>833</v>
      </c>
      <c r="H121" s="26" t="s">
        <v>57</v>
      </c>
      <c r="I121" s="44" t="s">
        <v>833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42">
        <v>46196</v>
      </c>
      <c r="O121" s="26" t="s">
        <v>55</v>
      </c>
      <c r="P121" s="44" t="s">
        <v>833</v>
      </c>
      <c r="Q121" s="26" t="s">
        <v>57</v>
      </c>
      <c r="R121" s="44" t="s">
        <v>833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833</v>
      </c>
      <c r="Z121" s="30" t="s">
        <v>57</v>
      </c>
      <c r="AA121" s="30" t="s">
        <v>833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 t="s">
        <v>61</v>
      </c>
      <c r="AG121" s="33" t="s">
        <v>55</v>
      </c>
      <c r="AH121" s="33" t="s">
        <v>833</v>
      </c>
      <c r="AI121" s="33" t="s">
        <v>57</v>
      </c>
      <c r="AJ121" s="33" t="s">
        <v>833</v>
      </c>
      <c r="AK121" s="33" t="s">
        <v>56</v>
      </c>
      <c r="AL121" s="27"/>
      <c r="AM121" s="34" t="s">
        <v>57</v>
      </c>
      <c r="AN121" s="35" t="str">
        <f t="shared" si="8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4836</v>
      </c>
      <c r="C122" s="41" t="s">
        <v>4837</v>
      </c>
      <c r="D122" s="39" t="s">
        <v>4603</v>
      </c>
      <c r="E122" s="42">
        <v>46128</v>
      </c>
      <c r="F122" s="26" t="s">
        <v>55</v>
      </c>
      <c r="G122" s="44" t="s">
        <v>833</v>
      </c>
      <c r="H122" s="26" t="s">
        <v>57</v>
      </c>
      <c r="I122" s="44" t="s">
        <v>833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42">
        <v>46196</v>
      </c>
      <c r="O122" s="26" t="s">
        <v>55</v>
      </c>
      <c r="P122" s="44" t="s">
        <v>833</v>
      </c>
      <c r="Q122" s="26" t="s">
        <v>57</v>
      </c>
      <c r="R122" s="44" t="s">
        <v>833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833</v>
      </c>
      <c r="Z122" s="30" t="s">
        <v>57</v>
      </c>
      <c r="AA122" s="30" t="s">
        <v>833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 t="s">
        <v>61</v>
      </c>
      <c r="AG122" s="33" t="s">
        <v>55</v>
      </c>
      <c r="AH122" s="33" t="s">
        <v>833</v>
      </c>
      <c r="AI122" s="33" t="s">
        <v>57</v>
      </c>
      <c r="AJ122" s="33" t="s">
        <v>833</v>
      </c>
      <c r="AK122" s="33" t="s">
        <v>56</v>
      </c>
      <c r="AL122" s="27"/>
      <c r="AM122" s="34" t="s">
        <v>57</v>
      </c>
      <c r="AN122" s="35" t="str">
        <f t="shared" si="8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4838</v>
      </c>
      <c r="C123" s="25" t="s">
        <v>4839</v>
      </c>
      <c r="D123" s="23" t="s">
        <v>4603</v>
      </c>
      <c r="E123" s="42">
        <v>46128</v>
      </c>
      <c r="F123" s="26" t="s">
        <v>55</v>
      </c>
      <c r="G123" s="44" t="s">
        <v>833</v>
      </c>
      <c r="H123" s="26" t="s">
        <v>57</v>
      </c>
      <c r="I123" s="44" t="s">
        <v>833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42">
        <v>46196</v>
      </c>
      <c r="O123" s="26" t="s">
        <v>55</v>
      </c>
      <c r="P123" s="44" t="s">
        <v>833</v>
      </c>
      <c r="Q123" s="26" t="s">
        <v>57</v>
      </c>
      <c r="R123" s="44" t="s">
        <v>833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833</v>
      </c>
      <c r="Z123" s="30" t="s">
        <v>57</v>
      </c>
      <c r="AA123" s="30" t="s">
        <v>833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 t="s">
        <v>61</v>
      </c>
      <c r="AG123" s="33" t="s">
        <v>55</v>
      </c>
      <c r="AH123" s="33" t="s">
        <v>833</v>
      </c>
      <c r="AI123" s="33" t="s">
        <v>57</v>
      </c>
      <c r="AJ123" s="33" t="s">
        <v>833</v>
      </c>
      <c r="AK123" s="33" t="s">
        <v>56</v>
      </c>
      <c r="AL123" s="27"/>
      <c r="AM123" s="34" t="s">
        <v>57</v>
      </c>
      <c r="AN123" s="35" t="str">
        <f t="shared" si="8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4840</v>
      </c>
      <c r="C124" s="41" t="s">
        <v>4841</v>
      </c>
      <c r="D124" s="39" t="s">
        <v>4603</v>
      </c>
      <c r="E124" s="42">
        <v>46128</v>
      </c>
      <c r="F124" s="26" t="s">
        <v>55</v>
      </c>
      <c r="G124" s="44" t="s">
        <v>833</v>
      </c>
      <c r="H124" s="26" t="s">
        <v>57</v>
      </c>
      <c r="I124" s="44" t="s">
        <v>833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42">
        <v>46196</v>
      </c>
      <c r="O124" s="26" t="s">
        <v>55</v>
      </c>
      <c r="P124" s="44" t="s">
        <v>833</v>
      </c>
      <c r="Q124" s="26" t="s">
        <v>57</v>
      </c>
      <c r="R124" s="44" t="s">
        <v>833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833</v>
      </c>
      <c r="Z124" s="30" t="s">
        <v>57</v>
      </c>
      <c r="AA124" s="30" t="s">
        <v>833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 t="s">
        <v>61</v>
      </c>
      <c r="AG124" s="33" t="s">
        <v>55</v>
      </c>
      <c r="AH124" s="33" t="s">
        <v>833</v>
      </c>
      <c r="AI124" s="33" t="s">
        <v>57</v>
      </c>
      <c r="AJ124" s="33" t="s">
        <v>833</v>
      </c>
      <c r="AK124" s="33" t="s">
        <v>56</v>
      </c>
      <c r="AL124" s="27"/>
      <c r="AM124" s="34" t="s">
        <v>57</v>
      </c>
      <c r="AN124" s="35" t="str">
        <f t="shared" si="8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4842</v>
      </c>
      <c r="C125" s="25" t="s">
        <v>4843</v>
      </c>
      <c r="D125" s="23" t="s">
        <v>4603</v>
      </c>
      <c r="E125" s="42">
        <v>46128</v>
      </c>
      <c r="F125" s="26" t="s">
        <v>55</v>
      </c>
      <c r="G125" s="44" t="s">
        <v>833</v>
      </c>
      <c r="H125" s="26" t="s">
        <v>57</v>
      </c>
      <c r="I125" s="44" t="s">
        <v>833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42">
        <v>46196</v>
      </c>
      <c r="O125" s="26" t="s">
        <v>55</v>
      </c>
      <c r="P125" s="44" t="s">
        <v>833</v>
      </c>
      <c r="Q125" s="26" t="s">
        <v>57</v>
      </c>
      <c r="R125" s="44" t="s">
        <v>833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833</v>
      </c>
      <c r="Z125" s="30" t="s">
        <v>57</v>
      </c>
      <c r="AA125" s="30" t="s">
        <v>833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 t="s">
        <v>61</v>
      </c>
      <c r="AG125" s="33" t="s">
        <v>55</v>
      </c>
      <c r="AH125" s="33" t="s">
        <v>833</v>
      </c>
      <c r="AI125" s="33" t="s">
        <v>57</v>
      </c>
      <c r="AJ125" s="33" t="s">
        <v>833</v>
      </c>
      <c r="AK125" s="33" t="s">
        <v>56</v>
      </c>
      <c r="AL125" s="27"/>
      <c r="AM125" s="34" t="s">
        <v>57</v>
      </c>
      <c r="AN125" s="35" t="str">
        <f t="shared" si="8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4844</v>
      </c>
      <c r="C126" s="41" t="s">
        <v>4845</v>
      </c>
      <c r="D126" s="39" t="s">
        <v>4603</v>
      </c>
      <c r="E126" s="42">
        <v>46128</v>
      </c>
      <c r="F126" s="26" t="s">
        <v>55</v>
      </c>
      <c r="G126" s="44" t="s">
        <v>56</v>
      </c>
      <c r="H126" s="26" t="s">
        <v>57</v>
      </c>
      <c r="I126" s="44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42">
        <v>46196</v>
      </c>
      <c r="O126" s="26" t="s">
        <v>55</v>
      </c>
      <c r="P126" s="44" t="s">
        <v>56</v>
      </c>
      <c r="Q126" s="26" t="s">
        <v>57</v>
      </c>
      <c r="R126" s="44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 t="s">
        <v>61</v>
      </c>
      <c r="AG126" s="33" t="s">
        <v>55</v>
      </c>
      <c r="AH126" s="33" t="s">
        <v>56</v>
      </c>
      <c r="AI126" s="33" t="s">
        <v>57</v>
      </c>
      <c r="AJ126" s="33" t="s">
        <v>58</v>
      </c>
      <c r="AK126" s="33" t="s">
        <v>56</v>
      </c>
      <c r="AL126" s="27"/>
      <c r="AM126" s="34" t="s">
        <v>57</v>
      </c>
      <c r="AN126" s="35" t="str">
        <f t="shared" si="8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4846</v>
      </c>
      <c r="C127" s="25" t="s">
        <v>4847</v>
      </c>
      <c r="D127" s="23" t="s">
        <v>4603</v>
      </c>
      <c r="E127" s="42">
        <v>46128</v>
      </c>
      <c r="F127" s="26" t="s">
        <v>55</v>
      </c>
      <c r="G127" s="44" t="s">
        <v>833</v>
      </c>
      <c r="H127" s="26" t="s">
        <v>57</v>
      </c>
      <c r="I127" s="44" t="s">
        <v>833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42">
        <v>46196</v>
      </c>
      <c r="O127" s="26" t="s">
        <v>55</v>
      </c>
      <c r="P127" s="44" t="s">
        <v>833</v>
      </c>
      <c r="Q127" s="26" t="s">
        <v>57</v>
      </c>
      <c r="R127" s="44" t="s">
        <v>833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833</v>
      </c>
      <c r="Z127" s="30" t="s">
        <v>57</v>
      </c>
      <c r="AA127" s="30" t="s">
        <v>833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 t="s">
        <v>61</v>
      </c>
      <c r="AG127" s="33" t="s">
        <v>55</v>
      </c>
      <c r="AH127" s="33" t="s">
        <v>833</v>
      </c>
      <c r="AI127" s="33" t="s">
        <v>57</v>
      </c>
      <c r="AJ127" s="33" t="s">
        <v>833</v>
      </c>
      <c r="AK127" s="33" t="s">
        <v>56</v>
      </c>
      <c r="AL127" s="27"/>
      <c r="AM127" s="34" t="s">
        <v>57</v>
      </c>
      <c r="AN127" s="35" t="str">
        <f t="shared" si="8"/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4848</v>
      </c>
      <c r="C128" s="41" t="s">
        <v>4849</v>
      </c>
      <c r="D128" s="39" t="s">
        <v>4603</v>
      </c>
      <c r="E128" s="42">
        <v>46128</v>
      </c>
      <c r="F128" s="26" t="s">
        <v>55</v>
      </c>
      <c r="G128" s="44" t="s">
        <v>56</v>
      </c>
      <c r="H128" s="26" t="s">
        <v>57</v>
      </c>
      <c r="I128" s="44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42">
        <v>46196</v>
      </c>
      <c r="O128" s="26" t="s">
        <v>55</v>
      </c>
      <c r="P128" s="44" t="s">
        <v>56</v>
      </c>
      <c r="Q128" s="26" t="s">
        <v>57</v>
      </c>
      <c r="R128" s="44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 t="s">
        <v>61</v>
      </c>
      <c r="AG128" s="33" t="s">
        <v>55</v>
      </c>
      <c r="AH128" s="33" t="s">
        <v>56</v>
      </c>
      <c r="AI128" s="33" t="s">
        <v>57</v>
      </c>
      <c r="AJ128" s="33" t="s">
        <v>58</v>
      </c>
      <c r="AK128" s="33" t="s">
        <v>56</v>
      </c>
      <c r="AL128" s="27"/>
      <c r="AM128" s="34" t="s">
        <v>57</v>
      </c>
      <c r="AN128" s="35" t="str">
        <f t="shared" si="8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4850</v>
      </c>
      <c r="C129" s="25" t="s">
        <v>4851</v>
      </c>
      <c r="D129" s="23" t="s">
        <v>4603</v>
      </c>
      <c r="E129" s="42">
        <v>46128</v>
      </c>
      <c r="F129" s="26" t="s">
        <v>55</v>
      </c>
      <c r="G129" s="44" t="s">
        <v>833</v>
      </c>
      <c r="H129" s="26" t="s">
        <v>57</v>
      </c>
      <c r="I129" s="44" t="s">
        <v>833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42">
        <v>46196</v>
      </c>
      <c r="O129" s="26" t="s">
        <v>55</v>
      </c>
      <c r="P129" s="44" t="s">
        <v>833</v>
      </c>
      <c r="Q129" s="26" t="s">
        <v>57</v>
      </c>
      <c r="R129" s="44" t="s">
        <v>833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833</v>
      </c>
      <c r="Z129" s="30" t="s">
        <v>57</v>
      </c>
      <c r="AA129" s="30" t="s">
        <v>833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 t="s">
        <v>61</v>
      </c>
      <c r="AG129" s="33" t="s">
        <v>55</v>
      </c>
      <c r="AH129" s="33" t="s">
        <v>833</v>
      </c>
      <c r="AI129" s="33" t="s">
        <v>57</v>
      </c>
      <c r="AJ129" s="33" t="s">
        <v>833</v>
      </c>
      <c r="AK129" s="33" t="s">
        <v>56</v>
      </c>
      <c r="AL129" s="27"/>
      <c r="AM129" s="34" t="s">
        <v>57</v>
      </c>
      <c r="AN129" s="35" t="str">
        <f t="shared" si="8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4852</v>
      </c>
      <c r="C130" s="41" t="s">
        <v>4853</v>
      </c>
      <c r="D130" s="39" t="s">
        <v>4603</v>
      </c>
      <c r="E130" s="42">
        <v>46128</v>
      </c>
      <c r="F130" s="26" t="s">
        <v>55</v>
      </c>
      <c r="G130" s="44" t="s">
        <v>56</v>
      </c>
      <c r="H130" s="26" t="s">
        <v>57</v>
      </c>
      <c r="I130" s="44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42">
        <v>46196</v>
      </c>
      <c r="O130" s="26" t="s">
        <v>55</v>
      </c>
      <c r="P130" s="44" t="s">
        <v>56</v>
      </c>
      <c r="Q130" s="26" t="s">
        <v>57</v>
      </c>
      <c r="R130" s="44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 t="s">
        <v>61</v>
      </c>
      <c r="AG130" s="33" t="s">
        <v>55</v>
      </c>
      <c r="AH130" s="33" t="s">
        <v>56</v>
      </c>
      <c r="AI130" s="33" t="s">
        <v>57</v>
      </c>
      <c r="AJ130" s="33" t="s">
        <v>58</v>
      </c>
      <c r="AK130" s="33" t="s">
        <v>56</v>
      </c>
      <c r="AL130" s="27"/>
      <c r="AM130" s="34" t="s">
        <v>57</v>
      </c>
      <c r="AN130" s="35" t="str">
        <f t="shared" si="8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4854</v>
      </c>
      <c r="C131" s="25" t="s">
        <v>4855</v>
      </c>
      <c r="D131" s="23" t="s">
        <v>4603</v>
      </c>
      <c r="E131" s="42">
        <v>46128</v>
      </c>
      <c r="F131" s="26" t="s">
        <v>55</v>
      </c>
      <c r="G131" s="44" t="s">
        <v>833</v>
      </c>
      <c r="H131" s="26" t="s">
        <v>57</v>
      </c>
      <c r="I131" s="44" t="s">
        <v>833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42">
        <v>46196</v>
      </c>
      <c r="O131" s="26" t="s">
        <v>55</v>
      </c>
      <c r="P131" s="44" t="s">
        <v>833</v>
      </c>
      <c r="Q131" s="26" t="s">
        <v>57</v>
      </c>
      <c r="R131" s="44" t="s">
        <v>833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833</v>
      </c>
      <c r="Z131" s="30" t="s">
        <v>57</v>
      </c>
      <c r="AA131" s="30" t="s">
        <v>833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 t="s">
        <v>61</v>
      </c>
      <c r="AG131" s="33" t="s">
        <v>55</v>
      </c>
      <c r="AH131" s="33" t="s">
        <v>833</v>
      </c>
      <c r="AI131" s="33" t="s">
        <v>57</v>
      </c>
      <c r="AJ131" s="33" t="s">
        <v>833</v>
      </c>
      <c r="AK131" s="33" t="s">
        <v>56</v>
      </c>
      <c r="AL131" s="27"/>
      <c r="AM131" s="34" t="s">
        <v>57</v>
      </c>
      <c r="AN131" s="35" t="str">
        <f t="shared" si="8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4856</v>
      </c>
      <c r="C132" s="41" t="s">
        <v>4857</v>
      </c>
      <c r="D132" s="39" t="s">
        <v>4603</v>
      </c>
      <c r="E132" s="42">
        <v>46128</v>
      </c>
      <c r="F132" s="26" t="s">
        <v>55</v>
      </c>
      <c r="G132" s="44" t="s">
        <v>833</v>
      </c>
      <c r="H132" s="26" t="s">
        <v>57</v>
      </c>
      <c r="I132" s="44" t="s">
        <v>833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42">
        <v>46196</v>
      </c>
      <c r="O132" s="26" t="s">
        <v>55</v>
      </c>
      <c r="P132" s="44" t="s">
        <v>833</v>
      </c>
      <c r="Q132" s="26" t="s">
        <v>57</v>
      </c>
      <c r="R132" s="44" t="s">
        <v>833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833</v>
      </c>
      <c r="Z132" s="30" t="s">
        <v>57</v>
      </c>
      <c r="AA132" s="30" t="s">
        <v>833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 t="s">
        <v>61</v>
      </c>
      <c r="AG132" s="33" t="s">
        <v>55</v>
      </c>
      <c r="AH132" s="33" t="s">
        <v>833</v>
      </c>
      <c r="AI132" s="33" t="s">
        <v>57</v>
      </c>
      <c r="AJ132" s="33" t="s">
        <v>833</v>
      </c>
      <c r="AK132" s="33" t="s">
        <v>56</v>
      </c>
      <c r="AL132" s="27"/>
      <c r="AM132" s="34" t="s">
        <v>57</v>
      </c>
      <c r="AN132" s="35" t="str">
        <f t="shared" si="8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4858</v>
      </c>
      <c r="C133" s="25" t="s">
        <v>4859</v>
      </c>
      <c r="D133" s="23" t="s">
        <v>4603</v>
      </c>
      <c r="E133" s="42">
        <v>46128</v>
      </c>
      <c r="F133" s="26" t="s">
        <v>55</v>
      </c>
      <c r="G133" s="44" t="s">
        <v>833</v>
      </c>
      <c r="H133" s="26" t="s">
        <v>57</v>
      </c>
      <c r="I133" s="44" t="s">
        <v>833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42">
        <v>46196</v>
      </c>
      <c r="O133" s="26" t="s">
        <v>55</v>
      </c>
      <c r="P133" s="44" t="s">
        <v>833</v>
      </c>
      <c r="Q133" s="26" t="s">
        <v>57</v>
      </c>
      <c r="R133" s="44" t="s">
        <v>833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833</v>
      </c>
      <c r="Z133" s="30" t="s">
        <v>57</v>
      </c>
      <c r="AA133" s="30" t="s">
        <v>833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 t="s">
        <v>61</v>
      </c>
      <c r="AG133" s="33" t="s">
        <v>55</v>
      </c>
      <c r="AH133" s="33" t="s">
        <v>833</v>
      </c>
      <c r="AI133" s="33" t="s">
        <v>57</v>
      </c>
      <c r="AJ133" s="33" t="s">
        <v>833</v>
      </c>
      <c r="AK133" s="33" t="s">
        <v>56</v>
      </c>
      <c r="AL133" s="27"/>
      <c r="AM133" s="34" t="s">
        <v>57</v>
      </c>
      <c r="AN133" s="35" t="str">
        <f t="shared" ref="AN133:AN196" si="13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4860</v>
      </c>
      <c r="C134" s="41" t="s">
        <v>4861</v>
      </c>
      <c r="D134" s="39" t="s">
        <v>4603</v>
      </c>
      <c r="E134" s="42">
        <v>46128</v>
      </c>
      <c r="F134" s="26" t="s">
        <v>55</v>
      </c>
      <c r="G134" s="44" t="s">
        <v>833</v>
      </c>
      <c r="H134" s="26" t="s">
        <v>57</v>
      </c>
      <c r="I134" s="44" t="s">
        <v>833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42">
        <v>46196</v>
      </c>
      <c r="O134" s="26" t="s">
        <v>55</v>
      </c>
      <c r="P134" s="44" t="s">
        <v>833</v>
      </c>
      <c r="Q134" s="26" t="s">
        <v>57</v>
      </c>
      <c r="R134" s="44" t="s">
        <v>833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833</v>
      </c>
      <c r="Z134" s="30" t="s">
        <v>57</v>
      </c>
      <c r="AA134" s="30" t="s">
        <v>833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 t="s">
        <v>61</v>
      </c>
      <c r="AG134" s="33" t="s">
        <v>55</v>
      </c>
      <c r="AH134" s="33" t="s">
        <v>833</v>
      </c>
      <c r="AI134" s="33" t="s">
        <v>57</v>
      </c>
      <c r="AJ134" s="33" t="s">
        <v>833</v>
      </c>
      <c r="AK134" s="33" t="s">
        <v>56</v>
      </c>
      <c r="AL134" s="27"/>
      <c r="AM134" s="34" t="s">
        <v>57</v>
      </c>
      <c r="AN134" s="35" t="str">
        <f t="shared" si="13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4862</v>
      </c>
      <c r="C135" s="25" t="s">
        <v>4863</v>
      </c>
      <c r="D135" s="23" t="s">
        <v>4603</v>
      </c>
      <c r="E135" s="42">
        <v>46128</v>
      </c>
      <c r="F135" s="26" t="s">
        <v>55</v>
      </c>
      <c r="G135" s="44" t="s">
        <v>56</v>
      </c>
      <c r="H135" s="26" t="s">
        <v>57</v>
      </c>
      <c r="I135" s="44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42">
        <v>46196</v>
      </c>
      <c r="O135" s="26" t="s">
        <v>55</v>
      </c>
      <c r="P135" s="44" t="s">
        <v>56</v>
      </c>
      <c r="Q135" s="26" t="s">
        <v>57</v>
      </c>
      <c r="R135" s="44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 t="s">
        <v>61</v>
      </c>
      <c r="AG135" s="33" t="s">
        <v>55</v>
      </c>
      <c r="AH135" s="33" t="s">
        <v>56</v>
      </c>
      <c r="AI135" s="33" t="s">
        <v>57</v>
      </c>
      <c r="AJ135" s="33" t="s">
        <v>58</v>
      </c>
      <c r="AK135" s="33" t="s">
        <v>56</v>
      </c>
      <c r="AL135" s="27"/>
      <c r="AM135" s="34" t="s">
        <v>57</v>
      </c>
      <c r="AN135" s="35" t="str">
        <f t="shared" si="13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4864</v>
      </c>
      <c r="C136" s="41" t="s">
        <v>4865</v>
      </c>
      <c r="D136" s="39" t="s">
        <v>4603</v>
      </c>
      <c r="E136" s="42">
        <v>46128</v>
      </c>
      <c r="F136" s="26" t="s">
        <v>55</v>
      </c>
      <c r="G136" s="44" t="s">
        <v>833</v>
      </c>
      <c r="H136" s="26" t="s">
        <v>57</v>
      </c>
      <c r="I136" s="44" t="s">
        <v>833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42">
        <v>46196</v>
      </c>
      <c r="O136" s="26" t="s">
        <v>55</v>
      </c>
      <c r="P136" s="44" t="s">
        <v>833</v>
      </c>
      <c r="Q136" s="26" t="s">
        <v>57</v>
      </c>
      <c r="R136" s="44" t="s">
        <v>833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833</v>
      </c>
      <c r="Z136" s="30" t="s">
        <v>57</v>
      </c>
      <c r="AA136" s="30" t="s">
        <v>833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 t="s">
        <v>61</v>
      </c>
      <c r="AG136" s="33" t="s">
        <v>55</v>
      </c>
      <c r="AH136" s="33" t="s">
        <v>833</v>
      </c>
      <c r="AI136" s="33" t="s">
        <v>57</v>
      </c>
      <c r="AJ136" s="33" t="s">
        <v>833</v>
      </c>
      <c r="AK136" s="33" t="s">
        <v>56</v>
      </c>
      <c r="AL136" s="27"/>
      <c r="AM136" s="34" t="s">
        <v>57</v>
      </c>
      <c r="AN136" s="35" t="str">
        <f t="shared" si="13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4866</v>
      </c>
      <c r="C137" s="25" t="s">
        <v>4867</v>
      </c>
      <c r="D137" s="23" t="s">
        <v>4603</v>
      </c>
      <c r="E137" s="42">
        <v>46128</v>
      </c>
      <c r="F137" s="26" t="s">
        <v>55</v>
      </c>
      <c r="G137" s="44" t="s">
        <v>833</v>
      </c>
      <c r="H137" s="26" t="s">
        <v>57</v>
      </c>
      <c r="I137" s="44" t="s">
        <v>833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42">
        <v>46196</v>
      </c>
      <c r="O137" s="26" t="s">
        <v>55</v>
      </c>
      <c r="P137" s="44" t="s">
        <v>833</v>
      </c>
      <c r="Q137" s="26" t="s">
        <v>57</v>
      </c>
      <c r="R137" s="44" t="s">
        <v>833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833</v>
      </c>
      <c r="Z137" s="30" t="s">
        <v>57</v>
      </c>
      <c r="AA137" s="30" t="s">
        <v>833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 t="s">
        <v>61</v>
      </c>
      <c r="AG137" s="33" t="s">
        <v>55</v>
      </c>
      <c r="AH137" s="33" t="s">
        <v>833</v>
      </c>
      <c r="AI137" s="33" t="s">
        <v>57</v>
      </c>
      <c r="AJ137" s="33" t="s">
        <v>833</v>
      </c>
      <c r="AK137" s="33" t="s">
        <v>56</v>
      </c>
      <c r="AL137" s="27"/>
      <c r="AM137" s="34" t="s">
        <v>57</v>
      </c>
      <c r="AN137" s="35" t="str">
        <f t="shared" si="13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4868</v>
      </c>
      <c r="C138" s="41" t="s">
        <v>4869</v>
      </c>
      <c r="D138" s="39" t="s">
        <v>4603</v>
      </c>
      <c r="E138" s="42">
        <v>46128</v>
      </c>
      <c r="F138" s="26" t="s">
        <v>55</v>
      </c>
      <c r="G138" s="44" t="s">
        <v>833</v>
      </c>
      <c r="H138" s="26" t="s">
        <v>57</v>
      </c>
      <c r="I138" s="44" t="s">
        <v>833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42">
        <v>46196</v>
      </c>
      <c r="O138" s="26" t="s">
        <v>55</v>
      </c>
      <c r="P138" s="44" t="s">
        <v>833</v>
      </c>
      <c r="Q138" s="26" t="s">
        <v>57</v>
      </c>
      <c r="R138" s="44" t="s">
        <v>833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833</v>
      </c>
      <c r="Z138" s="30" t="s">
        <v>57</v>
      </c>
      <c r="AA138" s="30" t="s">
        <v>833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 t="s">
        <v>61</v>
      </c>
      <c r="AG138" s="33" t="s">
        <v>55</v>
      </c>
      <c r="AH138" s="33" t="s">
        <v>833</v>
      </c>
      <c r="AI138" s="33" t="s">
        <v>57</v>
      </c>
      <c r="AJ138" s="33" t="s">
        <v>833</v>
      </c>
      <c r="AK138" s="33" t="s">
        <v>56</v>
      </c>
      <c r="AL138" s="27"/>
      <c r="AM138" s="34" t="s">
        <v>57</v>
      </c>
      <c r="AN138" s="35" t="str">
        <f t="shared" si="13"/>
        <v>✓ OK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4870</v>
      </c>
      <c r="C139" s="25" t="s">
        <v>4871</v>
      </c>
      <c r="D139" s="23" t="s">
        <v>4603</v>
      </c>
      <c r="E139" s="42">
        <v>46128</v>
      </c>
      <c r="F139" s="26" t="s">
        <v>55</v>
      </c>
      <c r="G139" s="44" t="s">
        <v>833</v>
      </c>
      <c r="H139" s="26" t="s">
        <v>57</v>
      </c>
      <c r="I139" s="44" t="s">
        <v>833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42">
        <v>46196</v>
      </c>
      <c r="O139" s="26" t="s">
        <v>55</v>
      </c>
      <c r="P139" s="44" t="s">
        <v>833</v>
      </c>
      <c r="Q139" s="26" t="s">
        <v>57</v>
      </c>
      <c r="R139" s="44" t="s">
        <v>833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833</v>
      </c>
      <c r="Z139" s="30" t="s">
        <v>57</v>
      </c>
      <c r="AA139" s="30" t="s">
        <v>833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 t="s">
        <v>61</v>
      </c>
      <c r="AG139" s="33" t="s">
        <v>55</v>
      </c>
      <c r="AH139" s="33" t="s">
        <v>833</v>
      </c>
      <c r="AI139" s="33" t="s">
        <v>57</v>
      </c>
      <c r="AJ139" s="33" t="s">
        <v>833</v>
      </c>
      <c r="AK139" s="33" t="s">
        <v>56</v>
      </c>
      <c r="AL139" s="27"/>
      <c r="AM139" s="34" t="s">
        <v>57</v>
      </c>
      <c r="AN139" s="35" t="str">
        <f t="shared" si="13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4872</v>
      </c>
      <c r="C140" s="41" t="s">
        <v>4873</v>
      </c>
      <c r="D140" s="39" t="s">
        <v>4603</v>
      </c>
      <c r="E140" s="42">
        <v>46128</v>
      </c>
      <c r="F140" s="26" t="s">
        <v>55</v>
      </c>
      <c r="G140" s="44" t="s">
        <v>833</v>
      </c>
      <c r="H140" s="26" t="s">
        <v>57</v>
      </c>
      <c r="I140" s="44" t="s">
        <v>833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42">
        <v>46196</v>
      </c>
      <c r="O140" s="26" t="s">
        <v>55</v>
      </c>
      <c r="P140" s="44" t="s">
        <v>833</v>
      </c>
      <c r="Q140" s="26" t="s">
        <v>57</v>
      </c>
      <c r="R140" s="44" t="s">
        <v>833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833</v>
      </c>
      <c r="Z140" s="30" t="s">
        <v>57</v>
      </c>
      <c r="AA140" s="30" t="s">
        <v>833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 t="s">
        <v>61</v>
      </c>
      <c r="AG140" s="33" t="s">
        <v>55</v>
      </c>
      <c r="AH140" s="33" t="s">
        <v>833</v>
      </c>
      <c r="AI140" s="33" t="s">
        <v>57</v>
      </c>
      <c r="AJ140" s="33" t="s">
        <v>833</v>
      </c>
      <c r="AK140" s="33" t="s">
        <v>56</v>
      </c>
      <c r="AL140" s="27"/>
      <c r="AM140" s="34" t="s">
        <v>57</v>
      </c>
      <c r="AN140" s="35" t="str">
        <f t="shared" si="13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4874</v>
      </c>
      <c r="C141" s="25" t="s">
        <v>4875</v>
      </c>
      <c r="D141" s="23" t="s">
        <v>4603</v>
      </c>
      <c r="E141" s="42">
        <v>46128</v>
      </c>
      <c r="F141" s="26" t="s">
        <v>55</v>
      </c>
      <c r="G141" s="44" t="s">
        <v>833</v>
      </c>
      <c r="H141" s="26" t="s">
        <v>57</v>
      </c>
      <c r="I141" s="44" t="s">
        <v>833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42">
        <v>46196</v>
      </c>
      <c r="O141" s="26" t="s">
        <v>55</v>
      </c>
      <c r="P141" s="44" t="s">
        <v>833</v>
      </c>
      <c r="Q141" s="26" t="s">
        <v>57</v>
      </c>
      <c r="R141" s="44" t="s">
        <v>833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833</v>
      </c>
      <c r="Z141" s="30" t="s">
        <v>57</v>
      </c>
      <c r="AA141" s="30" t="s">
        <v>833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 t="s">
        <v>61</v>
      </c>
      <c r="AG141" s="33" t="s">
        <v>55</v>
      </c>
      <c r="AH141" s="33" t="s">
        <v>833</v>
      </c>
      <c r="AI141" s="33" t="s">
        <v>57</v>
      </c>
      <c r="AJ141" s="33" t="s">
        <v>833</v>
      </c>
      <c r="AK141" s="33" t="s">
        <v>56</v>
      </c>
      <c r="AL141" s="27"/>
      <c r="AM141" s="34" t="s">
        <v>57</v>
      </c>
      <c r="AN141" s="35" t="str">
        <f t="shared" si="13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4876</v>
      </c>
      <c r="C142" s="41" t="s">
        <v>4877</v>
      </c>
      <c r="D142" s="39" t="s">
        <v>4603</v>
      </c>
      <c r="E142" s="42">
        <v>46128</v>
      </c>
      <c r="F142" s="26" t="s">
        <v>55</v>
      </c>
      <c r="G142" s="44" t="s">
        <v>833</v>
      </c>
      <c r="H142" s="26" t="s">
        <v>57</v>
      </c>
      <c r="I142" s="44" t="s">
        <v>833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42">
        <v>46196</v>
      </c>
      <c r="O142" s="26" t="s">
        <v>55</v>
      </c>
      <c r="P142" s="44" t="s">
        <v>833</v>
      </c>
      <c r="Q142" s="26" t="s">
        <v>57</v>
      </c>
      <c r="R142" s="44" t="s">
        <v>833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833</v>
      </c>
      <c r="Z142" s="30" t="s">
        <v>57</v>
      </c>
      <c r="AA142" s="30" t="s">
        <v>833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 t="s">
        <v>61</v>
      </c>
      <c r="AG142" s="33" t="s">
        <v>55</v>
      </c>
      <c r="AH142" s="33" t="s">
        <v>833</v>
      </c>
      <c r="AI142" s="33" t="s">
        <v>57</v>
      </c>
      <c r="AJ142" s="33" t="s">
        <v>833</v>
      </c>
      <c r="AK142" s="33" t="s">
        <v>56</v>
      </c>
      <c r="AL142" s="27"/>
      <c r="AM142" s="34" t="s">
        <v>57</v>
      </c>
      <c r="AN142" s="35" t="str">
        <f t="shared" si="13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4878</v>
      </c>
      <c r="C143" s="25" t="s">
        <v>4879</v>
      </c>
      <c r="D143" s="23" t="s">
        <v>4603</v>
      </c>
      <c r="E143" s="42">
        <v>46128</v>
      </c>
      <c r="F143" s="26" t="s">
        <v>55</v>
      </c>
      <c r="G143" s="44" t="s">
        <v>833</v>
      </c>
      <c r="H143" s="26" t="s">
        <v>57</v>
      </c>
      <c r="I143" s="44" t="s">
        <v>833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42">
        <v>46196</v>
      </c>
      <c r="O143" s="26" t="s">
        <v>55</v>
      </c>
      <c r="P143" s="44" t="s">
        <v>833</v>
      </c>
      <c r="Q143" s="26" t="s">
        <v>57</v>
      </c>
      <c r="R143" s="44" t="s">
        <v>833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833</v>
      </c>
      <c r="Z143" s="30" t="s">
        <v>57</v>
      </c>
      <c r="AA143" s="30" t="s">
        <v>833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 t="s">
        <v>61</v>
      </c>
      <c r="AG143" s="33" t="s">
        <v>55</v>
      </c>
      <c r="AH143" s="33" t="s">
        <v>833</v>
      </c>
      <c r="AI143" s="33" t="s">
        <v>57</v>
      </c>
      <c r="AJ143" s="33" t="s">
        <v>833</v>
      </c>
      <c r="AK143" s="33" t="s">
        <v>56</v>
      </c>
      <c r="AL143" s="27"/>
      <c r="AM143" s="34" t="s">
        <v>57</v>
      </c>
      <c r="AN143" s="35" t="str">
        <f t="shared" si="13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4880</v>
      </c>
      <c r="C144" s="41" t="s">
        <v>4881</v>
      </c>
      <c r="D144" s="39" t="s">
        <v>4603</v>
      </c>
      <c r="E144" s="42">
        <v>46128</v>
      </c>
      <c r="F144" s="26" t="s">
        <v>55</v>
      </c>
      <c r="G144" s="44" t="s">
        <v>833</v>
      </c>
      <c r="H144" s="26" t="s">
        <v>57</v>
      </c>
      <c r="I144" s="44" t="s">
        <v>833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42">
        <v>46196</v>
      </c>
      <c r="O144" s="26" t="s">
        <v>55</v>
      </c>
      <c r="P144" s="44" t="s">
        <v>833</v>
      </c>
      <c r="Q144" s="26" t="s">
        <v>57</v>
      </c>
      <c r="R144" s="44" t="s">
        <v>833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833</v>
      </c>
      <c r="Z144" s="30" t="s">
        <v>57</v>
      </c>
      <c r="AA144" s="30" t="s">
        <v>833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 t="s">
        <v>61</v>
      </c>
      <c r="AG144" s="33" t="s">
        <v>55</v>
      </c>
      <c r="AH144" s="33" t="s">
        <v>833</v>
      </c>
      <c r="AI144" s="33" t="s">
        <v>57</v>
      </c>
      <c r="AJ144" s="33" t="s">
        <v>833</v>
      </c>
      <c r="AK144" s="33" t="s">
        <v>56</v>
      </c>
      <c r="AL144" s="27"/>
      <c r="AM144" s="34" t="s">
        <v>57</v>
      </c>
      <c r="AN144" s="35" t="str">
        <f t="shared" si="13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4882</v>
      </c>
      <c r="C145" s="25" t="s">
        <v>4883</v>
      </c>
      <c r="D145" s="23" t="s">
        <v>4603</v>
      </c>
      <c r="E145" s="42">
        <v>46128</v>
      </c>
      <c r="F145" s="26" t="s">
        <v>55</v>
      </c>
      <c r="G145" s="44" t="s">
        <v>833</v>
      </c>
      <c r="H145" s="26" t="s">
        <v>57</v>
      </c>
      <c r="I145" s="44" t="s">
        <v>833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42">
        <v>46196</v>
      </c>
      <c r="O145" s="26" t="s">
        <v>55</v>
      </c>
      <c r="P145" s="44" t="s">
        <v>833</v>
      </c>
      <c r="Q145" s="26" t="s">
        <v>57</v>
      </c>
      <c r="R145" s="44" t="s">
        <v>833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833</v>
      </c>
      <c r="Z145" s="30" t="s">
        <v>57</v>
      </c>
      <c r="AA145" s="30" t="s">
        <v>833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 t="s">
        <v>61</v>
      </c>
      <c r="AG145" s="33" t="s">
        <v>55</v>
      </c>
      <c r="AH145" s="33" t="s">
        <v>833</v>
      </c>
      <c r="AI145" s="33" t="s">
        <v>57</v>
      </c>
      <c r="AJ145" s="33" t="s">
        <v>833</v>
      </c>
      <c r="AK145" s="33" t="s">
        <v>56</v>
      </c>
      <c r="AL145" s="27"/>
      <c r="AM145" s="34" t="s">
        <v>57</v>
      </c>
      <c r="AN145" s="35" t="str">
        <f t="shared" si="13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4884</v>
      </c>
      <c r="C146" s="41" t="s">
        <v>4885</v>
      </c>
      <c r="D146" s="39" t="s">
        <v>4603</v>
      </c>
      <c r="E146" s="42">
        <v>46128</v>
      </c>
      <c r="F146" s="26" t="s">
        <v>55</v>
      </c>
      <c r="G146" s="44" t="s">
        <v>56</v>
      </c>
      <c r="H146" s="26" t="s">
        <v>57</v>
      </c>
      <c r="I146" s="44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42">
        <v>46196</v>
      </c>
      <c r="O146" s="26" t="s">
        <v>55</v>
      </c>
      <c r="P146" s="44" t="s">
        <v>56</v>
      </c>
      <c r="Q146" s="26" t="s">
        <v>57</v>
      </c>
      <c r="R146" s="44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 t="s">
        <v>61</v>
      </c>
      <c r="AG146" s="33" t="s">
        <v>55</v>
      </c>
      <c r="AH146" s="33" t="s">
        <v>56</v>
      </c>
      <c r="AI146" s="33" t="s">
        <v>57</v>
      </c>
      <c r="AJ146" s="33" t="s">
        <v>58</v>
      </c>
      <c r="AK146" s="33" t="s">
        <v>56</v>
      </c>
      <c r="AL146" s="27"/>
      <c r="AM146" s="34" t="s">
        <v>57</v>
      </c>
      <c r="AN146" s="35" t="str">
        <f t="shared" si="13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4886</v>
      </c>
      <c r="C147" s="25" t="s">
        <v>4887</v>
      </c>
      <c r="D147" s="23" t="s">
        <v>4603</v>
      </c>
      <c r="E147" s="42">
        <v>46128</v>
      </c>
      <c r="F147" s="26" t="s">
        <v>55</v>
      </c>
      <c r="G147" s="44" t="s">
        <v>833</v>
      </c>
      <c r="H147" s="26" t="s">
        <v>57</v>
      </c>
      <c r="I147" s="44" t="s">
        <v>833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42">
        <v>46196</v>
      </c>
      <c r="O147" s="26" t="s">
        <v>55</v>
      </c>
      <c r="P147" s="44" t="s">
        <v>833</v>
      </c>
      <c r="Q147" s="26" t="s">
        <v>57</v>
      </c>
      <c r="R147" s="44" t="s">
        <v>833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833</v>
      </c>
      <c r="Z147" s="30" t="s">
        <v>57</v>
      </c>
      <c r="AA147" s="30" t="s">
        <v>833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 t="s">
        <v>61</v>
      </c>
      <c r="AG147" s="33" t="s">
        <v>55</v>
      </c>
      <c r="AH147" s="33" t="s">
        <v>833</v>
      </c>
      <c r="AI147" s="33" t="s">
        <v>57</v>
      </c>
      <c r="AJ147" s="33" t="s">
        <v>833</v>
      </c>
      <c r="AK147" s="33" t="s">
        <v>56</v>
      </c>
      <c r="AL147" s="27"/>
      <c r="AM147" s="34" t="s">
        <v>57</v>
      </c>
      <c r="AN147" s="35" t="str">
        <f t="shared" si="13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4888</v>
      </c>
      <c r="C148" s="41" t="s">
        <v>4889</v>
      </c>
      <c r="D148" s="39" t="s">
        <v>4603</v>
      </c>
      <c r="E148" s="42">
        <v>46128</v>
      </c>
      <c r="F148" s="26" t="s">
        <v>55</v>
      </c>
      <c r="G148" s="44" t="s">
        <v>833</v>
      </c>
      <c r="H148" s="26" t="s">
        <v>57</v>
      </c>
      <c r="I148" s="44" t="s">
        <v>833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42">
        <v>46196</v>
      </c>
      <c r="O148" s="26" t="s">
        <v>55</v>
      </c>
      <c r="P148" s="44" t="s">
        <v>833</v>
      </c>
      <c r="Q148" s="26" t="s">
        <v>57</v>
      </c>
      <c r="R148" s="44" t="s">
        <v>833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833</v>
      </c>
      <c r="Z148" s="30" t="s">
        <v>57</v>
      </c>
      <c r="AA148" s="30" t="s">
        <v>833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 t="s">
        <v>61</v>
      </c>
      <c r="AG148" s="33" t="s">
        <v>55</v>
      </c>
      <c r="AH148" s="33" t="s">
        <v>833</v>
      </c>
      <c r="AI148" s="33" t="s">
        <v>57</v>
      </c>
      <c r="AJ148" s="33" t="s">
        <v>833</v>
      </c>
      <c r="AK148" s="33" t="s">
        <v>56</v>
      </c>
      <c r="AL148" s="27"/>
      <c r="AM148" s="34" t="s">
        <v>57</v>
      </c>
      <c r="AN148" s="35" t="str">
        <f t="shared" si="13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4890</v>
      </c>
      <c r="C149" s="25" t="s">
        <v>4891</v>
      </c>
      <c r="D149" s="23" t="s">
        <v>4603</v>
      </c>
      <c r="E149" s="42">
        <v>46128</v>
      </c>
      <c r="F149" s="26" t="s">
        <v>55</v>
      </c>
      <c r="G149" s="44" t="s">
        <v>833</v>
      </c>
      <c r="H149" s="26" t="s">
        <v>57</v>
      </c>
      <c r="I149" s="44" t="s">
        <v>833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42">
        <v>46196</v>
      </c>
      <c r="O149" s="26" t="s">
        <v>55</v>
      </c>
      <c r="P149" s="44" t="s">
        <v>833</v>
      </c>
      <c r="Q149" s="26" t="s">
        <v>57</v>
      </c>
      <c r="R149" s="44" t="s">
        <v>833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833</v>
      </c>
      <c r="Z149" s="30" t="s">
        <v>57</v>
      </c>
      <c r="AA149" s="30" t="s">
        <v>833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 t="s">
        <v>61</v>
      </c>
      <c r="AG149" s="33" t="s">
        <v>55</v>
      </c>
      <c r="AH149" s="33" t="s">
        <v>833</v>
      </c>
      <c r="AI149" s="33" t="s">
        <v>57</v>
      </c>
      <c r="AJ149" s="33" t="s">
        <v>833</v>
      </c>
      <c r="AK149" s="33" t="s">
        <v>56</v>
      </c>
      <c r="AL149" s="27"/>
      <c r="AM149" s="34" t="s">
        <v>57</v>
      </c>
      <c r="AN149" s="35" t="str">
        <f t="shared" si="13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4892</v>
      </c>
      <c r="C150" s="41" t="s">
        <v>4893</v>
      </c>
      <c r="D150" s="39" t="s">
        <v>4603</v>
      </c>
      <c r="E150" s="42">
        <v>46128</v>
      </c>
      <c r="F150" s="26" t="s">
        <v>55</v>
      </c>
      <c r="G150" s="44" t="s">
        <v>833</v>
      </c>
      <c r="H150" s="26" t="s">
        <v>57</v>
      </c>
      <c r="I150" s="44" t="s">
        <v>833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42">
        <v>46196</v>
      </c>
      <c r="O150" s="26" t="s">
        <v>55</v>
      </c>
      <c r="P150" s="44" t="s">
        <v>833</v>
      </c>
      <c r="Q150" s="26" t="s">
        <v>57</v>
      </c>
      <c r="R150" s="44" t="s">
        <v>833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833</v>
      </c>
      <c r="Z150" s="30" t="s">
        <v>57</v>
      </c>
      <c r="AA150" s="30" t="s">
        <v>833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 t="s">
        <v>61</v>
      </c>
      <c r="AG150" s="33" t="s">
        <v>55</v>
      </c>
      <c r="AH150" s="33" t="s">
        <v>833</v>
      </c>
      <c r="AI150" s="33" t="s">
        <v>57</v>
      </c>
      <c r="AJ150" s="33" t="s">
        <v>833</v>
      </c>
      <c r="AK150" s="33" t="s">
        <v>56</v>
      </c>
      <c r="AL150" s="27"/>
      <c r="AM150" s="34" t="s">
        <v>57</v>
      </c>
      <c r="AN150" s="35" t="str">
        <f t="shared" si="13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4894</v>
      </c>
      <c r="C151" s="25" t="s">
        <v>4895</v>
      </c>
      <c r="D151" s="23" t="s">
        <v>4603</v>
      </c>
      <c r="E151" s="42">
        <v>46128</v>
      </c>
      <c r="F151" s="26" t="s">
        <v>55</v>
      </c>
      <c r="G151" s="44" t="s">
        <v>833</v>
      </c>
      <c r="H151" s="26" t="s">
        <v>57</v>
      </c>
      <c r="I151" s="44" t="s">
        <v>833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42">
        <v>46196</v>
      </c>
      <c r="O151" s="26" t="s">
        <v>55</v>
      </c>
      <c r="P151" s="44" t="s">
        <v>833</v>
      </c>
      <c r="Q151" s="26" t="s">
        <v>57</v>
      </c>
      <c r="R151" s="44" t="s">
        <v>833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833</v>
      </c>
      <c r="Z151" s="30" t="s">
        <v>57</v>
      </c>
      <c r="AA151" s="30" t="s">
        <v>833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 t="s">
        <v>61</v>
      </c>
      <c r="AG151" s="33" t="s">
        <v>55</v>
      </c>
      <c r="AH151" s="33" t="s">
        <v>833</v>
      </c>
      <c r="AI151" s="33" t="s">
        <v>57</v>
      </c>
      <c r="AJ151" s="33" t="s">
        <v>833</v>
      </c>
      <c r="AK151" s="33" t="s">
        <v>56</v>
      </c>
      <c r="AL151" s="27"/>
      <c r="AM151" s="34" t="s">
        <v>57</v>
      </c>
      <c r="AN151" s="35" t="str">
        <f t="shared" si="13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4896</v>
      </c>
      <c r="C152" s="41" t="s">
        <v>4897</v>
      </c>
      <c r="D152" s="39" t="s">
        <v>4603</v>
      </c>
      <c r="E152" s="42">
        <v>46128</v>
      </c>
      <c r="F152" s="26" t="s">
        <v>55</v>
      </c>
      <c r="G152" s="44" t="s">
        <v>56</v>
      </c>
      <c r="H152" s="26" t="s">
        <v>57</v>
      </c>
      <c r="I152" s="44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42">
        <v>46196</v>
      </c>
      <c r="O152" s="26" t="s">
        <v>55</v>
      </c>
      <c r="P152" s="44" t="s">
        <v>56</v>
      </c>
      <c r="Q152" s="26" t="s">
        <v>57</v>
      </c>
      <c r="R152" s="44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 t="s">
        <v>61</v>
      </c>
      <c r="AG152" s="33" t="s">
        <v>55</v>
      </c>
      <c r="AH152" s="33" t="s">
        <v>56</v>
      </c>
      <c r="AI152" s="33" t="s">
        <v>57</v>
      </c>
      <c r="AJ152" s="33" t="s">
        <v>58</v>
      </c>
      <c r="AK152" s="33" t="s">
        <v>56</v>
      </c>
      <c r="AL152" s="27"/>
      <c r="AM152" s="34" t="s">
        <v>57</v>
      </c>
      <c r="AN152" s="35" t="str">
        <f t="shared" si="13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4898</v>
      </c>
      <c r="C153" s="25" t="s">
        <v>4899</v>
      </c>
      <c r="D153" s="23" t="s">
        <v>4603</v>
      </c>
      <c r="E153" s="42">
        <v>46128</v>
      </c>
      <c r="F153" s="26" t="s">
        <v>55</v>
      </c>
      <c r="G153" s="44" t="s">
        <v>833</v>
      </c>
      <c r="H153" s="26" t="s">
        <v>57</v>
      </c>
      <c r="I153" s="44" t="s">
        <v>833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42">
        <v>46196</v>
      </c>
      <c r="O153" s="26" t="s">
        <v>55</v>
      </c>
      <c r="P153" s="44" t="s">
        <v>833</v>
      </c>
      <c r="Q153" s="26" t="s">
        <v>57</v>
      </c>
      <c r="R153" s="44" t="s">
        <v>833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833</v>
      </c>
      <c r="Z153" s="30" t="s">
        <v>57</v>
      </c>
      <c r="AA153" s="30" t="s">
        <v>833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 t="s">
        <v>61</v>
      </c>
      <c r="AG153" s="33" t="s">
        <v>55</v>
      </c>
      <c r="AH153" s="33" t="s">
        <v>833</v>
      </c>
      <c r="AI153" s="33" t="s">
        <v>57</v>
      </c>
      <c r="AJ153" s="33" t="s">
        <v>833</v>
      </c>
      <c r="AK153" s="33" t="s">
        <v>56</v>
      </c>
      <c r="AL153" s="27"/>
      <c r="AM153" s="34" t="s">
        <v>57</v>
      </c>
      <c r="AN153" s="35" t="str">
        <f t="shared" si="13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4900</v>
      </c>
      <c r="C154" s="41" t="s">
        <v>4901</v>
      </c>
      <c r="D154" s="39" t="s">
        <v>4603</v>
      </c>
      <c r="E154" s="42">
        <v>46128</v>
      </c>
      <c r="F154" s="26" t="s">
        <v>55</v>
      </c>
      <c r="G154" s="44" t="s">
        <v>57</v>
      </c>
      <c r="H154" s="26" t="s">
        <v>57</v>
      </c>
      <c r="I154" s="44" t="s">
        <v>90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42">
        <v>46196</v>
      </c>
      <c r="O154" s="26" t="s">
        <v>55</v>
      </c>
      <c r="P154" s="44" t="s">
        <v>57</v>
      </c>
      <c r="Q154" s="26" t="s">
        <v>57</v>
      </c>
      <c r="R154" s="44" t="s">
        <v>90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70">
        <v>46248</v>
      </c>
      <c r="X154" s="30" t="s">
        <v>55</v>
      </c>
      <c r="Y154" s="30" t="s">
        <v>57</v>
      </c>
      <c r="Z154" s="30" t="s">
        <v>57</v>
      </c>
      <c r="AA154" s="30" t="s">
        <v>90</v>
      </c>
      <c r="AB154" s="30" t="s">
        <v>57</v>
      </c>
      <c r="AC154" s="27"/>
      <c r="AD154" s="31" t="s">
        <v>56</v>
      </c>
      <c r="AE154" s="32" t="str">
        <f t="shared" si="12"/>
        <v>⚠ Missing</v>
      </c>
      <c r="AF154" s="33" t="s">
        <v>61</v>
      </c>
      <c r="AG154" s="33" t="s">
        <v>62</v>
      </c>
      <c r="AH154" s="33" t="s">
        <v>57</v>
      </c>
      <c r="AI154" s="33" t="s">
        <v>56</v>
      </c>
      <c r="AJ154" s="33" t="s">
        <v>60</v>
      </c>
      <c r="AK154" s="33" t="s">
        <v>57</v>
      </c>
      <c r="AL154" s="27"/>
      <c r="AM154" s="34" t="s">
        <v>57</v>
      </c>
      <c r="AN154" s="35" t="str">
        <f t="shared" si="13"/>
        <v>❌ Disc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4902</v>
      </c>
      <c r="C155" s="25" t="s">
        <v>4903</v>
      </c>
      <c r="D155" s="23" t="s">
        <v>4603</v>
      </c>
      <c r="E155" s="42">
        <v>46128</v>
      </c>
      <c r="F155" s="26" t="s">
        <v>55</v>
      </c>
      <c r="G155" s="44" t="s">
        <v>57</v>
      </c>
      <c r="H155" s="26" t="s">
        <v>57</v>
      </c>
      <c r="I155" s="44" t="s">
        <v>90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42">
        <v>46196</v>
      </c>
      <c r="O155" s="26" t="s">
        <v>55</v>
      </c>
      <c r="P155" s="44" t="s">
        <v>57</v>
      </c>
      <c r="Q155" s="26" t="s">
        <v>57</v>
      </c>
      <c r="R155" s="44" t="s">
        <v>90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70">
        <v>46248</v>
      </c>
      <c r="X155" s="30" t="s">
        <v>55</v>
      </c>
      <c r="Y155" s="30" t="s">
        <v>57</v>
      </c>
      <c r="Z155" s="30" t="s">
        <v>57</v>
      </c>
      <c r="AA155" s="30" t="s">
        <v>90</v>
      </c>
      <c r="AB155" s="30" t="s">
        <v>57</v>
      </c>
      <c r="AC155" s="27"/>
      <c r="AD155" s="31" t="s">
        <v>56</v>
      </c>
      <c r="AE155" s="32" t="str">
        <f t="shared" si="12"/>
        <v>⚠ Missing</v>
      </c>
      <c r="AF155" s="33" t="s">
        <v>61</v>
      </c>
      <c r="AG155" s="33" t="s">
        <v>62</v>
      </c>
      <c r="AH155" s="33" t="s">
        <v>57</v>
      </c>
      <c r="AI155" s="33" t="s">
        <v>56</v>
      </c>
      <c r="AJ155" s="33" t="s">
        <v>60</v>
      </c>
      <c r="AK155" s="33" t="s">
        <v>57</v>
      </c>
      <c r="AL155" s="27"/>
      <c r="AM155" s="34" t="s">
        <v>57</v>
      </c>
      <c r="AN155" s="35" t="str">
        <f t="shared" si="13"/>
        <v>❌ Disc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4904</v>
      </c>
      <c r="C156" s="41" t="s">
        <v>4905</v>
      </c>
      <c r="D156" s="39" t="s">
        <v>4603</v>
      </c>
      <c r="E156" s="42">
        <v>46128</v>
      </c>
      <c r="F156" s="26" t="s">
        <v>55</v>
      </c>
      <c r="G156" s="44" t="s">
        <v>57</v>
      </c>
      <c r="H156" s="26" t="s">
        <v>57</v>
      </c>
      <c r="I156" s="44" t="s">
        <v>90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42">
        <v>46196</v>
      </c>
      <c r="O156" s="26" t="s">
        <v>55</v>
      </c>
      <c r="P156" s="44" t="s">
        <v>57</v>
      </c>
      <c r="Q156" s="26" t="s">
        <v>57</v>
      </c>
      <c r="R156" s="44" t="s">
        <v>90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70">
        <v>46248</v>
      </c>
      <c r="X156" s="30" t="s">
        <v>55</v>
      </c>
      <c r="Y156" s="30" t="s">
        <v>57</v>
      </c>
      <c r="Z156" s="30" t="s">
        <v>57</v>
      </c>
      <c r="AA156" s="30" t="s">
        <v>90</v>
      </c>
      <c r="AB156" s="30" t="s">
        <v>57</v>
      </c>
      <c r="AC156" s="27"/>
      <c r="AD156" s="31" t="s">
        <v>56</v>
      </c>
      <c r="AE156" s="32" t="str">
        <f t="shared" si="12"/>
        <v>⚠ Missing</v>
      </c>
      <c r="AF156" s="33" t="s">
        <v>61</v>
      </c>
      <c r="AG156" s="33" t="s">
        <v>62</v>
      </c>
      <c r="AH156" s="33" t="s">
        <v>57</v>
      </c>
      <c r="AI156" s="33" t="s">
        <v>56</v>
      </c>
      <c r="AJ156" s="33" t="s">
        <v>60</v>
      </c>
      <c r="AK156" s="33" t="s">
        <v>57</v>
      </c>
      <c r="AL156" s="27"/>
      <c r="AM156" s="34" t="s">
        <v>57</v>
      </c>
      <c r="AN156" s="35" t="str">
        <f t="shared" si="13"/>
        <v>❌ Disc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4906</v>
      </c>
      <c r="C157" s="25" t="s">
        <v>4907</v>
      </c>
      <c r="D157" s="23" t="s">
        <v>4603</v>
      </c>
      <c r="E157" s="42">
        <v>46128</v>
      </c>
      <c r="F157" s="26" t="s">
        <v>55</v>
      </c>
      <c r="G157" s="44" t="s">
        <v>57</v>
      </c>
      <c r="H157" s="26" t="s">
        <v>57</v>
      </c>
      <c r="I157" s="44" t="s">
        <v>90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42">
        <v>46196</v>
      </c>
      <c r="O157" s="26" t="s">
        <v>55</v>
      </c>
      <c r="P157" s="44" t="s">
        <v>57</v>
      </c>
      <c r="Q157" s="26" t="s">
        <v>57</v>
      </c>
      <c r="R157" s="44" t="s">
        <v>90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70">
        <v>46248</v>
      </c>
      <c r="X157" s="30" t="s">
        <v>55</v>
      </c>
      <c r="Y157" s="30" t="s">
        <v>57</v>
      </c>
      <c r="Z157" s="30" t="s">
        <v>57</v>
      </c>
      <c r="AA157" s="30" t="s">
        <v>90</v>
      </c>
      <c r="AB157" s="30" t="s">
        <v>57</v>
      </c>
      <c r="AC157" s="27"/>
      <c r="AD157" s="31" t="s">
        <v>56</v>
      </c>
      <c r="AE157" s="32" t="str">
        <f t="shared" si="12"/>
        <v>⚠ Missing</v>
      </c>
      <c r="AF157" s="33" t="s">
        <v>61</v>
      </c>
      <c r="AG157" s="33" t="s">
        <v>62</v>
      </c>
      <c r="AH157" s="33" t="s">
        <v>57</v>
      </c>
      <c r="AI157" s="33" t="s">
        <v>56</v>
      </c>
      <c r="AJ157" s="33" t="s">
        <v>60</v>
      </c>
      <c r="AK157" s="33" t="s">
        <v>57</v>
      </c>
      <c r="AL157" s="27"/>
      <c r="AM157" s="34" t="s">
        <v>57</v>
      </c>
      <c r="AN157" s="35" t="str">
        <f t="shared" si="13"/>
        <v>❌ Disc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4908</v>
      </c>
      <c r="C158" s="41" t="s">
        <v>4909</v>
      </c>
      <c r="D158" s="39" t="s">
        <v>4603</v>
      </c>
      <c r="E158" s="42">
        <v>46128</v>
      </c>
      <c r="F158" s="26" t="s">
        <v>55</v>
      </c>
      <c r="G158" s="44" t="s">
        <v>57</v>
      </c>
      <c r="H158" s="26" t="s">
        <v>57</v>
      </c>
      <c r="I158" s="44" t="s">
        <v>90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42">
        <v>46196</v>
      </c>
      <c r="O158" s="26" t="s">
        <v>55</v>
      </c>
      <c r="P158" s="44" t="s">
        <v>57</v>
      </c>
      <c r="Q158" s="26" t="s">
        <v>57</v>
      </c>
      <c r="R158" s="44" t="s">
        <v>90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70">
        <v>46248</v>
      </c>
      <c r="X158" s="30" t="s">
        <v>55</v>
      </c>
      <c r="Y158" s="30" t="s">
        <v>57</v>
      </c>
      <c r="Z158" s="30" t="s">
        <v>57</v>
      </c>
      <c r="AA158" s="30" t="s">
        <v>90</v>
      </c>
      <c r="AB158" s="30" t="s">
        <v>57</v>
      </c>
      <c r="AC158" s="27"/>
      <c r="AD158" s="31" t="s">
        <v>56</v>
      </c>
      <c r="AE158" s="32" t="str">
        <f t="shared" si="12"/>
        <v>⚠ Missing</v>
      </c>
      <c r="AF158" s="33" t="s">
        <v>61</v>
      </c>
      <c r="AG158" s="33" t="s">
        <v>62</v>
      </c>
      <c r="AH158" s="33" t="s">
        <v>57</v>
      </c>
      <c r="AI158" s="33" t="s">
        <v>56</v>
      </c>
      <c r="AJ158" s="33" t="s">
        <v>60</v>
      </c>
      <c r="AK158" s="33" t="s">
        <v>57</v>
      </c>
      <c r="AL158" s="27"/>
      <c r="AM158" s="34" t="s">
        <v>57</v>
      </c>
      <c r="AN158" s="35" t="str">
        <f t="shared" si="13"/>
        <v>❌ Disc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4910</v>
      </c>
      <c r="C159" s="25" t="s">
        <v>4911</v>
      </c>
      <c r="D159" s="23" t="s">
        <v>4603</v>
      </c>
      <c r="E159" s="42">
        <v>46128</v>
      </c>
      <c r="F159" s="26" t="s">
        <v>55</v>
      </c>
      <c r="G159" s="44" t="s">
        <v>57</v>
      </c>
      <c r="H159" s="26" t="s">
        <v>57</v>
      </c>
      <c r="I159" s="44" t="s">
        <v>90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42">
        <v>46196</v>
      </c>
      <c r="O159" s="26" t="s">
        <v>55</v>
      </c>
      <c r="P159" s="44" t="s">
        <v>57</v>
      </c>
      <c r="Q159" s="26" t="s">
        <v>57</v>
      </c>
      <c r="R159" s="44" t="s">
        <v>90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70">
        <v>46248</v>
      </c>
      <c r="X159" s="30" t="s">
        <v>55</v>
      </c>
      <c r="Y159" s="30" t="s">
        <v>57</v>
      </c>
      <c r="Z159" s="30" t="s">
        <v>57</v>
      </c>
      <c r="AA159" s="30" t="s">
        <v>90</v>
      </c>
      <c r="AB159" s="30" t="s">
        <v>57</v>
      </c>
      <c r="AC159" s="27"/>
      <c r="AD159" s="31" t="s">
        <v>56</v>
      </c>
      <c r="AE159" s="32" t="str">
        <f t="shared" si="12"/>
        <v>⚠ Missing</v>
      </c>
      <c r="AF159" s="33" t="s">
        <v>61</v>
      </c>
      <c r="AG159" s="33" t="s">
        <v>62</v>
      </c>
      <c r="AH159" s="33" t="s">
        <v>57</v>
      </c>
      <c r="AI159" s="33" t="s">
        <v>56</v>
      </c>
      <c r="AJ159" s="33" t="s">
        <v>60</v>
      </c>
      <c r="AK159" s="33" t="s">
        <v>57</v>
      </c>
      <c r="AL159" s="27"/>
      <c r="AM159" s="34" t="s">
        <v>57</v>
      </c>
      <c r="AN159" s="35" t="str">
        <f t="shared" si="13"/>
        <v>❌ Disc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4912</v>
      </c>
      <c r="C160" s="41" t="s">
        <v>4913</v>
      </c>
      <c r="D160" s="39" t="s">
        <v>4603</v>
      </c>
      <c r="E160" s="42">
        <v>46128</v>
      </c>
      <c r="F160" s="26" t="s">
        <v>55</v>
      </c>
      <c r="G160" s="44" t="s">
        <v>833</v>
      </c>
      <c r="H160" s="26" t="s">
        <v>57</v>
      </c>
      <c r="I160" s="44" t="s">
        <v>833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42">
        <v>46196</v>
      </c>
      <c r="O160" s="26" t="s">
        <v>55</v>
      </c>
      <c r="P160" s="44" t="s">
        <v>833</v>
      </c>
      <c r="Q160" s="26" t="s">
        <v>57</v>
      </c>
      <c r="R160" s="44" t="s">
        <v>833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833</v>
      </c>
      <c r="Z160" s="30" t="s">
        <v>57</v>
      </c>
      <c r="AA160" s="30" t="s">
        <v>833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 t="s">
        <v>61</v>
      </c>
      <c r="AG160" s="33" t="s">
        <v>55</v>
      </c>
      <c r="AH160" s="33" t="s">
        <v>833</v>
      </c>
      <c r="AI160" s="33" t="s">
        <v>57</v>
      </c>
      <c r="AJ160" s="33" t="s">
        <v>833</v>
      </c>
      <c r="AK160" s="33" t="s">
        <v>56</v>
      </c>
      <c r="AL160" s="27"/>
      <c r="AM160" s="34" t="s">
        <v>57</v>
      </c>
      <c r="AN160" s="35" t="str">
        <f t="shared" si="13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4914</v>
      </c>
      <c r="C161" s="25" t="s">
        <v>4915</v>
      </c>
      <c r="D161" s="23" t="s">
        <v>4603</v>
      </c>
      <c r="E161" s="42">
        <v>46128</v>
      </c>
      <c r="F161" s="26" t="s">
        <v>55</v>
      </c>
      <c r="G161" s="44" t="s">
        <v>833</v>
      </c>
      <c r="H161" s="26" t="s">
        <v>57</v>
      </c>
      <c r="I161" s="44" t="s">
        <v>833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42">
        <v>46196</v>
      </c>
      <c r="O161" s="26" t="s">
        <v>55</v>
      </c>
      <c r="P161" s="44" t="s">
        <v>833</v>
      </c>
      <c r="Q161" s="26" t="s">
        <v>57</v>
      </c>
      <c r="R161" s="44" t="s">
        <v>833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833</v>
      </c>
      <c r="Z161" s="30" t="s">
        <v>57</v>
      </c>
      <c r="AA161" s="30" t="s">
        <v>833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 t="s">
        <v>61</v>
      </c>
      <c r="AG161" s="33" t="s">
        <v>55</v>
      </c>
      <c r="AH161" s="33" t="s">
        <v>833</v>
      </c>
      <c r="AI161" s="33" t="s">
        <v>57</v>
      </c>
      <c r="AJ161" s="33" t="s">
        <v>833</v>
      </c>
      <c r="AK161" s="33" t="s">
        <v>56</v>
      </c>
      <c r="AL161" s="27"/>
      <c r="AM161" s="34" t="s">
        <v>57</v>
      </c>
      <c r="AN161" s="35" t="str">
        <f t="shared" si="13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4916</v>
      </c>
      <c r="C162" s="41" t="s">
        <v>4917</v>
      </c>
      <c r="D162" s="39" t="s">
        <v>4603</v>
      </c>
      <c r="E162" s="42">
        <v>46128</v>
      </c>
      <c r="F162" s="26" t="s">
        <v>55</v>
      </c>
      <c r="G162" s="44" t="s">
        <v>833</v>
      </c>
      <c r="H162" s="26" t="s">
        <v>57</v>
      </c>
      <c r="I162" s="44" t="s">
        <v>833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42">
        <v>46196</v>
      </c>
      <c r="O162" s="26" t="s">
        <v>55</v>
      </c>
      <c r="P162" s="44" t="s">
        <v>833</v>
      </c>
      <c r="Q162" s="26" t="s">
        <v>57</v>
      </c>
      <c r="R162" s="44" t="s">
        <v>833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833</v>
      </c>
      <c r="Z162" s="30" t="s">
        <v>57</v>
      </c>
      <c r="AA162" s="30" t="s">
        <v>833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 t="s">
        <v>61</v>
      </c>
      <c r="AG162" s="33" t="s">
        <v>55</v>
      </c>
      <c r="AH162" s="33" t="s">
        <v>833</v>
      </c>
      <c r="AI162" s="33" t="s">
        <v>57</v>
      </c>
      <c r="AJ162" s="33" t="s">
        <v>833</v>
      </c>
      <c r="AK162" s="33" t="s">
        <v>56</v>
      </c>
      <c r="AL162" s="27"/>
      <c r="AM162" s="34" t="s">
        <v>57</v>
      </c>
      <c r="AN162" s="35" t="str">
        <f t="shared" si="13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4918</v>
      </c>
      <c r="C163" s="25" t="s">
        <v>4919</v>
      </c>
      <c r="D163" s="23" t="s">
        <v>4603</v>
      </c>
      <c r="E163" s="42">
        <v>46128</v>
      </c>
      <c r="F163" s="26" t="s">
        <v>55</v>
      </c>
      <c r="G163" s="44" t="s">
        <v>56</v>
      </c>
      <c r="H163" s="26" t="s">
        <v>57</v>
      </c>
      <c r="I163" s="44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42">
        <v>46196</v>
      </c>
      <c r="O163" s="26" t="s">
        <v>55</v>
      </c>
      <c r="P163" s="44" t="s">
        <v>56</v>
      </c>
      <c r="Q163" s="26" t="s">
        <v>57</v>
      </c>
      <c r="R163" s="44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 t="s">
        <v>61</v>
      </c>
      <c r="AG163" s="33" t="s">
        <v>55</v>
      </c>
      <c r="AH163" s="33" t="s">
        <v>56</v>
      </c>
      <c r="AI163" s="33" t="s">
        <v>57</v>
      </c>
      <c r="AJ163" s="33" t="s">
        <v>58</v>
      </c>
      <c r="AK163" s="33" t="s">
        <v>56</v>
      </c>
      <c r="AL163" s="27"/>
      <c r="AM163" s="34" t="s">
        <v>57</v>
      </c>
      <c r="AN163" s="35" t="str">
        <f t="shared" si="13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4920</v>
      </c>
      <c r="C164" s="41" t="s">
        <v>4921</v>
      </c>
      <c r="D164" s="39" t="s">
        <v>4603</v>
      </c>
      <c r="E164" s="42">
        <v>46128</v>
      </c>
      <c r="F164" s="26" t="s">
        <v>55</v>
      </c>
      <c r="G164" s="44" t="s">
        <v>833</v>
      </c>
      <c r="H164" s="26" t="s">
        <v>57</v>
      </c>
      <c r="I164" s="44" t="s">
        <v>833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42">
        <v>46196</v>
      </c>
      <c r="O164" s="26" t="s">
        <v>55</v>
      </c>
      <c r="P164" s="44" t="s">
        <v>833</v>
      </c>
      <c r="Q164" s="26" t="s">
        <v>57</v>
      </c>
      <c r="R164" s="44" t="s">
        <v>833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833</v>
      </c>
      <c r="Z164" s="30" t="s">
        <v>57</v>
      </c>
      <c r="AA164" s="30" t="s">
        <v>833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 t="s">
        <v>61</v>
      </c>
      <c r="AG164" s="33" t="s">
        <v>55</v>
      </c>
      <c r="AH164" s="33" t="s">
        <v>833</v>
      </c>
      <c r="AI164" s="33" t="s">
        <v>57</v>
      </c>
      <c r="AJ164" s="33" t="s">
        <v>833</v>
      </c>
      <c r="AK164" s="33" t="s">
        <v>56</v>
      </c>
      <c r="AL164" s="27"/>
      <c r="AM164" s="34" t="s">
        <v>57</v>
      </c>
      <c r="AN164" s="35" t="str">
        <f t="shared" si="13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4922</v>
      </c>
      <c r="C165" s="25" t="s">
        <v>4923</v>
      </c>
      <c r="D165" s="23" t="s">
        <v>4603</v>
      </c>
      <c r="E165" s="42">
        <v>46128</v>
      </c>
      <c r="F165" s="26" t="s">
        <v>55</v>
      </c>
      <c r="G165" s="44" t="s">
        <v>833</v>
      </c>
      <c r="H165" s="26" t="s">
        <v>57</v>
      </c>
      <c r="I165" s="44" t="s">
        <v>833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42">
        <v>46196</v>
      </c>
      <c r="O165" s="26" t="s">
        <v>55</v>
      </c>
      <c r="P165" s="44" t="s">
        <v>833</v>
      </c>
      <c r="Q165" s="26" t="s">
        <v>57</v>
      </c>
      <c r="R165" s="44" t="s">
        <v>833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833</v>
      </c>
      <c r="Z165" s="30" t="s">
        <v>57</v>
      </c>
      <c r="AA165" s="30" t="s">
        <v>833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 t="s">
        <v>61</v>
      </c>
      <c r="AG165" s="33" t="s">
        <v>55</v>
      </c>
      <c r="AH165" s="33" t="s">
        <v>833</v>
      </c>
      <c r="AI165" s="33" t="s">
        <v>57</v>
      </c>
      <c r="AJ165" s="33" t="s">
        <v>833</v>
      </c>
      <c r="AK165" s="33" t="s">
        <v>56</v>
      </c>
      <c r="AL165" s="27"/>
      <c r="AM165" s="34" t="s">
        <v>57</v>
      </c>
      <c r="AN165" s="35" t="str">
        <f t="shared" si="13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4924</v>
      </c>
      <c r="C166" s="41" t="s">
        <v>4925</v>
      </c>
      <c r="D166" s="39" t="s">
        <v>4603</v>
      </c>
      <c r="E166" s="42">
        <v>46128</v>
      </c>
      <c r="F166" s="26" t="s">
        <v>55</v>
      </c>
      <c r="G166" s="44" t="s">
        <v>833</v>
      </c>
      <c r="H166" s="26" t="s">
        <v>57</v>
      </c>
      <c r="I166" s="44" t="s">
        <v>833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42">
        <v>46196</v>
      </c>
      <c r="O166" s="26" t="s">
        <v>55</v>
      </c>
      <c r="P166" s="44" t="s">
        <v>833</v>
      </c>
      <c r="Q166" s="26" t="s">
        <v>57</v>
      </c>
      <c r="R166" s="44" t="s">
        <v>833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833</v>
      </c>
      <c r="Z166" s="30" t="s">
        <v>57</v>
      </c>
      <c r="AA166" s="30" t="s">
        <v>833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 t="s">
        <v>61</v>
      </c>
      <c r="AG166" s="33" t="s">
        <v>55</v>
      </c>
      <c r="AH166" s="33" t="s">
        <v>833</v>
      </c>
      <c r="AI166" s="33" t="s">
        <v>57</v>
      </c>
      <c r="AJ166" s="33" t="s">
        <v>833</v>
      </c>
      <c r="AK166" s="33" t="s">
        <v>56</v>
      </c>
      <c r="AL166" s="27"/>
      <c r="AM166" s="34" t="s">
        <v>57</v>
      </c>
      <c r="AN166" s="35" t="str">
        <f t="shared" si="13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4926</v>
      </c>
      <c r="C167" s="25" t="s">
        <v>4927</v>
      </c>
      <c r="D167" s="23" t="s">
        <v>4603</v>
      </c>
      <c r="E167" s="42">
        <v>46128</v>
      </c>
      <c r="F167" s="26" t="s">
        <v>55</v>
      </c>
      <c r="G167" s="44" t="s">
        <v>833</v>
      </c>
      <c r="H167" s="26" t="s">
        <v>57</v>
      </c>
      <c r="I167" s="44" t="s">
        <v>833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42">
        <v>46196</v>
      </c>
      <c r="O167" s="26" t="s">
        <v>55</v>
      </c>
      <c r="P167" s="44" t="s">
        <v>833</v>
      </c>
      <c r="Q167" s="26" t="s">
        <v>57</v>
      </c>
      <c r="R167" s="44" t="s">
        <v>833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833</v>
      </c>
      <c r="Z167" s="30" t="s">
        <v>57</v>
      </c>
      <c r="AA167" s="30" t="s">
        <v>833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 t="s">
        <v>61</v>
      </c>
      <c r="AG167" s="33" t="s">
        <v>55</v>
      </c>
      <c r="AH167" s="33" t="s">
        <v>833</v>
      </c>
      <c r="AI167" s="33" t="s">
        <v>57</v>
      </c>
      <c r="AJ167" s="33" t="s">
        <v>833</v>
      </c>
      <c r="AK167" s="33" t="s">
        <v>56</v>
      </c>
      <c r="AL167" s="27"/>
      <c r="AM167" s="34" t="s">
        <v>57</v>
      </c>
      <c r="AN167" s="35" t="str">
        <f t="shared" si="13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4928</v>
      </c>
      <c r="C168" s="41" t="s">
        <v>4929</v>
      </c>
      <c r="D168" s="39" t="s">
        <v>4603</v>
      </c>
      <c r="E168" s="42">
        <v>46128</v>
      </c>
      <c r="F168" s="26" t="s">
        <v>55</v>
      </c>
      <c r="G168" s="44" t="s">
        <v>56</v>
      </c>
      <c r="H168" s="26" t="s">
        <v>57</v>
      </c>
      <c r="I168" s="44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42">
        <v>46196</v>
      </c>
      <c r="O168" s="26" t="s">
        <v>55</v>
      </c>
      <c r="P168" s="44" t="s">
        <v>56</v>
      </c>
      <c r="Q168" s="26" t="s">
        <v>57</v>
      </c>
      <c r="R168" s="44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 t="s">
        <v>61</v>
      </c>
      <c r="AG168" s="33" t="s">
        <v>55</v>
      </c>
      <c r="AH168" s="33" t="s">
        <v>56</v>
      </c>
      <c r="AI168" s="33" t="s">
        <v>57</v>
      </c>
      <c r="AJ168" s="33" t="s">
        <v>58</v>
      </c>
      <c r="AK168" s="33" t="s">
        <v>56</v>
      </c>
      <c r="AL168" s="27"/>
      <c r="AM168" s="34" t="s">
        <v>57</v>
      </c>
      <c r="AN168" s="35" t="str">
        <f t="shared" si="13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4930</v>
      </c>
      <c r="C169" s="25" t="s">
        <v>4931</v>
      </c>
      <c r="D169" s="23" t="s">
        <v>4603</v>
      </c>
      <c r="E169" s="42">
        <v>46128</v>
      </c>
      <c r="F169" s="26" t="s">
        <v>55</v>
      </c>
      <c r="G169" s="44" t="s">
        <v>833</v>
      </c>
      <c r="H169" s="26" t="s">
        <v>57</v>
      </c>
      <c r="I169" s="44" t="s">
        <v>833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42">
        <v>46196</v>
      </c>
      <c r="O169" s="26" t="s">
        <v>55</v>
      </c>
      <c r="P169" s="44" t="s">
        <v>833</v>
      </c>
      <c r="Q169" s="26" t="s">
        <v>57</v>
      </c>
      <c r="R169" s="44" t="s">
        <v>833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833</v>
      </c>
      <c r="Z169" s="30" t="s">
        <v>57</v>
      </c>
      <c r="AA169" s="30" t="s">
        <v>833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 t="s">
        <v>61</v>
      </c>
      <c r="AG169" s="33" t="s">
        <v>55</v>
      </c>
      <c r="AH169" s="33" t="s">
        <v>833</v>
      </c>
      <c r="AI169" s="33" t="s">
        <v>57</v>
      </c>
      <c r="AJ169" s="33" t="s">
        <v>833</v>
      </c>
      <c r="AK169" s="33" t="s">
        <v>56</v>
      </c>
      <c r="AL169" s="27"/>
      <c r="AM169" s="34" t="s">
        <v>57</v>
      </c>
      <c r="AN169" s="35" t="str">
        <f t="shared" si="13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4932</v>
      </c>
      <c r="C170" s="41" t="s">
        <v>4933</v>
      </c>
      <c r="D170" s="39" t="s">
        <v>4603</v>
      </c>
      <c r="E170" s="42">
        <v>46128</v>
      </c>
      <c r="F170" s="26" t="s">
        <v>55</v>
      </c>
      <c r="G170" s="44" t="s">
        <v>833</v>
      </c>
      <c r="H170" s="26" t="s">
        <v>57</v>
      </c>
      <c r="I170" s="44" t="s">
        <v>833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42">
        <v>46196</v>
      </c>
      <c r="O170" s="26" t="s">
        <v>55</v>
      </c>
      <c r="P170" s="44" t="s">
        <v>833</v>
      </c>
      <c r="Q170" s="26" t="s">
        <v>57</v>
      </c>
      <c r="R170" s="44" t="s">
        <v>833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833</v>
      </c>
      <c r="Z170" s="30" t="s">
        <v>57</v>
      </c>
      <c r="AA170" s="30" t="s">
        <v>833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 t="s">
        <v>61</v>
      </c>
      <c r="AG170" s="33" t="s">
        <v>55</v>
      </c>
      <c r="AH170" s="33" t="s">
        <v>833</v>
      </c>
      <c r="AI170" s="33" t="s">
        <v>57</v>
      </c>
      <c r="AJ170" s="33" t="s">
        <v>833</v>
      </c>
      <c r="AK170" s="33" t="s">
        <v>56</v>
      </c>
      <c r="AL170" s="27"/>
      <c r="AM170" s="34" t="s">
        <v>57</v>
      </c>
      <c r="AN170" s="35" t="str">
        <f t="shared" si="13"/>
        <v>✓ OK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4934</v>
      </c>
      <c r="C171" s="25" t="s">
        <v>4935</v>
      </c>
      <c r="D171" s="23" t="s">
        <v>4603</v>
      </c>
      <c r="E171" s="42">
        <v>46128</v>
      </c>
      <c r="F171" s="26" t="s">
        <v>55</v>
      </c>
      <c r="G171" s="44" t="s">
        <v>833</v>
      </c>
      <c r="H171" s="26" t="s">
        <v>57</v>
      </c>
      <c r="I171" s="44" t="s">
        <v>833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42">
        <v>46196</v>
      </c>
      <c r="O171" s="26" t="s">
        <v>55</v>
      </c>
      <c r="P171" s="44" t="s">
        <v>833</v>
      </c>
      <c r="Q171" s="26" t="s">
        <v>57</v>
      </c>
      <c r="R171" s="44" t="s">
        <v>833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833</v>
      </c>
      <c r="Z171" s="30" t="s">
        <v>57</v>
      </c>
      <c r="AA171" s="30" t="s">
        <v>833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 t="s">
        <v>61</v>
      </c>
      <c r="AG171" s="33" t="s">
        <v>55</v>
      </c>
      <c r="AH171" s="33" t="s">
        <v>833</v>
      </c>
      <c r="AI171" s="33" t="s">
        <v>57</v>
      </c>
      <c r="AJ171" s="33" t="s">
        <v>833</v>
      </c>
      <c r="AK171" s="33" t="s">
        <v>56</v>
      </c>
      <c r="AL171" s="27"/>
      <c r="AM171" s="34" t="s">
        <v>57</v>
      </c>
      <c r="AN171" s="35" t="str">
        <f t="shared" si="13"/>
        <v>✓ OK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4936</v>
      </c>
      <c r="C172" s="41" t="s">
        <v>4937</v>
      </c>
      <c r="D172" s="39" t="s">
        <v>4603</v>
      </c>
      <c r="E172" s="42">
        <v>46128</v>
      </c>
      <c r="F172" s="26" t="s">
        <v>55</v>
      </c>
      <c r="G172" s="44" t="s">
        <v>833</v>
      </c>
      <c r="H172" s="26" t="s">
        <v>57</v>
      </c>
      <c r="I172" s="44" t="s">
        <v>833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42">
        <v>46196</v>
      </c>
      <c r="O172" s="26" t="s">
        <v>55</v>
      </c>
      <c r="P172" s="44" t="s">
        <v>833</v>
      </c>
      <c r="Q172" s="26" t="s">
        <v>57</v>
      </c>
      <c r="R172" s="44" t="s">
        <v>833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833</v>
      </c>
      <c r="Z172" s="30" t="s">
        <v>57</v>
      </c>
      <c r="AA172" s="30" t="s">
        <v>833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 t="s">
        <v>61</v>
      </c>
      <c r="AG172" s="33" t="s">
        <v>55</v>
      </c>
      <c r="AH172" s="33" t="s">
        <v>833</v>
      </c>
      <c r="AI172" s="33" t="s">
        <v>57</v>
      </c>
      <c r="AJ172" s="33" t="s">
        <v>833</v>
      </c>
      <c r="AK172" s="33" t="s">
        <v>56</v>
      </c>
      <c r="AL172" s="27"/>
      <c r="AM172" s="34" t="s">
        <v>57</v>
      </c>
      <c r="AN172" s="35" t="str">
        <f t="shared" si="13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4938</v>
      </c>
      <c r="C173" s="25" t="s">
        <v>4939</v>
      </c>
      <c r="D173" s="23" t="s">
        <v>4603</v>
      </c>
      <c r="E173" s="42">
        <v>46128</v>
      </c>
      <c r="F173" s="26" t="s">
        <v>55</v>
      </c>
      <c r="G173" s="44" t="s">
        <v>833</v>
      </c>
      <c r="H173" s="26" t="s">
        <v>57</v>
      </c>
      <c r="I173" s="44" t="s">
        <v>833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42">
        <v>46196</v>
      </c>
      <c r="O173" s="26" t="s">
        <v>55</v>
      </c>
      <c r="P173" s="44" t="s">
        <v>833</v>
      </c>
      <c r="Q173" s="26" t="s">
        <v>57</v>
      </c>
      <c r="R173" s="44" t="s">
        <v>833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833</v>
      </c>
      <c r="Z173" s="30" t="s">
        <v>57</v>
      </c>
      <c r="AA173" s="30" t="s">
        <v>833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 t="s">
        <v>61</v>
      </c>
      <c r="AG173" s="33" t="s">
        <v>55</v>
      </c>
      <c r="AH173" s="33" t="s">
        <v>833</v>
      </c>
      <c r="AI173" s="33" t="s">
        <v>57</v>
      </c>
      <c r="AJ173" s="33" t="s">
        <v>833</v>
      </c>
      <c r="AK173" s="33" t="s">
        <v>56</v>
      </c>
      <c r="AL173" s="27"/>
      <c r="AM173" s="34" t="s">
        <v>57</v>
      </c>
      <c r="AN173" s="35" t="str">
        <f t="shared" si="13"/>
        <v>✓ OK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4940</v>
      </c>
      <c r="C174" s="41" t="s">
        <v>4941</v>
      </c>
      <c r="D174" s="39" t="s">
        <v>4603</v>
      </c>
      <c r="E174" s="42">
        <v>46128</v>
      </c>
      <c r="F174" s="26" t="s">
        <v>55</v>
      </c>
      <c r="G174" s="44" t="s">
        <v>833</v>
      </c>
      <c r="H174" s="26" t="s">
        <v>57</v>
      </c>
      <c r="I174" s="44" t="s">
        <v>833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42">
        <v>46196</v>
      </c>
      <c r="O174" s="26" t="s">
        <v>55</v>
      </c>
      <c r="P174" s="44" t="s">
        <v>833</v>
      </c>
      <c r="Q174" s="26" t="s">
        <v>57</v>
      </c>
      <c r="R174" s="44" t="s">
        <v>833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833</v>
      </c>
      <c r="Z174" s="30" t="s">
        <v>57</v>
      </c>
      <c r="AA174" s="30" t="s">
        <v>833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 t="s">
        <v>61</v>
      </c>
      <c r="AG174" s="33" t="s">
        <v>55</v>
      </c>
      <c r="AH174" s="33" t="s">
        <v>833</v>
      </c>
      <c r="AI174" s="33" t="s">
        <v>57</v>
      </c>
      <c r="AJ174" s="33" t="s">
        <v>833</v>
      </c>
      <c r="AK174" s="33" t="s">
        <v>56</v>
      </c>
      <c r="AL174" s="27"/>
      <c r="AM174" s="34" t="s">
        <v>57</v>
      </c>
      <c r="AN174" s="35" t="str">
        <f t="shared" si="13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4942</v>
      </c>
      <c r="C175" s="25" t="s">
        <v>4943</v>
      </c>
      <c r="D175" s="23" t="s">
        <v>4603</v>
      </c>
      <c r="E175" s="42">
        <v>46128</v>
      </c>
      <c r="F175" s="26" t="s">
        <v>55</v>
      </c>
      <c r="G175" s="44" t="s">
        <v>833</v>
      </c>
      <c r="H175" s="26" t="s">
        <v>57</v>
      </c>
      <c r="I175" s="44" t="s">
        <v>833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42">
        <v>46196</v>
      </c>
      <c r="O175" s="26" t="s">
        <v>55</v>
      </c>
      <c r="P175" s="44" t="s">
        <v>833</v>
      </c>
      <c r="Q175" s="26" t="s">
        <v>57</v>
      </c>
      <c r="R175" s="44" t="s">
        <v>833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833</v>
      </c>
      <c r="Z175" s="30" t="s">
        <v>57</v>
      </c>
      <c r="AA175" s="30" t="s">
        <v>833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 t="s">
        <v>61</v>
      </c>
      <c r="AG175" s="33" t="s">
        <v>55</v>
      </c>
      <c r="AH175" s="33" t="s">
        <v>833</v>
      </c>
      <c r="AI175" s="33" t="s">
        <v>57</v>
      </c>
      <c r="AJ175" s="33" t="s">
        <v>833</v>
      </c>
      <c r="AK175" s="33" t="s">
        <v>56</v>
      </c>
      <c r="AL175" s="27"/>
      <c r="AM175" s="34" t="s">
        <v>57</v>
      </c>
      <c r="AN175" s="35" t="str">
        <f t="shared" si="13"/>
        <v>✓ OK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4944</v>
      </c>
      <c r="C176" s="41" t="s">
        <v>4945</v>
      </c>
      <c r="D176" s="39" t="s">
        <v>4603</v>
      </c>
      <c r="E176" s="42">
        <v>46128</v>
      </c>
      <c r="F176" s="26" t="s">
        <v>55</v>
      </c>
      <c r="G176" s="44" t="s">
        <v>56</v>
      </c>
      <c r="H176" s="26" t="s">
        <v>57</v>
      </c>
      <c r="I176" s="44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42">
        <v>46196</v>
      </c>
      <c r="O176" s="26" t="s">
        <v>55</v>
      </c>
      <c r="P176" s="44" t="s">
        <v>56</v>
      </c>
      <c r="Q176" s="26" t="s">
        <v>57</v>
      </c>
      <c r="R176" s="44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 t="s">
        <v>61</v>
      </c>
      <c r="AG176" s="33" t="s">
        <v>55</v>
      </c>
      <c r="AH176" s="33" t="s">
        <v>56</v>
      </c>
      <c r="AI176" s="33" t="s">
        <v>57</v>
      </c>
      <c r="AJ176" s="33" t="s">
        <v>58</v>
      </c>
      <c r="AK176" s="33" t="s">
        <v>56</v>
      </c>
      <c r="AL176" s="27"/>
      <c r="AM176" s="34" t="s">
        <v>57</v>
      </c>
      <c r="AN176" s="35" t="str">
        <f t="shared" si="13"/>
        <v>✓ OK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4946</v>
      </c>
      <c r="C177" s="25" t="s">
        <v>4947</v>
      </c>
      <c r="D177" s="23" t="s">
        <v>4603</v>
      </c>
      <c r="E177" s="42">
        <v>46128</v>
      </c>
      <c r="F177" s="26" t="s">
        <v>55</v>
      </c>
      <c r="G177" s="44" t="s">
        <v>56</v>
      </c>
      <c r="H177" s="26" t="s">
        <v>57</v>
      </c>
      <c r="I177" s="44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42">
        <v>46196</v>
      </c>
      <c r="O177" s="26" t="s">
        <v>55</v>
      </c>
      <c r="P177" s="44" t="s">
        <v>56</v>
      </c>
      <c r="Q177" s="26" t="s">
        <v>57</v>
      </c>
      <c r="R177" s="44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 t="s">
        <v>61</v>
      </c>
      <c r="AG177" s="33" t="s">
        <v>55</v>
      </c>
      <c r="AH177" s="33" t="s">
        <v>56</v>
      </c>
      <c r="AI177" s="33" t="s">
        <v>57</v>
      </c>
      <c r="AJ177" s="33" t="s">
        <v>58</v>
      </c>
      <c r="AK177" s="33" t="s">
        <v>56</v>
      </c>
      <c r="AL177" s="27"/>
      <c r="AM177" s="34" t="s">
        <v>57</v>
      </c>
      <c r="AN177" s="35" t="str">
        <f t="shared" si="13"/>
        <v>✓ OK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4948</v>
      </c>
      <c r="C178" s="41" t="s">
        <v>4949</v>
      </c>
      <c r="D178" s="39" t="s">
        <v>4603</v>
      </c>
      <c r="E178" s="42">
        <v>46128</v>
      </c>
      <c r="F178" s="26" t="s">
        <v>55</v>
      </c>
      <c r="G178" s="44" t="s">
        <v>833</v>
      </c>
      <c r="H178" s="26" t="s">
        <v>57</v>
      </c>
      <c r="I178" s="44" t="s">
        <v>833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42">
        <v>46196</v>
      </c>
      <c r="O178" s="26" t="s">
        <v>55</v>
      </c>
      <c r="P178" s="44" t="s">
        <v>833</v>
      </c>
      <c r="Q178" s="26" t="s">
        <v>57</v>
      </c>
      <c r="R178" s="44" t="s">
        <v>833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833</v>
      </c>
      <c r="Z178" s="30" t="s">
        <v>57</v>
      </c>
      <c r="AA178" s="30" t="s">
        <v>833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 t="s">
        <v>61</v>
      </c>
      <c r="AG178" s="33" t="s">
        <v>55</v>
      </c>
      <c r="AH178" s="33" t="s">
        <v>833</v>
      </c>
      <c r="AI178" s="33" t="s">
        <v>57</v>
      </c>
      <c r="AJ178" s="33" t="s">
        <v>833</v>
      </c>
      <c r="AK178" s="33" t="s">
        <v>56</v>
      </c>
      <c r="AL178" s="27"/>
      <c r="AM178" s="34" t="s">
        <v>57</v>
      </c>
      <c r="AN178" s="35" t="str">
        <f t="shared" si="13"/>
        <v>✓ OK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4950</v>
      </c>
      <c r="C179" s="25" t="s">
        <v>4951</v>
      </c>
      <c r="D179" s="23" t="s">
        <v>4603</v>
      </c>
      <c r="E179" s="42">
        <v>46128</v>
      </c>
      <c r="F179" s="26" t="s">
        <v>55</v>
      </c>
      <c r="G179" s="44" t="s">
        <v>833</v>
      </c>
      <c r="H179" s="26" t="s">
        <v>57</v>
      </c>
      <c r="I179" s="44" t="s">
        <v>833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42">
        <v>46196</v>
      </c>
      <c r="O179" s="26" t="s">
        <v>55</v>
      </c>
      <c r="P179" s="44" t="s">
        <v>833</v>
      </c>
      <c r="Q179" s="26" t="s">
        <v>57</v>
      </c>
      <c r="R179" s="44" t="s">
        <v>833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833</v>
      </c>
      <c r="Z179" s="30" t="s">
        <v>57</v>
      </c>
      <c r="AA179" s="30" t="s">
        <v>833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 t="s">
        <v>61</v>
      </c>
      <c r="AG179" s="33" t="s">
        <v>55</v>
      </c>
      <c r="AH179" s="33" t="s">
        <v>833</v>
      </c>
      <c r="AI179" s="33" t="s">
        <v>57</v>
      </c>
      <c r="AJ179" s="33" t="s">
        <v>833</v>
      </c>
      <c r="AK179" s="33" t="s">
        <v>56</v>
      </c>
      <c r="AL179" s="27"/>
      <c r="AM179" s="34" t="s">
        <v>57</v>
      </c>
      <c r="AN179" s="35" t="str">
        <f t="shared" si="13"/>
        <v>✓ OK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4952</v>
      </c>
      <c r="C180" s="41" t="s">
        <v>4953</v>
      </c>
      <c r="D180" s="39" t="s">
        <v>4603</v>
      </c>
      <c r="E180" s="42">
        <v>46128</v>
      </c>
      <c r="F180" s="26" t="s">
        <v>55</v>
      </c>
      <c r="G180" s="44" t="s">
        <v>833</v>
      </c>
      <c r="H180" s="26" t="s">
        <v>57</v>
      </c>
      <c r="I180" s="44" t="s">
        <v>833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42">
        <v>46196</v>
      </c>
      <c r="O180" s="26" t="s">
        <v>55</v>
      </c>
      <c r="P180" s="44" t="s">
        <v>833</v>
      </c>
      <c r="Q180" s="26" t="s">
        <v>57</v>
      </c>
      <c r="R180" s="44" t="s">
        <v>833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833</v>
      </c>
      <c r="Z180" s="30" t="s">
        <v>57</v>
      </c>
      <c r="AA180" s="30" t="s">
        <v>833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 t="s">
        <v>61</v>
      </c>
      <c r="AG180" s="33" t="s">
        <v>55</v>
      </c>
      <c r="AH180" s="33" t="s">
        <v>833</v>
      </c>
      <c r="AI180" s="33" t="s">
        <v>57</v>
      </c>
      <c r="AJ180" s="33" t="s">
        <v>833</v>
      </c>
      <c r="AK180" s="33" t="s">
        <v>56</v>
      </c>
      <c r="AL180" s="27"/>
      <c r="AM180" s="34" t="s">
        <v>57</v>
      </c>
      <c r="AN180" s="35" t="str">
        <f t="shared" si="13"/>
        <v>✓ OK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4954</v>
      </c>
      <c r="C181" s="25" t="s">
        <v>4955</v>
      </c>
      <c r="D181" s="23" t="s">
        <v>4603</v>
      </c>
      <c r="E181" s="42">
        <v>46128</v>
      </c>
      <c r="F181" s="26" t="s">
        <v>55</v>
      </c>
      <c r="G181" s="44" t="s">
        <v>833</v>
      </c>
      <c r="H181" s="26" t="s">
        <v>57</v>
      </c>
      <c r="I181" s="44" t="s">
        <v>833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42">
        <v>46196</v>
      </c>
      <c r="O181" s="26" t="s">
        <v>55</v>
      </c>
      <c r="P181" s="44" t="s">
        <v>833</v>
      </c>
      <c r="Q181" s="26" t="s">
        <v>57</v>
      </c>
      <c r="R181" s="44" t="s">
        <v>833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833</v>
      </c>
      <c r="Z181" s="30" t="s">
        <v>57</v>
      </c>
      <c r="AA181" s="30" t="s">
        <v>833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 t="s">
        <v>61</v>
      </c>
      <c r="AG181" s="33" t="s">
        <v>55</v>
      </c>
      <c r="AH181" s="33" t="s">
        <v>833</v>
      </c>
      <c r="AI181" s="33" t="s">
        <v>57</v>
      </c>
      <c r="AJ181" s="33" t="s">
        <v>833</v>
      </c>
      <c r="AK181" s="33" t="s">
        <v>56</v>
      </c>
      <c r="AL181" s="27"/>
      <c r="AM181" s="34" t="s">
        <v>57</v>
      </c>
      <c r="AN181" s="35" t="str">
        <f t="shared" si="13"/>
        <v>✓ OK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4956</v>
      </c>
      <c r="C182" s="41" t="s">
        <v>4957</v>
      </c>
      <c r="D182" s="39" t="s">
        <v>4603</v>
      </c>
      <c r="E182" s="42">
        <v>46128</v>
      </c>
      <c r="F182" s="26" t="s">
        <v>55</v>
      </c>
      <c r="G182" s="44" t="s">
        <v>833</v>
      </c>
      <c r="H182" s="26" t="s">
        <v>57</v>
      </c>
      <c r="I182" s="44" t="s">
        <v>833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42">
        <v>46196</v>
      </c>
      <c r="O182" s="26" t="s">
        <v>55</v>
      </c>
      <c r="P182" s="44" t="s">
        <v>833</v>
      </c>
      <c r="Q182" s="26" t="s">
        <v>57</v>
      </c>
      <c r="R182" s="44" t="s">
        <v>833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833</v>
      </c>
      <c r="Z182" s="30" t="s">
        <v>57</v>
      </c>
      <c r="AA182" s="30" t="s">
        <v>833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 t="s">
        <v>61</v>
      </c>
      <c r="AG182" s="33" t="s">
        <v>55</v>
      </c>
      <c r="AH182" s="33" t="s">
        <v>833</v>
      </c>
      <c r="AI182" s="33" t="s">
        <v>57</v>
      </c>
      <c r="AJ182" s="33" t="s">
        <v>833</v>
      </c>
      <c r="AK182" s="33" t="s">
        <v>56</v>
      </c>
      <c r="AL182" s="27"/>
      <c r="AM182" s="34" t="s">
        <v>57</v>
      </c>
      <c r="AN182" s="35" t="str">
        <f t="shared" si="13"/>
        <v>✓ OK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4958</v>
      </c>
      <c r="C183" s="25" t="s">
        <v>4959</v>
      </c>
      <c r="D183" s="23" t="s">
        <v>4603</v>
      </c>
      <c r="E183" s="42">
        <v>46128</v>
      </c>
      <c r="F183" s="26" t="s">
        <v>55</v>
      </c>
      <c r="G183" s="44" t="s">
        <v>833</v>
      </c>
      <c r="H183" s="26" t="s">
        <v>57</v>
      </c>
      <c r="I183" s="44" t="s">
        <v>833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42">
        <v>46196</v>
      </c>
      <c r="O183" s="26" t="s">
        <v>55</v>
      </c>
      <c r="P183" s="44" t="s">
        <v>833</v>
      </c>
      <c r="Q183" s="26" t="s">
        <v>57</v>
      </c>
      <c r="R183" s="44" t="s">
        <v>833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833</v>
      </c>
      <c r="Z183" s="30" t="s">
        <v>57</v>
      </c>
      <c r="AA183" s="30" t="s">
        <v>833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 t="s">
        <v>61</v>
      </c>
      <c r="AG183" s="33" t="s">
        <v>55</v>
      </c>
      <c r="AH183" s="33" t="s">
        <v>833</v>
      </c>
      <c r="AI183" s="33" t="s">
        <v>57</v>
      </c>
      <c r="AJ183" s="33" t="s">
        <v>833</v>
      </c>
      <c r="AK183" s="33" t="s">
        <v>56</v>
      </c>
      <c r="AL183" s="27"/>
      <c r="AM183" s="34" t="s">
        <v>57</v>
      </c>
      <c r="AN183" s="35" t="str">
        <f t="shared" si="13"/>
        <v>✓ OK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4960</v>
      </c>
      <c r="C184" s="41" t="s">
        <v>4961</v>
      </c>
      <c r="D184" s="39" t="s">
        <v>4603</v>
      </c>
      <c r="E184" s="42">
        <v>46128</v>
      </c>
      <c r="F184" s="26" t="s">
        <v>55</v>
      </c>
      <c r="G184" s="44" t="s">
        <v>833</v>
      </c>
      <c r="H184" s="26" t="s">
        <v>57</v>
      </c>
      <c r="I184" s="44" t="s">
        <v>833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42">
        <v>46196</v>
      </c>
      <c r="O184" s="26" t="s">
        <v>55</v>
      </c>
      <c r="P184" s="44" t="s">
        <v>833</v>
      </c>
      <c r="Q184" s="26" t="s">
        <v>57</v>
      </c>
      <c r="R184" s="44" t="s">
        <v>833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833</v>
      </c>
      <c r="Z184" s="30" t="s">
        <v>57</v>
      </c>
      <c r="AA184" s="30" t="s">
        <v>833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 t="s">
        <v>61</v>
      </c>
      <c r="AG184" s="33" t="s">
        <v>55</v>
      </c>
      <c r="AH184" s="33" t="s">
        <v>833</v>
      </c>
      <c r="AI184" s="33" t="s">
        <v>57</v>
      </c>
      <c r="AJ184" s="33" t="s">
        <v>833</v>
      </c>
      <c r="AK184" s="33" t="s">
        <v>56</v>
      </c>
      <c r="AL184" s="27"/>
      <c r="AM184" s="34" t="s">
        <v>57</v>
      </c>
      <c r="AN184" s="35" t="str">
        <f t="shared" si="13"/>
        <v>✓ OK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4962</v>
      </c>
      <c r="C185" s="25" t="s">
        <v>4963</v>
      </c>
      <c r="D185" s="23" t="s">
        <v>4603</v>
      </c>
      <c r="E185" s="42">
        <v>46128</v>
      </c>
      <c r="F185" s="26" t="s">
        <v>55</v>
      </c>
      <c r="G185" s="44" t="s">
        <v>833</v>
      </c>
      <c r="H185" s="26" t="s">
        <v>57</v>
      </c>
      <c r="I185" s="44" t="s">
        <v>833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42">
        <v>46196</v>
      </c>
      <c r="O185" s="26" t="s">
        <v>55</v>
      </c>
      <c r="P185" s="44" t="s">
        <v>833</v>
      </c>
      <c r="Q185" s="26" t="s">
        <v>57</v>
      </c>
      <c r="R185" s="44" t="s">
        <v>833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833</v>
      </c>
      <c r="Z185" s="30" t="s">
        <v>57</v>
      </c>
      <c r="AA185" s="30" t="s">
        <v>833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 t="s">
        <v>61</v>
      </c>
      <c r="AG185" s="33" t="s">
        <v>55</v>
      </c>
      <c r="AH185" s="33" t="s">
        <v>833</v>
      </c>
      <c r="AI185" s="33" t="s">
        <v>57</v>
      </c>
      <c r="AJ185" s="33" t="s">
        <v>833</v>
      </c>
      <c r="AK185" s="33" t="s">
        <v>56</v>
      </c>
      <c r="AL185" s="27"/>
      <c r="AM185" s="34" t="s">
        <v>57</v>
      </c>
      <c r="AN185" s="35" t="str">
        <f t="shared" si="13"/>
        <v>✓ OK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4964</v>
      </c>
      <c r="C186" s="41" t="s">
        <v>4965</v>
      </c>
      <c r="D186" s="39" t="s">
        <v>4603</v>
      </c>
      <c r="E186" s="42">
        <v>46128</v>
      </c>
      <c r="F186" s="26" t="s">
        <v>55</v>
      </c>
      <c r="G186" s="44" t="s">
        <v>833</v>
      </c>
      <c r="H186" s="26" t="s">
        <v>57</v>
      </c>
      <c r="I186" s="44" t="s">
        <v>833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42">
        <v>46196</v>
      </c>
      <c r="O186" s="26" t="s">
        <v>55</v>
      </c>
      <c r="P186" s="44" t="s">
        <v>833</v>
      </c>
      <c r="Q186" s="26" t="s">
        <v>57</v>
      </c>
      <c r="R186" s="44" t="s">
        <v>833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833</v>
      </c>
      <c r="Z186" s="30" t="s">
        <v>57</v>
      </c>
      <c r="AA186" s="30" t="s">
        <v>833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 t="s">
        <v>61</v>
      </c>
      <c r="AG186" s="33" t="s">
        <v>55</v>
      </c>
      <c r="AH186" s="33" t="s">
        <v>833</v>
      </c>
      <c r="AI186" s="33" t="s">
        <v>57</v>
      </c>
      <c r="AJ186" s="33" t="s">
        <v>833</v>
      </c>
      <c r="AK186" s="33" t="s">
        <v>56</v>
      </c>
      <c r="AL186" s="27"/>
      <c r="AM186" s="34" t="s">
        <v>57</v>
      </c>
      <c r="AN186" s="35" t="str">
        <f t="shared" si="13"/>
        <v>✓ OK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4966</v>
      </c>
      <c r="C187" s="25" t="s">
        <v>4967</v>
      </c>
      <c r="D187" s="23" t="s">
        <v>4603</v>
      </c>
      <c r="E187" s="42">
        <v>46128</v>
      </c>
      <c r="F187" s="26" t="s">
        <v>55</v>
      </c>
      <c r="G187" s="44" t="s">
        <v>833</v>
      </c>
      <c r="H187" s="26" t="s">
        <v>57</v>
      </c>
      <c r="I187" s="44" t="s">
        <v>833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42">
        <v>46196</v>
      </c>
      <c r="O187" s="26" t="s">
        <v>55</v>
      </c>
      <c r="P187" s="44" t="s">
        <v>833</v>
      </c>
      <c r="Q187" s="26" t="s">
        <v>57</v>
      </c>
      <c r="R187" s="44" t="s">
        <v>833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833</v>
      </c>
      <c r="Z187" s="30" t="s">
        <v>57</v>
      </c>
      <c r="AA187" s="30" t="s">
        <v>833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 t="s">
        <v>61</v>
      </c>
      <c r="AG187" s="33" t="s">
        <v>55</v>
      </c>
      <c r="AH187" s="33" t="s">
        <v>833</v>
      </c>
      <c r="AI187" s="33" t="s">
        <v>57</v>
      </c>
      <c r="AJ187" s="33" t="s">
        <v>833</v>
      </c>
      <c r="AK187" s="33" t="s">
        <v>56</v>
      </c>
      <c r="AL187" s="27"/>
      <c r="AM187" s="34" t="s">
        <v>57</v>
      </c>
      <c r="AN187" s="35" t="str">
        <f t="shared" si="13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4968</v>
      </c>
      <c r="C188" s="41" t="s">
        <v>4969</v>
      </c>
      <c r="D188" s="39" t="s">
        <v>4603</v>
      </c>
      <c r="E188" s="42">
        <v>46128</v>
      </c>
      <c r="F188" s="26" t="s">
        <v>55</v>
      </c>
      <c r="G188" s="44" t="s">
        <v>833</v>
      </c>
      <c r="H188" s="26" t="s">
        <v>57</v>
      </c>
      <c r="I188" s="44" t="s">
        <v>833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42">
        <v>46196</v>
      </c>
      <c r="O188" s="26" t="s">
        <v>55</v>
      </c>
      <c r="P188" s="44" t="s">
        <v>833</v>
      </c>
      <c r="Q188" s="26" t="s">
        <v>57</v>
      </c>
      <c r="R188" s="44" t="s">
        <v>833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833</v>
      </c>
      <c r="Z188" s="30" t="s">
        <v>57</v>
      </c>
      <c r="AA188" s="30" t="s">
        <v>833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 t="s">
        <v>61</v>
      </c>
      <c r="AG188" s="33" t="s">
        <v>55</v>
      </c>
      <c r="AH188" s="33" t="s">
        <v>833</v>
      </c>
      <c r="AI188" s="33" t="s">
        <v>57</v>
      </c>
      <c r="AJ188" s="33" t="s">
        <v>833</v>
      </c>
      <c r="AK188" s="33" t="s">
        <v>56</v>
      </c>
      <c r="AL188" s="27"/>
      <c r="AM188" s="34" t="s">
        <v>57</v>
      </c>
      <c r="AN188" s="35" t="str">
        <f t="shared" si="13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4970</v>
      </c>
      <c r="C189" s="25" t="s">
        <v>4971</v>
      </c>
      <c r="D189" s="23" t="s">
        <v>4603</v>
      </c>
      <c r="E189" s="42">
        <v>46128</v>
      </c>
      <c r="F189" s="26" t="s">
        <v>55</v>
      </c>
      <c r="G189" s="44" t="s">
        <v>833</v>
      </c>
      <c r="H189" s="26" t="s">
        <v>57</v>
      </c>
      <c r="I189" s="44" t="s">
        <v>833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42">
        <v>46196</v>
      </c>
      <c r="O189" s="26" t="s">
        <v>55</v>
      </c>
      <c r="P189" s="44" t="s">
        <v>833</v>
      </c>
      <c r="Q189" s="26" t="s">
        <v>57</v>
      </c>
      <c r="R189" s="44" t="s">
        <v>833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833</v>
      </c>
      <c r="Z189" s="30" t="s">
        <v>57</v>
      </c>
      <c r="AA189" s="30" t="s">
        <v>833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 t="s">
        <v>61</v>
      </c>
      <c r="AG189" s="33" t="s">
        <v>55</v>
      </c>
      <c r="AH189" s="33" t="s">
        <v>833</v>
      </c>
      <c r="AI189" s="33" t="s">
        <v>57</v>
      </c>
      <c r="AJ189" s="33" t="s">
        <v>833</v>
      </c>
      <c r="AK189" s="33" t="s">
        <v>56</v>
      </c>
      <c r="AL189" s="27"/>
      <c r="AM189" s="34" t="s">
        <v>57</v>
      </c>
      <c r="AN189" s="35" t="str">
        <f t="shared" si="13"/>
        <v>✓ OK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4972</v>
      </c>
      <c r="C190" s="41" t="s">
        <v>4973</v>
      </c>
      <c r="D190" s="39" t="s">
        <v>4603</v>
      </c>
      <c r="E190" s="42">
        <v>46128</v>
      </c>
      <c r="F190" s="26" t="s">
        <v>55</v>
      </c>
      <c r="G190" s="44" t="s">
        <v>833</v>
      </c>
      <c r="H190" s="26" t="s">
        <v>57</v>
      </c>
      <c r="I190" s="44" t="s">
        <v>833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42">
        <v>46196</v>
      </c>
      <c r="O190" s="26" t="s">
        <v>55</v>
      </c>
      <c r="P190" s="44" t="s">
        <v>833</v>
      </c>
      <c r="Q190" s="26" t="s">
        <v>57</v>
      </c>
      <c r="R190" s="44" t="s">
        <v>833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833</v>
      </c>
      <c r="Z190" s="30" t="s">
        <v>57</v>
      </c>
      <c r="AA190" s="30" t="s">
        <v>833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 t="s">
        <v>61</v>
      </c>
      <c r="AG190" s="33" t="s">
        <v>55</v>
      </c>
      <c r="AH190" s="33" t="s">
        <v>833</v>
      </c>
      <c r="AI190" s="33" t="s">
        <v>57</v>
      </c>
      <c r="AJ190" s="33" t="s">
        <v>833</v>
      </c>
      <c r="AK190" s="33" t="s">
        <v>56</v>
      </c>
      <c r="AL190" s="27"/>
      <c r="AM190" s="34" t="s">
        <v>57</v>
      </c>
      <c r="AN190" s="35" t="str">
        <f t="shared" si="13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4974</v>
      </c>
      <c r="C191" s="25" t="s">
        <v>4975</v>
      </c>
      <c r="D191" s="23" t="s">
        <v>4603</v>
      </c>
      <c r="E191" s="42">
        <v>46128</v>
      </c>
      <c r="F191" s="26" t="s">
        <v>55</v>
      </c>
      <c r="G191" s="44" t="s">
        <v>833</v>
      </c>
      <c r="H191" s="26" t="s">
        <v>57</v>
      </c>
      <c r="I191" s="44" t="s">
        <v>833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42">
        <v>46196</v>
      </c>
      <c r="O191" s="26" t="s">
        <v>55</v>
      </c>
      <c r="P191" s="44" t="s">
        <v>833</v>
      </c>
      <c r="Q191" s="26" t="s">
        <v>57</v>
      </c>
      <c r="R191" s="44" t="s">
        <v>833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833</v>
      </c>
      <c r="Z191" s="30" t="s">
        <v>57</v>
      </c>
      <c r="AA191" s="30" t="s">
        <v>833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 t="s">
        <v>61</v>
      </c>
      <c r="AG191" s="33" t="s">
        <v>55</v>
      </c>
      <c r="AH191" s="33" t="s">
        <v>833</v>
      </c>
      <c r="AI191" s="33" t="s">
        <v>57</v>
      </c>
      <c r="AJ191" s="33" t="s">
        <v>833</v>
      </c>
      <c r="AK191" s="33" t="s">
        <v>56</v>
      </c>
      <c r="AL191" s="27"/>
      <c r="AM191" s="34" t="s">
        <v>57</v>
      </c>
      <c r="AN191" s="35" t="str">
        <f t="shared" si="13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4976</v>
      </c>
      <c r="C192" s="41" t="s">
        <v>4977</v>
      </c>
      <c r="D192" s="39" t="s">
        <v>4603</v>
      </c>
      <c r="E192" s="42">
        <v>46128</v>
      </c>
      <c r="F192" s="26" t="s">
        <v>55</v>
      </c>
      <c r="G192" s="44" t="s">
        <v>56</v>
      </c>
      <c r="H192" s="26" t="s">
        <v>57</v>
      </c>
      <c r="I192" s="44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42">
        <v>46196</v>
      </c>
      <c r="O192" s="26" t="s">
        <v>55</v>
      </c>
      <c r="P192" s="44" t="s">
        <v>56</v>
      </c>
      <c r="Q192" s="26" t="s">
        <v>57</v>
      </c>
      <c r="R192" s="44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 t="s">
        <v>61</v>
      </c>
      <c r="AG192" s="33" t="s">
        <v>55</v>
      </c>
      <c r="AH192" s="33" t="s">
        <v>56</v>
      </c>
      <c r="AI192" s="33" t="s">
        <v>57</v>
      </c>
      <c r="AJ192" s="33" t="s">
        <v>58</v>
      </c>
      <c r="AK192" s="33" t="s">
        <v>56</v>
      </c>
      <c r="AL192" s="27"/>
      <c r="AM192" s="34" t="s">
        <v>57</v>
      </c>
      <c r="AN192" s="35" t="str">
        <f t="shared" si="13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4978</v>
      </c>
      <c r="C193" s="25" t="s">
        <v>4979</v>
      </c>
      <c r="D193" s="23" t="s">
        <v>4603</v>
      </c>
      <c r="E193" s="42">
        <v>46128</v>
      </c>
      <c r="F193" s="26" t="s">
        <v>55</v>
      </c>
      <c r="G193" s="44" t="s">
        <v>833</v>
      </c>
      <c r="H193" s="26" t="s">
        <v>57</v>
      </c>
      <c r="I193" s="44" t="s">
        <v>833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42">
        <v>46196</v>
      </c>
      <c r="O193" s="26" t="s">
        <v>55</v>
      </c>
      <c r="P193" s="44" t="s">
        <v>833</v>
      </c>
      <c r="Q193" s="26" t="s">
        <v>57</v>
      </c>
      <c r="R193" s="44" t="s">
        <v>833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833</v>
      </c>
      <c r="Z193" s="30" t="s">
        <v>57</v>
      </c>
      <c r="AA193" s="30" t="s">
        <v>833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 t="s">
        <v>61</v>
      </c>
      <c r="AG193" s="33" t="s">
        <v>55</v>
      </c>
      <c r="AH193" s="33" t="s">
        <v>833</v>
      </c>
      <c r="AI193" s="33" t="s">
        <v>57</v>
      </c>
      <c r="AJ193" s="33" t="s">
        <v>833</v>
      </c>
      <c r="AK193" s="33" t="s">
        <v>56</v>
      </c>
      <c r="AL193" s="27"/>
      <c r="AM193" s="34" t="s">
        <v>57</v>
      </c>
      <c r="AN193" s="35" t="str">
        <f t="shared" si="13"/>
        <v>✓ OK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4980</v>
      </c>
      <c r="C194" s="41" t="s">
        <v>4981</v>
      </c>
      <c r="D194" s="39" t="s">
        <v>4603</v>
      </c>
      <c r="E194" s="42">
        <v>46128</v>
      </c>
      <c r="F194" s="26" t="s">
        <v>55</v>
      </c>
      <c r="G194" s="44" t="s">
        <v>833</v>
      </c>
      <c r="H194" s="26" t="s">
        <v>57</v>
      </c>
      <c r="I194" s="44" t="s">
        <v>833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42">
        <v>46196</v>
      </c>
      <c r="O194" s="26" t="s">
        <v>55</v>
      </c>
      <c r="P194" s="44" t="s">
        <v>833</v>
      </c>
      <c r="Q194" s="26" t="s">
        <v>57</v>
      </c>
      <c r="R194" s="44" t="s">
        <v>833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833</v>
      </c>
      <c r="Z194" s="30" t="s">
        <v>57</v>
      </c>
      <c r="AA194" s="30" t="s">
        <v>833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 t="s">
        <v>61</v>
      </c>
      <c r="AG194" s="33" t="s">
        <v>55</v>
      </c>
      <c r="AH194" s="33" t="s">
        <v>833</v>
      </c>
      <c r="AI194" s="33" t="s">
        <v>57</v>
      </c>
      <c r="AJ194" s="33" t="s">
        <v>833</v>
      </c>
      <c r="AK194" s="33" t="s">
        <v>56</v>
      </c>
      <c r="AL194" s="27"/>
      <c r="AM194" s="34" t="s">
        <v>57</v>
      </c>
      <c r="AN194" s="35" t="str">
        <f t="shared" si="13"/>
        <v>✓ OK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4982</v>
      </c>
      <c r="C195" s="25" t="s">
        <v>4983</v>
      </c>
      <c r="D195" s="23" t="s">
        <v>4603</v>
      </c>
      <c r="E195" s="42">
        <v>46128</v>
      </c>
      <c r="F195" s="26" t="s">
        <v>55</v>
      </c>
      <c r="G195" s="44" t="s">
        <v>833</v>
      </c>
      <c r="H195" s="26" t="s">
        <v>57</v>
      </c>
      <c r="I195" s="44" t="s">
        <v>833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42">
        <v>46196</v>
      </c>
      <c r="O195" s="26" t="s">
        <v>55</v>
      </c>
      <c r="P195" s="44" t="s">
        <v>833</v>
      </c>
      <c r="Q195" s="26" t="s">
        <v>57</v>
      </c>
      <c r="R195" s="44" t="s">
        <v>833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833</v>
      </c>
      <c r="Z195" s="30" t="s">
        <v>57</v>
      </c>
      <c r="AA195" s="30" t="s">
        <v>833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 t="s">
        <v>61</v>
      </c>
      <c r="AG195" s="33" t="s">
        <v>55</v>
      </c>
      <c r="AH195" s="33" t="s">
        <v>833</v>
      </c>
      <c r="AI195" s="33" t="s">
        <v>57</v>
      </c>
      <c r="AJ195" s="33" t="s">
        <v>833</v>
      </c>
      <c r="AK195" s="33" t="s">
        <v>56</v>
      </c>
      <c r="AL195" s="27"/>
      <c r="AM195" s="34" t="s">
        <v>57</v>
      </c>
      <c r="AN195" s="35" t="str">
        <f t="shared" si="13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4984</v>
      </c>
      <c r="C196" s="41" t="s">
        <v>4985</v>
      </c>
      <c r="D196" s="39" t="s">
        <v>4603</v>
      </c>
      <c r="E196" s="42">
        <v>46128</v>
      </c>
      <c r="F196" s="26" t="s">
        <v>55</v>
      </c>
      <c r="G196" s="44" t="s">
        <v>833</v>
      </c>
      <c r="H196" s="26" t="s">
        <v>57</v>
      </c>
      <c r="I196" s="44" t="s">
        <v>833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42">
        <v>46196</v>
      </c>
      <c r="O196" s="26" t="s">
        <v>55</v>
      </c>
      <c r="P196" s="44" t="s">
        <v>833</v>
      </c>
      <c r="Q196" s="26" t="s">
        <v>57</v>
      </c>
      <c r="R196" s="44" t="s">
        <v>833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833</v>
      </c>
      <c r="Z196" s="30" t="s">
        <v>57</v>
      </c>
      <c r="AA196" s="30" t="s">
        <v>833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 t="s">
        <v>61</v>
      </c>
      <c r="AG196" s="33" t="s">
        <v>55</v>
      </c>
      <c r="AH196" s="33" t="s">
        <v>833</v>
      </c>
      <c r="AI196" s="33" t="s">
        <v>57</v>
      </c>
      <c r="AJ196" s="33" t="s">
        <v>833</v>
      </c>
      <c r="AK196" s="33" t="s">
        <v>56</v>
      </c>
      <c r="AL196" s="27"/>
      <c r="AM196" s="34" t="s">
        <v>57</v>
      </c>
      <c r="AN196" s="35" t="str">
        <f t="shared" si="13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4986</v>
      </c>
      <c r="C197" s="25" t="s">
        <v>4987</v>
      </c>
      <c r="D197" s="23" t="s">
        <v>4603</v>
      </c>
      <c r="E197" s="42">
        <v>46128</v>
      </c>
      <c r="F197" s="26" t="s">
        <v>55</v>
      </c>
      <c r="G197" s="44" t="s">
        <v>56</v>
      </c>
      <c r="H197" s="26" t="s">
        <v>57</v>
      </c>
      <c r="I197" s="44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42">
        <v>46196</v>
      </c>
      <c r="O197" s="26" t="s">
        <v>55</v>
      </c>
      <c r="P197" s="44" t="s">
        <v>56</v>
      </c>
      <c r="Q197" s="26" t="s">
        <v>57</v>
      </c>
      <c r="R197" s="44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 t="s">
        <v>61</v>
      </c>
      <c r="AG197" s="33" t="s">
        <v>55</v>
      </c>
      <c r="AH197" s="33" t="s">
        <v>56</v>
      </c>
      <c r="AI197" s="33" t="s">
        <v>57</v>
      </c>
      <c r="AJ197" s="33" t="s">
        <v>58</v>
      </c>
      <c r="AK197" s="33" t="s">
        <v>56</v>
      </c>
      <c r="AL197" s="27"/>
      <c r="AM197" s="34" t="s">
        <v>57</v>
      </c>
      <c r="AN197" s="35" t="str">
        <f t="shared" ref="AN197:AN260" si="18">IF(AF197="","",IF(AI197="Yes","❌ Disc",IF(AH197="No","⚠ Missing",IF(AK197="Yes","✓ OK","⚠ Check"))))</f>
        <v>✓ OK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4988</v>
      </c>
      <c r="C198" s="41" t="s">
        <v>4989</v>
      </c>
      <c r="D198" s="39" t="s">
        <v>4603</v>
      </c>
      <c r="E198" s="42">
        <v>46128</v>
      </c>
      <c r="F198" s="26" t="s">
        <v>55</v>
      </c>
      <c r="G198" s="44" t="s">
        <v>833</v>
      </c>
      <c r="H198" s="26" t="s">
        <v>57</v>
      </c>
      <c r="I198" s="44" t="s">
        <v>833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42">
        <v>46196</v>
      </c>
      <c r="O198" s="26" t="s">
        <v>55</v>
      </c>
      <c r="P198" s="44" t="s">
        <v>833</v>
      </c>
      <c r="Q198" s="26" t="s">
        <v>57</v>
      </c>
      <c r="R198" s="44" t="s">
        <v>833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833</v>
      </c>
      <c r="Z198" s="30" t="s">
        <v>57</v>
      </c>
      <c r="AA198" s="30" t="s">
        <v>833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 t="s">
        <v>61</v>
      </c>
      <c r="AG198" s="33" t="s">
        <v>55</v>
      </c>
      <c r="AH198" s="33" t="s">
        <v>833</v>
      </c>
      <c r="AI198" s="33" t="s">
        <v>57</v>
      </c>
      <c r="AJ198" s="33" t="s">
        <v>833</v>
      </c>
      <c r="AK198" s="33" t="s">
        <v>56</v>
      </c>
      <c r="AL198" s="27"/>
      <c r="AM198" s="34" t="s">
        <v>57</v>
      </c>
      <c r="AN198" s="35" t="str">
        <f t="shared" si="18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4990</v>
      </c>
      <c r="C199" s="25" t="s">
        <v>4991</v>
      </c>
      <c r="D199" s="23" t="s">
        <v>4603</v>
      </c>
      <c r="E199" s="42">
        <v>46128</v>
      </c>
      <c r="F199" s="26" t="s">
        <v>55</v>
      </c>
      <c r="G199" s="44" t="s">
        <v>833</v>
      </c>
      <c r="H199" s="26" t="s">
        <v>57</v>
      </c>
      <c r="I199" s="44" t="s">
        <v>833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42">
        <v>46196</v>
      </c>
      <c r="O199" s="26" t="s">
        <v>55</v>
      </c>
      <c r="P199" s="44" t="s">
        <v>833</v>
      </c>
      <c r="Q199" s="26" t="s">
        <v>57</v>
      </c>
      <c r="R199" s="44" t="s">
        <v>833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833</v>
      </c>
      <c r="Z199" s="30" t="s">
        <v>57</v>
      </c>
      <c r="AA199" s="30" t="s">
        <v>833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 t="s">
        <v>61</v>
      </c>
      <c r="AG199" s="33" t="s">
        <v>55</v>
      </c>
      <c r="AH199" s="33" t="s">
        <v>833</v>
      </c>
      <c r="AI199" s="33" t="s">
        <v>57</v>
      </c>
      <c r="AJ199" s="33" t="s">
        <v>833</v>
      </c>
      <c r="AK199" s="33" t="s">
        <v>56</v>
      </c>
      <c r="AL199" s="27"/>
      <c r="AM199" s="34" t="s">
        <v>57</v>
      </c>
      <c r="AN199" s="35" t="str">
        <f t="shared" si="18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4992</v>
      </c>
      <c r="C200" s="41" t="s">
        <v>4993</v>
      </c>
      <c r="D200" s="39" t="s">
        <v>4603</v>
      </c>
      <c r="E200" s="42">
        <v>46128</v>
      </c>
      <c r="F200" s="26" t="s">
        <v>55</v>
      </c>
      <c r="G200" s="44" t="s">
        <v>833</v>
      </c>
      <c r="H200" s="26" t="s">
        <v>57</v>
      </c>
      <c r="I200" s="44" t="s">
        <v>833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42">
        <v>46196</v>
      </c>
      <c r="O200" s="26" t="s">
        <v>55</v>
      </c>
      <c r="P200" s="44" t="s">
        <v>833</v>
      </c>
      <c r="Q200" s="26" t="s">
        <v>57</v>
      </c>
      <c r="R200" s="44" t="s">
        <v>833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833</v>
      </c>
      <c r="Z200" s="30" t="s">
        <v>57</v>
      </c>
      <c r="AA200" s="30" t="s">
        <v>833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 t="s">
        <v>61</v>
      </c>
      <c r="AG200" s="33" t="s">
        <v>55</v>
      </c>
      <c r="AH200" s="33" t="s">
        <v>833</v>
      </c>
      <c r="AI200" s="33" t="s">
        <v>57</v>
      </c>
      <c r="AJ200" s="33" t="s">
        <v>833</v>
      </c>
      <c r="AK200" s="33" t="s">
        <v>56</v>
      </c>
      <c r="AL200" s="27"/>
      <c r="AM200" s="34" t="s">
        <v>57</v>
      </c>
      <c r="AN200" s="35" t="str">
        <f t="shared" si="18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4994</v>
      </c>
      <c r="C201" s="25" t="s">
        <v>4995</v>
      </c>
      <c r="D201" s="23" t="s">
        <v>4603</v>
      </c>
      <c r="E201" s="42">
        <v>46128</v>
      </c>
      <c r="F201" s="26" t="s">
        <v>55</v>
      </c>
      <c r="G201" s="44" t="s">
        <v>56</v>
      </c>
      <c r="H201" s="26" t="s">
        <v>57</v>
      </c>
      <c r="I201" s="44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42">
        <v>46196</v>
      </c>
      <c r="O201" s="26" t="s">
        <v>55</v>
      </c>
      <c r="P201" s="44" t="s">
        <v>56</v>
      </c>
      <c r="Q201" s="26" t="s">
        <v>57</v>
      </c>
      <c r="R201" s="44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 t="s">
        <v>61</v>
      </c>
      <c r="AG201" s="33" t="s">
        <v>55</v>
      </c>
      <c r="AH201" s="33" t="s">
        <v>56</v>
      </c>
      <c r="AI201" s="33" t="s">
        <v>57</v>
      </c>
      <c r="AJ201" s="33" t="s">
        <v>58</v>
      </c>
      <c r="AK201" s="33" t="s">
        <v>56</v>
      </c>
      <c r="AL201" s="27"/>
      <c r="AM201" s="34" t="s">
        <v>57</v>
      </c>
      <c r="AN201" s="35" t="str">
        <f t="shared" si="18"/>
        <v>✓ OK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4996</v>
      </c>
      <c r="C202" s="41" t="s">
        <v>4997</v>
      </c>
      <c r="D202" s="39" t="s">
        <v>4603</v>
      </c>
      <c r="E202" s="42">
        <v>46128</v>
      </c>
      <c r="F202" s="26" t="s">
        <v>55</v>
      </c>
      <c r="G202" s="44" t="s">
        <v>833</v>
      </c>
      <c r="H202" s="26" t="s">
        <v>57</v>
      </c>
      <c r="I202" s="44" t="s">
        <v>833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42">
        <v>46196</v>
      </c>
      <c r="O202" s="26" t="s">
        <v>55</v>
      </c>
      <c r="P202" s="44" t="s">
        <v>833</v>
      </c>
      <c r="Q202" s="26" t="s">
        <v>57</v>
      </c>
      <c r="R202" s="44" t="s">
        <v>833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833</v>
      </c>
      <c r="Z202" s="30" t="s">
        <v>57</v>
      </c>
      <c r="AA202" s="30" t="s">
        <v>833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 t="s">
        <v>61</v>
      </c>
      <c r="AG202" s="33" t="s">
        <v>55</v>
      </c>
      <c r="AH202" s="33" t="s">
        <v>833</v>
      </c>
      <c r="AI202" s="33" t="s">
        <v>57</v>
      </c>
      <c r="AJ202" s="33" t="s">
        <v>833</v>
      </c>
      <c r="AK202" s="33" t="s">
        <v>56</v>
      </c>
      <c r="AL202" s="27"/>
      <c r="AM202" s="34" t="s">
        <v>57</v>
      </c>
      <c r="AN202" s="35" t="str">
        <f t="shared" si="18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4998</v>
      </c>
      <c r="C203" s="25" t="s">
        <v>4999</v>
      </c>
      <c r="D203" s="23" t="s">
        <v>4603</v>
      </c>
      <c r="E203" s="42">
        <v>46128</v>
      </c>
      <c r="F203" s="26" t="s">
        <v>55</v>
      </c>
      <c r="G203" s="44" t="s">
        <v>833</v>
      </c>
      <c r="H203" s="26" t="s">
        <v>57</v>
      </c>
      <c r="I203" s="44" t="s">
        <v>833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42">
        <v>46196</v>
      </c>
      <c r="O203" s="26" t="s">
        <v>55</v>
      </c>
      <c r="P203" s="44" t="s">
        <v>833</v>
      </c>
      <c r="Q203" s="26" t="s">
        <v>57</v>
      </c>
      <c r="R203" s="44" t="s">
        <v>833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833</v>
      </c>
      <c r="Z203" s="30" t="s">
        <v>57</v>
      </c>
      <c r="AA203" s="30" t="s">
        <v>833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 t="s">
        <v>61</v>
      </c>
      <c r="AG203" s="33" t="s">
        <v>55</v>
      </c>
      <c r="AH203" s="33" t="s">
        <v>833</v>
      </c>
      <c r="AI203" s="33" t="s">
        <v>57</v>
      </c>
      <c r="AJ203" s="33" t="s">
        <v>833</v>
      </c>
      <c r="AK203" s="33" t="s">
        <v>56</v>
      </c>
      <c r="AL203" s="27"/>
      <c r="AM203" s="34" t="s">
        <v>57</v>
      </c>
      <c r="AN203" s="35" t="str">
        <f t="shared" si="18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5000</v>
      </c>
      <c r="C204" s="41" t="s">
        <v>5001</v>
      </c>
      <c r="D204" s="39" t="s">
        <v>4603</v>
      </c>
      <c r="E204" s="42">
        <v>46128</v>
      </c>
      <c r="F204" s="26" t="s">
        <v>55</v>
      </c>
      <c r="G204" s="44" t="s">
        <v>56</v>
      </c>
      <c r="H204" s="26" t="s">
        <v>57</v>
      </c>
      <c r="I204" s="44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42">
        <v>46196</v>
      </c>
      <c r="O204" s="26" t="s">
        <v>55</v>
      </c>
      <c r="P204" s="44" t="s">
        <v>56</v>
      </c>
      <c r="Q204" s="26" t="s">
        <v>57</v>
      </c>
      <c r="R204" s="44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 t="s">
        <v>61</v>
      </c>
      <c r="AG204" s="33" t="s">
        <v>55</v>
      </c>
      <c r="AH204" s="33" t="s">
        <v>56</v>
      </c>
      <c r="AI204" s="33" t="s">
        <v>57</v>
      </c>
      <c r="AJ204" s="33" t="s">
        <v>58</v>
      </c>
      <c r="AK204" s="33" t="s">
        <v>56</v>
      </c>
      <c r="AL204" s="27"/>
      <c r="AM204" s="34" t="s">
        <v>57</v>
      </c>
      <c r="AN204" s="35" t="str">
        <f t="shared" si="18"/>
        <v>✓ OK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5002</v>
      </c>
      <c r="C205" s="25" t="s">
        <v>5003</v>
      </c>
      <c r="D205" s="23" t="s">
        <v>4603</v>
      </c>
      <c r="E205" s="42">
        <v>46128</v>
      </c>
      <c r="F205" s="26" t="s">
        <v>55</v>
      </c>
      <c r="G205" s="44" t="s">
        <v>833</v>
      </c>
      <c r="H205" s="26" t="s">
        <v>57</v>
      </c>
      <c r="I205" s="44" t="s">
        <v>833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42">
        <v>46196</v>
      </c>
      <c r="O205" s="26" t="s">
        <v>55</v>
      </c>
      <c r="P205" s="44" t="s">
        <v>833</v>
      </c>
      <c r="Q205" s="26" t="s">
        <v>57</v>
      </c>
      <c r="R205" s="44" t="s">
        <v>833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833</v>
      </c>
      <c r="Z205" s="30" t="s">
        <v>57</v>
      </c>
      <c r="AA205" s="30" t="s">
        <v>833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 t="s">
        <v>61</v>
      </c>
      <c r="AG205" s="33" t="s">
        <v>55</v>
      </c>
      <c r="AH205" s="33" t="s">
        <v>833</v>
      </c>
      <c r="AI205" s="33" t="s">
        <v>57</v>
      </c>
      <c r="AJ205" s="33" t="s">
        <v>833</v>
      </c>
      <c r="AK205" s="33" t="s">
        <v>56</v>
      </c>
      <c r="AL205" s="27"/>
      <c r="AM205" s="34" t="s">
        <v>57</v>
      </c>
      <c r="AN205" s="35" t="str">
        <f t="shared" si="18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5004</v>
      </c>
      <c r="C206" s="41" t="s">
        <v>5005</v>
      </c>
      <c r="D206" s="39" t="s">
        <v>4603</v>
      </c>
      <c r="E206" s="42">
        <v>46128</v>
      </c>
      <c r="F206" s="26" t="s">
        <v>55</v>
      </c>
      <c r="G206" s="44" t="s">
        <v>833</v>
      </c>
      <c r="H206" s="26" t="s">
        <v>57</v>
      </c>
      <c r="I206" s="44" t="s">
        <v>833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42">
        <v>46196</v>
      </c>
      <c r="O206" s="26" t="s">
        <v>55</v>
      </c>
      <c r="P206" s="44" t="s">
        <v>833</v>
      </c>
      <c r="Q206" s="26" t="s">
        <v>57</v>
      </c>
      <c r="R206" s="44" t="s">
        <v>833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833</v>
      </c>
      <c r="Z206" s="30" t="s">
        <v>57</v>
      </c>
      <c r="AA206" s="30" t="s">
        <v>833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 t="s">
        <v>61</v>
      </c>
      <c r="AG206" s="33" t="s">
        <v>55</v>
      </c>
      <c r="AH206" s="33" t="s">
        <v>833</v>
      </c>
      <c r="AI206" s="33" t="s">
        <v>57</v>
      </c>
      <c r="AJ206" s="33" t="s">
        <v>833</v>
      </c>
      <c r="AK206" s="33" t="s">
        <v>56</v>
      </c>
      <c r="AL206" s="27"/>
      <c r="AM206" s="34" t="s">
        <v>57</v>
      </c>
      <c r="AN206" s="35" t="str">
        <f t="shared" si="18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5006</v>
      </c>
      <c r="C207" s="25" t="s">
        <v>5007</v>
      </c>
      <c r="D207" s="23" t="s">
        <v>4603</v>
      </c>
      <c r="E207" s="42">
        <v>46128</v>
      </c>
      <c r="F207" s="26" t="s">
        <v>55</v>
      </c>
      <c r="G207" s="44" t="s">
        <v>833</v>
      </c>
      <c r="H207" s="26" t="s">
        <v>57</v>
      </c>
      <c r="I207" s="44" t="s">
        <v>833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42">
        <v>46196</v>
      </c>
      <c r="O207" s="26" t="s">
        <v>55</v>
      </c>
      <c r="P207" s="44" t="s">
        <v>833</v>
      </c>
      <c r="Q207" s="26" t="s">
        <v>57</v>
      </c>
      <c r="R207" s="44" t="s">
        <v>833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833</v>
      </c>
      <c r="Z207" s="30" t="s">
        <v>57</v>
      </c>
      <c r="AA207" s="30" t="s">
        <v>833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 t="s">
        <v>61</v>
      </c>
      <c r="AG207" s="33" t="s">
        <v>55</v>
      </c>
      <c r="AH207" s="33" t="s">
        <v>833</v>
      </c>
      <c r="AI207" s="33" t="s">
        <v>57</v>
      </c>
      <c r="AJ207" s="33" t="s">
        <v>833</v>
      </c>
      <c r="AK207" s="33" t="s">
        <v>56</v>
      </c>
      <c r="AL207" s="27"/>
      <c r="AM207" s="34" t="s">
        <v>57</v>
      </c>
      <c r="AN207" s="35" t="str">
        <f t="shared" si="18"/>
        <v>✓ OK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5008</v>
      </c>
      <c r="C208" s="41" t="s">
        <v>5009</v>
      </c>
      <c r="D208" s="39" t="s">
        <v>4603</v>
      </c>
      <c r="E208" s="42">
        <v>46128</v>
      </c>
      <c r="F208" s="26" t="s">
        <v>55</v>
      </c>
      <c r="G208" s="44" t="s">
        <v>833</v>
      </c>
      <c r="H208" s="26" t="s">
        <v>57</v>
      </c>
      <c r="I208" s="44" t="s">
        <v>833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42">
        <v>46196</v>
      </c>
      <c r="O208" s="26" t="s">
        <v>55</v>
      </c>
      <c r="P208" s="44" t="s">
        <v>833</v>
      </c>
      <c r="Q208" s="26" t="s">
        <v>57</v>
      </c>
      <c r="R208" s="44" t="s">
        <v>833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833</v>
      </c>
      <c r="Z208" s="30" t="s">
        <v>57</v>
      </c>
      <c r="AA208" s="30" t="s">
        <v>833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 t="s">
        <v>61</v>
      </c>
      <c r="AG208" s="33" t="s">
        <v>55</v>
      </c>
      <c r="AH208" s="33" t="s">
        <v>833</v>
      </c>
      <c r="AI208" s="33" t="s">
        <v>57</v>
      </c>
      <c r="AJ208" s="33" t="s">
        <v>833</v>
      </c>
      <c r="AK208" s="33" t="s">
        <v>56</v>
      </c>
      <c r="AL208" s="27"/>
      <c r="AM208" s="34" t="s">
        <v>57</v>
      </c>
      <c r="AN208" s="35" t="str">
        <f t="shared" si="18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5010</v>
      </c>
      <c r="C209" s="25" t="s">
        <v>5011</v>
      </c>
      <c r="D209" s="23" t="s">
        <v>4603</v>
      </c>
      <c r="E209" s="42">
        <v>46128</v>
      </c>
      <c r="F209" s="26" t="s">
        <v>55</v>
      </c>
      <c r="G209" s="44" t="s">
        <v>833</v>
      </c>
      <c r="H209" s="26" t="s">
        <v>57</v>
      </c>
      <c r="I209" s="44" t="s">
        <v>833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42">
        <v>46196</v>
      </c>
      <c r="O209" s="26" t="s">
        <v>55</v>
      </c>
      <c r="P209" s="44" t="s">
        <v>833</v>
      </c>
      <c r="Q209" s="26" t="s">
        <v>57</v>
      </c>
      <c r="R209" s="44" t="s">
        <v>833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833</v>
      </c>
      <c r="Z209" s="30" t="s">
        <v>57</v>
      </c>
      <c r="AA209" s="30" t="s">
        <v>833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 t="s">
        <v>61</v>
      </c>
      <c r="AG209" s="33" t="s">
        <v>55</v>
      </c>
      <c r="AH209" s="33" t="s">
        <v>833</v>
      </c>
      <c r="AI209" s="33" t="s">
        <v>57</v>
      </c>
      <c r="AJ209" s="33" t="s">
        <v>833</v>
      </c>
      <c r="AK209" s="33" t="s">
        <v>56</v>
      </c>
      <c r="AL209" s="27"/>
      <c r="AM209" s="34" t="s">
        <v>57</v>
      </c>
      <c r="AN209" s="35" t="str">
        <f t="shared" si="18"/>
        <v>✓ OK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5012</v>
      </c>
      <c r="C210" s="41" t="s">
        <v>5013</v>
      </c>
      <c r="D210" s="39" t="s">
        <v>4603</v>
      </c>
      <c r="E210" s="42">
        <v>46128</v>
      </c>
      <c r="F210" s="26" t="s">
        <v>55</v>
      </c>
      <c r="G210" s="44" t="s">
        <v>833</v>
      </c>
      <c r="H210" s="26" t="s">
        <v>57</v>
      </c>
      <c r="I210" s="44" t="s">
        <v>833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42">
        <v>46196</v>
      </c>
      <c r="O210" s="26" t="s">
        <v>55</v>
      </c>
      <c r="P210" s="44" t="s">
        <v>833</v>
      </c>
      <c r="Q210" s="26" t="s">
        <v>57</v>
      </c>
      <c r="R210" s="44" t="s">
        <v>833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833</v>
      </c>
      <c r="Z210" s="30" t="s">
        <v>57</v>
      </c>
      <c r="AA210" s="30" t="s">
        <v>833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 t="s">
        <v>61</v>
      </c>
      <c r="AG210" s="33" t="s">
        <v>55</v>
      </c>
      <c r="AH210" s="33" t="s">
        <v>833</v>
      </c>
      <c r="AI210" s="33" t="s">
        <v>57</v>
      </c>
      <c r="AJ210" s="33" t="s">
        <v>833</v>
      </c>
      <c r="AK210" s="33" t="s">
        <v>56</v>
      </c>
      <c r="AL210" s="27"/>
      <c r="AM210" s="34" t="s">
        <v>57</v>
      </c>
      <c r="AN210" s="35" t="str">
        <f t="shared" si="18"/>
        <v>✓ OK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5014</v>
      </c>
      <c r="C211" s="25" t="s">
        <v>5015</v>
      </c>
      <c r="D211" s="23" t="s">
        <v>4603</v>
      </c>
      <c r="E211" s="42">
        <v>46128</v>
      </c>
      <c r="F211" s="26" t="s">
        <v>55</v>
      </c>
      <c r="G211" s="44" t="s">
        <v>56</v>
      </c>
      <c r="H211" s="26" t="s">
        <v>57</v>
      </c>
      <c r="I211" s="44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42">
        <v>46196</v>
      </c>
      <c r="O211" s="26" t="s">
        <v>55</v>
      </c>
      <c r="P211" s="44" t="s">
        <v>56</v>
      </c>
      <c r="Q211" s="26" t="s">
        <v>57</v>
      </c>
      <c r="R211" s="44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 t="s">
        <v>61</v>
      </c>
      <c r="AG211" s="33" t="s">
        <v>55</v>
      </c>
      <c r="AH211" s="33" t="s">
        <v>56</v>
      </c>
      <c r="AI211" s="33" t="s">
        <v>57</v>
      </c>
      <c r="AJ211" s="33" t="s">
        <v>58</v>
      </c>
      <c r="AK211" s="33" t="s">
        <v>56</v>
      </c>
      <c r="AL211" s="27"/>
      <c r="AM211" s="34" t="s">
        <v>57</v>
      </c>
      <c r="AN211" s="35" t="str">
        <f t="shared" si="18"/>
        <v>✓ OK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5016</v>
      </c>
      <c r="C212" s="41" t="s">
        <v>5017</v>
      </c>
      <c r="D212" s="39" t="s">
        <v>4603</v>
      </c>
      <c r="E212" s="42">
        <v>46128</v>
      </c>
      <c r="F212" s="26" t="s">
        <v>55</v>
      </c>
      <c r="G212" s="44" t="s">
        <v>56</v>
      </c>
      <c r="H212" s="26" t="s">
        <v>57</v>
      </c>
      <c r="I212" s="44" t="s">
        <v>278</v>
      </c>
      <c r="J212" s="26" t="s">
        <v>57</v>
      </c>
      <c r="K212" s="27" t="s">
        <v>5018</v>
      </c>
      <c r="L212" s="28" t="s">
        <v>56</v>
      </c>
      <c r="M212" s="29" t="str">
        <f t="shared" si="15"/>
        <v>⚠ Check</v>
      </c>
      <c r="N212" s="42">
        <v>46196</v>
      </c>
      <c r="O212" s="26" t="s">
        <v>55</v>
      </c>
      <c r="P212" s="44" t="s">
        <v>56</v>
      </c>
      <c r="Q212" s="26" t="s">
        <v>57</v>
      </c>
      <c r="R212" s="44" t="s">
        <v>278</v>
      </c>
      <c r="S212" s="26" t="s">
        <v>57</v>
      </c>
      <c r="T212" s="27" t="s">
        <v>5018</v>
      </c>
      <c r="U212" s="28" t="s">
        <v>56</v>
      </c>
      <c r="V212" s="29" t="str">
        <f t="shared" si="16"/>
        <v>⚠ Check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278</v>
      </c>
      <c r="AB212" s="30" t="s">
        <v>57</v>
      </c>
      <c r="AC212" s="27" t="s">
        <v>5018</v>
      </c>
      <c r="AD212" s="31" t="s">
        <v>56</v>
      </c>
      <c r="AE212" s="32" t="str">
        <f t="shared" si="17"/>
        <v>⚠ Check</v>
      </c>
      <c r="AF212" s="33" t="s">
        <v>61</v>
      </c>
      <c r="AG212" s="33" t="s">
        <v>55</v>
      </c>
      <c r="AH212" s="33" t="s">
        <v>56</v>
      </c>
      <c r="AI212" s="33" t="s">
        <v>57</v>
      </c>
      <c r="AJ212" s="33" t="s">
        <v>58</v>
      </c>
      <c r="AK212" s="33" t="s">
        <v>56</v>
      </c>
      <c r="AL212" s="27" t="s">
        <v>5018</v>
      </c>
      <c r="AM212" s="34" t="s">
        <v>57</v>
      </c>
      <c r="AN212" s="35" t="str">
        <f t="shared" si="18"/>
        <v>✓ OK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5019</v>
      </c>
      <c r="C213" s="25" t="s">
        <v>5020</v>
      </c>
      <c r="D213" s="23" t="s">
        <v>4603</v>
      </c>
      <c r="E213" s="42">
        <v>46128</v>
      </c>
      <c r="F213" s="26" t="s">
        <v>55</v>
      </c>
      <c r="G213" s="44" t="s">
        <v>833</v>
      </c>
      <c r="H213" s="26" t="s">
        <v>57</v>
      </c>
      <c r="I213" s="44" t="s">
        <v>833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42">
        <v>46196</v>
      </c>
      <c r="O213" s="26" t="s">
        <v>55</v>
      </c>
      <c r="P213" s="44" t="s">
        <v>833</v>
      </c>
      <c r="Q213" s="26" t="s">
        <v>57</v>
      </c>
      <c r="R213" s="44" t="s">
        <v>833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833</v>
      </c>
      <c r="Z213" s="30" t="s">
        <v>57</v>
      </c>
      <c r="AA213" s="30" t="s">
        <v>833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 t="s">
        <v>61</v>
      </c>
      <c r="AG213" s="33" t="s">
        <v>55</v>
      </c>
      <c r="AH213" s="33" t="s">
        <v>833</v>
      </c>
      <c r="AI213" s="33" t="s">
        <v>57</v>
      </c>
      <c r="AJ213" s="33" t="s">
        <v>833</v>
      </c>
      <c r="AK213" s="33" t="s">
        <v>56</v>
      </c>
      <c r="AL213" s="27"/>
      <c r="AM213" s="34" t="s">
        <v>57</v>
      </c>
      <c r="AN213" s="35" t="str">
        <f t="shared" si="18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5021</v>
      </c>
      <c r="C214" s="41" t="s">
        <v>5022</v>
      </c>
      <c r="D214" s="39" t="s">
        <v>4603</v>
      </c>
      <c r="E214" s="42">
        <v>46128</v>
      </c>
      <c r="F214" s="26" t="s">
        <v>55</v>
      </c>
      <c r="G214" s="44" t="s">
        <v>833</v>
      </c>
      <c r="H214" s="26" t="s">
        <v>57</v>
      </c>
      <c r="I214" s="44" t="s">
        <v>833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42">
        <v>46196</v>
      </c>
      <c r="O214" s="26" t="s">
        <v>55</v>
      </c>
      <c r="P214" s="44" t="s">
        <v>833</v>
      </c>
      <c r="Q214" s="26" t="s">
        <v>57</v>
      </c>
      <c r="R214" s="44" t="s">
        <v>833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833</v>
      </c>
      <c r="Z214" s="30" t="s">
        <v>57</v>
      </c>
      <c r="AA214" s="30" t="s">
        <v>833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 t="s">
        <v>61</v>
      </c>
      <c r="AG214" s="33" t="s">
        <v>55</v>
      </c>
      <c r="AH214" s="33" t="s">
        <v>833</v>
      </c>
      <c r="AI214" s="33" t="s">
        <v>57</v>
      </c>
      <c r="AJ214" s="33" t="s">
        <v>833</v>
      </c>
      <c r="AK214" s="33" t="s">
        <v>56</v>
      </c>
      <c r="AL214" s="27"/>
      <c r="AM214" s="34" t="s">
        <v>57</v>
      </c>
      <c r="AN214" s="35" t="str">
        <f t="shared" si="18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5023</v>
      </c>
      <c r="C215" s="25" t="s">
        <v>5024</v>
      </c>
      <c r="D215" s="23" t="s">
        <v>4603</v>
      </c>
      <c r="E215" s="42">
        <v>46128</v>
      </c>
      <c r="F215" s="26" t="s">
        <v>55</v>
      </c>
      <c r="G215" s="44" t="s">
        <v>833</v>
      </c>
      <c r="H215" s="26" t="s">
        <v>57</v>
      </c>
      <c r="I215" s="44" t="s">
        <v>833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42">
        <v>46196</v>
      </c>
      <c r="O215" s="26" t="s">
        <v>55</v>
      </c>
      <c r="P215" s="44" t="s">
        <v>833</v>
      </c>
      <c r="Q215" s="26" t="s">
        <v>57</v>
      </c>
      <c r="R215" s="44" t="s">
        <v>833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833</v>
      </c>
      <c r="Z215" s="30" t="s">
        <v>57</v>
      </c>
      <c r="AA215" s="30" t="s">
        <v>833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 t="s">
        <v>61</v>
      </c>
      <c r="AG215" s="33" t="s">
        <v>55</v>
      </c>
      <c r="AH215" s="33" t="s">
        <v>833</v>
      </c>
      <c r="AI215" s="33" t="s">
        <v>57</v>
      </c>
      <c r="AJ215" s="33" t="s">
        <v>833</v>
      </c>
      <c r="AK215" s="33" t="s">
        <v>56</v>
      </c>
      <c r="AL215" s="27"/>
      <c r="AM215" s="34" t="s">
        <v>57</v>
      </c>
      <c r="AN215" s="35" t="str">
        <f t="shared" si="18"/>
        <v>✓ OK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5025</v>
      </c>
      <c r="C216" s="41" t="s">
        <v>5026</v>
      </c>
      <c r="D216" s="39" t="s">
        <v>4603</v>
      </c>
      <c r="E216" s="42">
        <v>46128</v>
      </c>
      <c r="F216" s="26" t="s">
        <v>55</v>
      </c>
      <c r="G216" s="44" t="s">
        <v>56</v>
      </c>
      <c r="H216" s="26" t="s">
        <v>57</v>
      </c>
      <c r="I216" s="44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42">
        <v>46196</v>
      </c>
      <c r="O216" s="26" t="s">
        <v>55</v>
      </c>
      <c r="P216" s="44" t="s">
        <v>56</v>
      </c>
      <c r="Q216" s="26" t="s">
        <v>57</v>
      </c>
      <c r="R216" s="44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 t="s">
        <v>61</v>
      </c>
      <c r="AG216" s="33" t="s">
        <v>55</v>
      </c>
      <c r="AH216" s="33" t="s">
        <v>56</v>
      </c>
      <c r="AI216" s="33" t="s">
        <v>57</v>
      </c>
      <c r="AJ216" s="33" t="s">
        <v>58</v>
      </c>
      <c r="AK216" s="33" t="s">
        <v>56</v>
      </c>
      <c r="AL216" s="27"/>
      <c r="AM216" s="34" t="s">
        <v>57</v>
      </c>
      <c r="AN216" s="35" t="str">
        <f t="shared" si="18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5027</v>
      </c>
      <c r="C217" s="25" t="s">
        <v>5028</v>
      </c>
      <c r="D217" s="23" t="s">
        <v>4603</v>
      </c>
      <c r="E217" s="42">
        <v>46128</v>
      </c>
      <c r="F217" s="26" t="s">
        <v>55</v>
      </c>
      <c r="G217" s="44" t="s">
        <v>833</v>
      </c>
      <c r="H217" s="26" t="s">
        <v>57</v>
      </c>
      <c r="I217" s="44" t="s">
        <v>833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42">
        <v>46196</v>
      </c>
      <c r="O217" s="26" t="s">
        <v>55</v>
      </c>
      <c r="P217" s="44" t="s">
        <v>833</v>
      </c>
      <c r="Q217" s="26" t="s">
        <v>57</v>
      </c>
      <c r="R217" s="44" t="s">
        <v>833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833</v>
      </c>
      <c r="Z217" s="30" t="s">
        <v>57</v>
      </c>
      <c r="AA217" s="30" t="s">
        <v>833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 t="s">
        <v>61</v>
      </c>
      <c r="AG217" s="33" t="s">
        <v>55</v>
      </c>
      <c r="AH217" s="33" t="s">
        <v>833</v>
      </c>
      <c r="AI217" s="33" t="s">
        <v>57</v>
      </c>
      <c r="AJ217" s="33" t="s">
        <v>833</v>
      </c>
      <c r="AK217" s="33" t="s">
        <v>56</v>
      </c>
      <c r="AL217" s="27"/>
      <c r="AM217" s="34" t="s">
        <v>57</v>
      </c>
      <c r="AN217" s="35" t="str">
        <f t="shared" si="18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5029</v>
      </c>
      <c r="C218" s="41" t="s">
        <v>5030</v>
      </c>
      <c r="D218" s="39" t="s">
        <v>4603</v>
      </c>
      <c r="E218" s="42">
        <v>46128</v>
      </c>
      <c r="F218" s="26" t="s">
        <v>55</v>
      </c>
      <c r="G218" s="44" t="s">
        <v>833</v>
      </c>
      <c r="H218" s="26" t="s">
        <v>57</v>
      </c>
      <c r="I218" s="44" t="s">
        <v>833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42">
        <v>46196</v>
      </c>
      <c r="O218" s="26" t="s">
        <v>55</v>
      </c>
      <c r="P218" s="44" t="s">
        <v>833</v>
      </c>
      <c r="Q218" s="26" t="s">
        <v>57</v>
      </c>
      <c r="R218" s="44" t="s">
        <v>833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833</v>
      </c>
      <c r="Z218" s="30" t="s">
        <v>57</v>
      </c>
      <c r="AA218" s="30" t="s">
        <v>833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 t="s">
        <v>61</v>
      </c>
      <c r="AG218" s="33" t="s">
        <v>55</v>
      </c>
      <c r="AH218" s="33" t="s">
        <v>833</v>
      </c>
      <c r="AI218" s="33" t="s">
        <v>57</v>
      </c>
      <c r="AJ218" s="33" t="s">
        <v>833</v>
      </c>
      <c r="AK218" s="33" t="s">
        <v>56</v>
      </c>
      <c r="AL218" s="27"/>
      <c r="AM218" s="34" t="s">
        <v>57</v>
      </c>
      <c r="AN218" s="35" t="str">
        <f t="shared" si="18"/>
        <v>✓ OK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5031</v>
      </c>
      <c r="C219" s="25" t="s">
        <v>5032</v>
      </c>
      <c r="D219" s="23" t="s">
        <v>4603</v>
      </c>
      <c r="E219" s="42">
        <v>46128</v>
      </c>
      <c r="F219" s="26" t="s">
        <v>55</v>
      </c>
      <c r="G219" s="44" t="s">
        <v>833</v>
      </c>
      <c r="H219" s="26" t="s">
        <v>57</v>
      </c>
      <c r="I219" s="44" t="s">
        <v>833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42">
        <v>46196</v>
      </c>
      <c r="O219" s="26" t="s">
        <v>55</v>
      </c>
      <c r="P219" s="44" t="s">
        <v>833</v>
      </c>
      <c r="Q219" s="26" t="s">
        <v>57</v>
      </c>
      <c r="R219" s="44" t="s">
        <v>833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833</v>
      </c>
      <c r="Z219" s="30" t="s">
        <v>57</v>
      </c>
      <c r="AA219" s="30" t="s">
        <v>833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 t="s">
        <v>61</v>
      </c>
      <c r="AG219" s="33" t="s">
        <v>55</v>
      </c>
      <c r="AH219" s="33" t="s">
        <v>833</v>
      </c>
      <c r="AI219" s="33" t="s">
        <v>57</v>
      </c>
      <c r="AJ219" s="33" t="s">
        <v>833</v>
      </c>
      <c r="AK219" s="33" t="s">
        <v>56</v>
      </c>
      <c r="AL219" s="27"/>
      <c r="AM219" s="34" t="s">
        <v>57</v>
      </c>
      <c r="AN219" s="35" t="str">
        <f t="shared" si="18"/>
        <v>✓ OK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5033</v>
      </c>
      <c r="C220" s="41" t="s">
        <v>5034</v>
      </c>
      <c r="D220" s="39" t="s">
        <v>4603</v>
      </c>
      <c r="E220" s="42">
        <v>46128</v>
      </c>
      <c r="F220" s="26" t="s">
        <v>55</v>
      </c>
      <c r="G220" s="44" t="s">
        <v>833</v>
      </c>
      <c r="H220" s="26" t="s">
        <v>57</v>
      </c>
      <c r="I220" s="44" t="s">
        <v>833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42">
        <v>46196</v>
      </c>
      <c r="O220" s="26" t="s">
        <v>55</v>
      </c>
      <c r="P220" s="44" t="s">
        <v>833</v>
      </c>
      <c r="Q220" s="26" t="s">
        <v>57</v>
      </c>
      <c r="R220" s="44" t="s">
        <v>833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833</v>
      </c>
      <c r="Z220" s="30" t="s">
        <v>57</v>
      </c>
      <c r="AA220" s="30" t="s">
        <v>833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 t="s">
        <v>61</v>
      </c>
      <c r="AG220" s="33" t="s">
        <v>55</v>
      </c>
      <c r="AH220" s="33" t="s">
        <v>833</v>
      </c>
      <c r="AI220" s="33" t="s">
        <v>57</v>
      </c>
      <c r="AJ220" s="33" t="s">
        <v>833</v>
      </c>
      <c r="AK220" s="33" t="s">
        <v>56</v>
      </c>
      <c r="AL220" s="27"/>
      <c r="AM220" s="34" t="s">
        <v>57</v>
      </c>
      <c r="AN220" s="35" t="str">
        <f t="shared" si="18"/>
        <v>✓ OK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5035</v>
      </c>
      <c r="C221" s="25" t="s">
        <v>5036</v>
      </c>
      <c r="D221" s="23" t="s">
        <v>4603</v>
      </c>
      <c r="E221" s="42">
        <v>46128</v>
      </c>
      <c r="F221" s="26" t="s">
        <v>55</v>
      </c>
      <c r="G221" s="44" t="s">
        <v>833</v>
      </c>
      <c r="H221" s="26" t="s">
        <v>57</v>
      </c>
      <c r="I221" s="44" t="s">
        <v>833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42">
        <v>46196</v>
      </c>
      <c r="O221" s="26" t="s">
        <v>55</v>
      </c>
      <c r="P221" s="44" t="s">
        <v>833</v>
      </c>
      <c r="Q221" s="26" t="s">
        <v>57</v>
      </c>
      <c r="R221" s="44" t="s">
        <v>833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833</v>
      </c>
      <c r="Z221" s="30" t="s">
        <v>57</v>
      </c>
      <c r="AA221" s="30" t="s">
        <v>833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 t="s">
        <v>61</v>
      </c>
      <c r="AG221" s="33" t="s">
        <v>55</v>
      </c>
      <c r="AH221" s="33" t="s">
        <v>833</v>
      </c>
      <c r="AI221" s="33" t="s">
        <v>57</v>
      </c>
      <c r="AJ221" s="33" t="s">
        <v>833</v>
      </c>
      <c r="AK221" s="33" t="s">
        <v>56</v>
      </c>
      <c r="AL221" s="27"/>
      <c r="AM221" s="34" t="s">
        <v>57</v>
      </c>
      <c r="AN221" s="35" t="str">
        <f t="shared" si="18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5037</v>
      </c>
      <c r="C222" s="41" t="s">
        <v>5038</v>
      </c>
      <c r="D222" s="39" t="s">
        <v>4603</v>
      </c>
      <c r="E222" s="42">
        <v>46128</v>
      </c>
      <c r="F222" s="26" t="s">
        <v>55</v>
      </c>
      <c r="G222" s="44" t="s">
        <v>833</v>
      </c>
      <c r="H222" s="26" t="s">
        <v>57</v>
      </c>
      <c r="I222" s="44" t="s">
        <v>833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42">
        <v>46196</v>
      </c>
      <c r="O222" s="26" t="s">
        <v>55</v>
      </c>
      <c r="P222" s="44" t="s">
        <v>833</v>
      </c>
      <c r="Q222" s="26" t="s">
        <v>57</v>
      </c>
      <c r="R222" s="44" t="s">
        <v>833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833</v>
      </c>
      <c r="Z222" s="30" t="s">
        <v>57</v>
      </c>
      <c r="AA222" s="30" t="s">
        <v>833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 t="s">
        <v>61</v>
      </c>
      <c r="AG222" s="33" t="s">
        <v>55</v>
      </c>
      <c r="AH222" s="33" t="s">
        <v>833</v>
      </c>
      <c r="AI222" s="33" t="s">
        <v>57</v>
      </c>
      <c r="AJ222" s="33" t="s">
        <v>833</v>
      </c>
      <c r="AK222" s="33" t="s">
        <v>56</v>
      </c>
      <c r="AL222" s="27"/>
      <c r="AM222" s="34" t="s">
        <v>57</v>
      </c>
      <c r="AN222" s="35" t="str">
        <f t="shared" si="18"/>
        <v>✓ OK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5039</v>
      </c>
      <c r="C223" s="25" t="s">
        <v>5040</v>
      </c>
      <c r="D223" s="23" t="s">
        <v>4603</v>
      </c>
      <c r="E223" s="42">
        <v>46128</v>
      </c>
      <c r="F223" s="26" t="s">
        <v>55</v>
      </c>
      <c r="G223" s="44" t="s">
        <v>833</v>
      </c>
      <c r="H223" s="26" t="s">
        <v>57</v>
      </c>
      <c r="I223" s="44" t="s">
        <v>833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42">
        <v>46196</v>
      </c>
      <c r="O223" s="26" t="s">
        <v>55</v>
      </c>
      <c r="P223" s="44" t="s">
        <v>833</v>
      </c>
      <c r="Q223" s="26" t="s">
        <v>57</v>
      </c>
      <c r="R223" s="44" t="s">
        <v>833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833</v>
      </c>
      <c r="Z223" s="30" t="s">
        <v>57</v>
      </c>
      <c r="AA223" s="30" t="s">
        <v>833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 t="s">
        <v>61</v>
      </c>
      <c r="AG223" s="33" t="s">
        <v>55</v>
      </c>
      <c r="AH223" s="33" t="s">
        <v>833</v>
      </c>
      <c r="AI223" s="33" t="s">
        <v>57</v>
      </c>
      <c r="AJ223" s="33" t="s">
        <v>833</v>
      </c>
      <c r="AK223" s="33" t="s">
        <v>56</v>
      </c>
      <c r="AL223" s="27"/>
      <c r="AM223" s="34" t="s">
        <v>57</v>
      </c>
      <c r="AN223" s="35" t="str">
        <f t="shared" si="18"/>
        <v>✓ OK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5041</v>
      </c>
      <c r="C224" s="41" t="s">
        <v>5042</v>
      </c>
      <c r="D224" s="39" t="s">
        <v>4603</v>
      </c>
      <c r="E224" s="42">
        <v>46128</v>
      </c>
      <c r="F224" s="26" t="s">
        <v>55</v>
      </c>
      <c r="G224" s="44" t="s">
        <v>56</v>
      </c>
      <c r="H224" s="26" t="s">
        <v>57</v>
      </c>
      <c r="I224" s="44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42">
        <v>46196</v>
      </c>
      <c r="O224" s="26" t="s">
        <v>55</v>
      </c>
      <c r="P224" s="44" t="s">
        <v>56</v>
      </c>
      <c r="Q224" s="26" t="s">
        <v>57</v>
      </c>
      <c r="R224" s="44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 t="s">
        <v>61</v>
      </c>
      <c r="AG224" s="33" t="s">
        <v>55</v>
      </c>
      <c r="AH224" s="33" t="s">
        <v>56</v>
      </c>
      <c r="AI224" s="33" t="s">
        <v>57</v>
      </c>
      <c r="AJ224" s="33" t="s">
        <v>58</v>
      </c>
      <c r="AK224" s="33" t="s">
        <v>56</v>
      </c>
      <c r="AL224" s="27"/>
      <c r="AM224" s="34" t="s">
        <v>57</v>
      </c>
      <c r="AN224" s="35" t="str">
        <f t="shared" si="18"/>
        <v>✓ OK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5043</v>
      </c>
      <c r="C225" s="25" t="s">
        <v>5044</v>
      </c>
      <c r="D225" s="23" t="s">
        <v>4603</v>
      </c>
      <c r="E225" s="42">
        <v>46128</v>
      </c>
      <c r="F225" s="26" t="s">
        <v>55</v>
      </c>
      <c r="G225" s="44" t="s">
        <v>833</v>
      </c>
      <c r="H225" s="26" t="s">
        <v>57</v>
      </c>
      <c r="I225" s="44" t="s">
        <v>833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42">
        <v>46196</v>
      </c>
      <c r="O225" s="26" t="s">
        <v>55</v>
      </c>
      <c r="P225" s="44" t="s">
        <v>833</v>
      </c>
      <c r="Q225" s="26" t="s">
        <v>57</v>
      </c>
      <c r="R225" s="44" t="s">
        <v>833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833</v>
      </c>
      <c r="Z225" s="30" t="s">
        <v>57</v>
      </c>
      <c r="AA225" s="30" t="s">
        <v>833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 t="s">
        <v>61</v>
      </c>
      <c r="AG225" s="33" t="s">
        <v>55</v>
      </c>
      <c r="AH225" s="33" t="s">
        <v>833</v>
      </c>
      <c r="AI225" s="33" t="s">
        <v>57</v>
      </c>
      <c r="AJ225" s="33" t="s">
        <v>833</v>
      </c>
      <c r="AK225" s="33" t="s">
        <v>56</v>
      </c>
      <c r="AL225" s="27"/>
      <c r="AM225" s="34" t="s">
        <v>57</v>
      </c>
      <c r="AN225" s="35" t="str">
        <f t="shared" si="18"/>
        <v>✓ OK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5045</v>
      </c>
      <c r="C226" s="41" t="s">
        <v>5046</v>
      </c>
      <c r="D226" s="39" t="s">
        <v>4603</v>
      </c>
      <c r="E226" s="42">
        <v>46128</v>
      </c>
      <c r="F226" s="26" t="s">
        <v>55</v>
      </c>
      <c r="G226" s="44" t="s">
        <v>833</v>
      </c>
      <c r="H226" s="26" t="s">
        <v>57</v>
      </c>
      <c r="I226" s="44" t="s">
        <v>833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42">
        <v>46196</v>
      </c>
      <c r="O226" s="26" t="s">
        <v>55</v>
      </c>
      <c r="P226" s="44" t="s">
        <v>833</v>
      </c>
      <c r="Q226" s="26" t="s">
        <v>57</v>
      </c>
      <c r="R226" s="44" t="s">
        <v>833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833</v>
      </c>
      <c r="Z226" s="30" t="s">
        <v>57</v>
      </c>
      <c r="AA226" s="30" t="s">
        <v>833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 t="s">
        <v>61</v>
      </c>
      <c r="AG226" s="33" t="s">
        <v>55</v>
      </c>
      <c r="AH226" s="33" t="s">
        <v>833</v>
      </c>
      <c r="AI226" s="33" t="s">
        <v>57</v>
      </c>
      <c r="AJ226" s="33" t="s">
        <v>833</v>
      </c>
      <c r="AK226" s="33" t="s">
        <v>56</v>
      </c>
      <c r="AL226" s="27"/>
      <c r="AM226" s="34" t="s">
        <v>57</v>
      </c>
      <c r="AN226" s="35" t="str">
        <f t="shared" si="18"/>
        <v>✓ OK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5047</v>
      </c>
      <c r="C227" s="25" t="s">
        <v>5048</v>
      </c>
      <c r="D227" s="23" t="s">
        <v>4603</v>
      </c>
      <c r="E227" s="42">
        <v>46128</v>
      </c>
      <c r="F227" s="26" t="s">
        <v>55</v>
      </c>
      <c r="G227" s="44" t="s">
        <v>833</v>
      </c>
      <c r="H227" s="26" t="s">
        <v>57</v>
      </c>
      <c r="I227" s="44" t="s">
        <v>833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42">
        <v>46196</v>
      </c>
      <c r="O227" s="26" t="s">
        <v>55</v>
      </c>
      <c r="P227" s="44" t="s">
        <v>833</v>
      </c>
      <c r="Q227" s="26" t="s">
        <v>57</v>
      </c>
      <c r="R227" s="44" t="s">
        <v>833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833</v>
      </c>
      <c r="Z227" s="30" t="s">
        <v>57</v>
      </c>
      <c r="AA227" s="30" t="s">
        <v>833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 t="s">
        <v>61</v>
      </c>
      <c r="AG227" s="33" t="s">
        <v>55</v>
      </c>
      <c r="AH227" s="33" t="s">
        <v>833</v>
      </c>
      <c r="AI227" s="33" t="s">
        <v>57</v>
      </c>
      <c r="AJ227" s="33" t="s">
        <v>833</v>
      </c>
      <c r="AK227" s="33" t="s">
        <v>56</v>
      </c>
      <c r="AL227" s="27"/>
      <c r="AM227" s="34" t="s">
        <v>57</v>
      </c>
      <c r="AN227" s="35" t="str">
        <f t="shared" si="18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5049</v>
      </c>
      <c r="C228" s="41" t="s">
        <v>5050</v>
      </c>
      <c r="D228" s="39" t="s">
        <v>4603</v>
      </c>
      <c r="E228" s="42">
        <v>46128</v>
      </c>
      <c r="F228" s="26" t="s">
        <v>55</v>
      </c>
      <c r="G228" s="44" t="s">
        <v>56</v>
      </c>
      <c r="H228" s="26" t="s">
        <v>57</v>
      </c>
      <c r="I228" s="44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42">
        <v>46196</v>
      </c>
      <c r="O228" s="26" t="s">
        <v>55</v>
      </c>
      <c r="P228" s="44" t="s">
        <v>56</v>
      </c>
      <c r="Q228" s="26" t="s">
        <v>57</v>
      </c>
      <c r="R228" s="44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 t="s">
        <v>61</v>
      </c>
      <c r="AG228" s="33" t="s">
        <v>55</v>
      </c>
      <c r="AH228" s="33" t="s">
        <v>56</v>
      </c>
      <c r="AI228" s="33" t="s">
        <v>57</v>
      </c>
      <c r="AJ228" s="33" t="s">
        <v>58</v>
      </c>
      <c r="AK228" s="33" t="s">
        <v>56</v>
      </c>
      <c r="AL228" s="27"/>
      <c r="AM228" s="34" t="s">
        <v>57</v>
      </c>
      <c r="AN228" s="35" t="str">
        <f t="shared" si="18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5051</v>
      </c>
      <c r="C229" s="25" t="s">
        <v>5052</v>
      </c>
      <c r="D229" s="23" t="s">
        <v>4603</v>
      </c>
      <c r="E229" s="42">
        <v>46128</v>
      </c>
      <c r="F229" s="26" t="s">
        <v>55</v>
      </c>
      <c r="G229" s="44" t="s">
        <v>833</v>
      </c>
      <c r="H229" s="26" t="s">
        <v>57</v>
      </c>
      <c r="I229" s="44" t="s">
        <v>833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42">
        <v>46196</v>
      </c>
      <c r="O229" s="26" t="s">
        <v>55</v>
      </c>
      <c r="P229" s="44" t="s">
        <v>833</v>
      </c>
      <c r="Q229" s="26" t="s">
        <v>57</v>
      </c>
      <c r="R229" s="44" t="s">
        <v>833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833</v>
      </c>
      <c r="Z229" s="30" t="s">
        <v>57</v>
      </c>
      <c r="AA229" s="30" t="s">
        <v>833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 t="s">
        <v>61</v>
      </c>
      <c r="AG229" s="33" t="s">
        <v>55</v>
      </c>
      <c r="AH229" s="33" t="s">
        <v>833</v>
      </c>
      <c r="AI229" s="33" t="s">
        <v>57</v>
      </c>
      <c r="AJ229" s="33" t="s">
        <v>833</v>
      </c>
      <c r="AK229" s="33" t="s">
        <v>56</v>
      </c>
      <c r="AL229" s="27"/>
      <c r="AM229" s="34" t="s">
        <v>57</v>
      </c>
      <c r="AN229" s="35" t="str">
        <f t="shared" si="18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5053</v>
      </c>
      <c r="C230" s="41" t="s">
        <v>5054</v>
      </c>
      <c r="D230" s="39" t="s">
        <v>4603</v>
      </c>
      <c r="E230" s="42">
        <v>46128</v>
      </c>
      <c r="F230" s="26" t="s">
        <v>55</v>
      </c>
      <c r="G230" s="44" t="s">
        <v>833</v>
      </c>
      <c r="H230" s="26" t="s">
        <v>57</v>
      </c>
      <c r="I230" s="44" t="s">
        <v>833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42">
        <v>46196</v>
      </c>
      <c r="O230" s="26" t="s">
        <v>55</v>
      </c>
      <c r="P230" s="44" t="s">
        <v>833</v>
      </c>
      <c r="Q230" s="26" t="s">
        <v>57</v>
      </c>
      <c r="R230" s="44" t="s">
        <v>833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833</v>
      </c>
      <c r="Z230" s="30" t="s">
        <v>57</v>
      </c>
      <c r="AA230" s="30" t="s">
        <v>833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 t="s">
        <v>61</v>
      </c>
      <c r="AG230" s="33" t="s">
        <v>55</v>
      </c>
      <c r="AH230" s="33" t="s">
        <v>833</v>
      </c>
      <c r="AI230" s="33" t="s">
        <v>57</v>
      </c>
      <c r="AJ230" s="33" t="s">
        <v>833</v>
      </c>
      <c r="AK230" s="33" t="s">
        <v>56</v>
      </c>
      <c r="AL230" s="27"/>
      <c r="AM230" s="34" t="s">
        <v>57</v>
      </c>
      <c r="AN230" s="35" t="str">
        <f t="shared" si="18"/>
        <v>✓ OK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5055</v>
      </c>
      <c r="C231" s="25" t="s">
        <v>5056</v>
      </c>
      <c r="D231" s="23" t="s">
        <v>4603</v>
      </c>
      <c r="E231" s="42">
        <v>46128</v>
      </c>
      <c r="F231" s="26" t="s">
        <v>55</v>
      </c>
      <c r="G231" s="44" t="s">
        <v>833</v>
      </c>
      <c r="H231" s="26" t="s">
        <v>57</v>
      </c>
      <c r="I231" s="44" t="s">
        <v>833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42">
        <v>46196</v>
      </c>
      <c r="O231" s="26" t="s">
        <v>55</v>
      </c>
      <c r="P231" s="44" t="s">
        <v>833</v>
      </c>
      <c r="Q231" s="26" t="s">
        <v>57</v>
      </c>
      <c r="R231" s="44" t="s">
        <v>833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833</v>
      </c>
      <c r="Z231" s="30" t="s">
        <v>57</v>
      </c>
      <c r="AA231" s="30" t="s">
        <v>833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 t="s">
        <v>61</v>
      </c>
      <c r="AG231" s="33" t="s">
        <v>55</v>
      </c>
      <c r="AH231" s="33" t="s">
        <v>833</v>
      </c>
      <c r="AI231" s="33" t="s">
        <v>57</v>
      </c>
      <c r="AJ231" s="33" t="s">
        <v>833</v>
      </c>
      <c r="AK231" s="33" t="s">
        <v>56</v>
      </c>
      <c r="AL231" s="27"/>
      <c r="AM231" s="34" t="s">
        <v>57</v>
      </c>
      <c r="AN231" s="35" t="str">
        <f t="shared" si="18"/>
        <v>✓ OK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5057</v>
      </c>
      <c r="C232" s="41" t="s">
        <v>5058</v>
      </c>
      <c r="D232" s="39" t="s">
        <v>4603</v>
      </c>
      <c r="E232" s="42">
        <v>46128</v>
      </c>
      <c r="F232" s="26" t="s">
        <v>55</v>
      </c>
      <c r="G232" s="44" t="s">
        <v>56</v>
      </c>
      <c r="H232" s="26" t="s">
        <v>57</v>
      </c>
      <c r="I232" s="44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42">
        <v>46196</v>
      </c>
      <c r="O232" s="26" t="s">
        <v>55</v>
      </c>
      <c r="P232" s="44" t="s">
        <v>56</v>
      </c>
      <c r="Q232" s="26" t="s">
        <v>57</v>
      </c>
      <c r="R232" s="44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 t="s">
        <v>61</v>
      </c>
      <c r="AG232" s="33" t="s">
        <v>55</v>
      </c>
      <c r="AH232" s="33" t="s">
        <v>56</v>
      </c>
      <c r="AI232" s="33" t="s">
        <v>57</v>
      </c>
      <c r="AJ232" s="33" t="s">
        <v>58</v>
      </c>
      <c r="AK232" s="33" t="s">
        <v>56</v>
      </c>
      <c r="AL232" s="27"/>
      <c r="AM232" s="34" t="s">
        <v>57</v>
      </c>
      <c r="AN232" s="35" t="str">
        <f t="shared" si="18"/>
        <v>✓ OK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5059</v>
      </c>
      <c r="C233" s="25" t="s">
        <v>5060</v>
      </c>
      <c r="D233" s="23" t="s">
        <v>4603</v>
      </c>
      <c r="E233" s="42">
        <v>46128</v>
      </c>
      <c r="F233" s="26" t="s">
        <v>55</v>
      </c>
      <c r="G233" s="44" t="s">
        <v>833</v>
      </c>
      <c r="H233" s="26" t="s">
        <v>57</v>
      </c>
      <c r="I233" s="44" t="s">
        <v>833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42">
        <v>46196</v>
      </c>
      <c r="O233" s="26" t="s">
        <v>55</v>
      </c>
      <c r="P233" s="44" t="s">
        <v>833</v>
      </c>
      <c r="Q233" s="26" t="s">
        <v>57</v>
      </c>
      <c r="R233" s="44" t="s">
        <v>833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833</v>
      </c>
      <c r="Z233" s="30" t="s">
        <v>57</v>
      </c>
      <c r="AA233" s="30" t="s">
        <v>833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 t="s">
        <v>61</v>
      </c>
      <c r="AG233" s="33" t="s">
        <v>55</v>
      </c>
      <c r="AH233" s="33" t="s">
        <v>833</v>
      </c>
      <c r="AI233" s="33" t="s">
        <v>57</v>
      </c>
      <c r="AJ233" s="33" t="s">
        <v>833</v>
      </c>
      <c r="AK233" s="33" t="s">
        <v>56</v>
      </c>
      <c r="AL233" s="27"/>
      <c r="AM233" s="34" t="s">
        <v>57</v>
      </c>
      <c r="AN233" s="35" t="str">
        <f t="shared" si="18"/>
        <v>✓ OK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5061</v>
      </c>
      <c r="C234" s="41" t="s">
        <v>5062</v>
      </c>
      <c r="D234" s="39" t="s">
        <v>4603</v>
      </c>
      <c r="E234" s="42">
        <v>46128</v>
      </c>
      <c r="F234" s="26" t="s">
        <v>55</v>
      </c>
      <c r="G234" s="44" t="s">
        <v>833</v>
      </c>
      <c r="H234" s="26" t="s">
        <v>57</v>
      </c>
      <c r="I234" s="44" t="s">
        <v>833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42">
        <v>46196</v>
      </c>
      <c r="O234" s="26" t="s">
        <v>55</v>
      </c>
      <c r="P234" s="44" t="s">
        <v>833</v>
      </c>
      <c r="Q234" s="26" t="s">
        <v>57</v>
      </c>
      <c r="R234" s="44" t="s">
        <v>833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833</v>
      </c>
      <c r="Z234" s="30" t="s">
        <v>57</v>
      </c>
      <c r="AA234" s="30" t="s">
        <v>833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 t="s">
        <v>61</v>
      </c>
      <c r="AG234" s="33" t="s">
        <v>55</v>
      </c>
      <c r="AH234" s="33" t="s">
        <v>833</v>
      </c>
      <c r="AI234" s="33" t="s">
        <v>57</v>
      </c>
      <c r="AJ234" s="33" t="s">
        <v>833</v>
      </c>
      <c r="AK234" s="33" t="s">
        <v>56</v>
      </c>
      <c r="AL234" s="27"/>
      <c r="AM234" s="34" t="s">
        <v>57</v>
      </c>
      <c r="AN234" s="35" t="str">
        <f t="shared" si="18"/>
        <v>✓ OK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5063</v>
      </c>
      <c r="C235" s="25" t="s">
        <v>5064</v>
      </c>
      <c r="D235" s="23" t="s">
        <v>4603</v>
      </c>
      <c r="E235" s="42">
        <v>46128</v>
      </c>
      <c r="F235" s="26" t="s">
        <v>55</v>
      </c>
      <c r="G235" s="44" t="s">
        <v>833</v>
      </c>
      <c r="H235" s="26" t="s">
        <v>57</v>
      </c>
      <c r="I235" s="44" t="s">
        <v>833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42">
        <v>46196</v>
      </c>
      <c r="O235" s="26" t="s">
        <v>55</v>
      </c>
      <c r="P235" s="44" t="s">
        <v>833</v>
      </c>
      <c r="Q235" s="26" t="s">
        <v>57</v>
      </c>
      <c r="R235" s="44" t="s">
        <v>833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833</v>
      </c>
      <c r="Z235" s="30" t="s">
        <v>57</v>
      </c>
      <c r="AA235" s="30" t="s">
        <v>833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 t="s">
        <v>61</v>
      </c>
      <c r="AG235" s="33" t="s">
        <v>55</v>
      </c>
      <c r="AH235" s="33" t="s">
        <v>833</v>
      </c>
      <c r="AI235" s="33" t="s">
        <v>57</v>
      </c>
      <c r="AJ235" s="33" t="s">
        <v>833</v>
      </c>
      <c r="AK235" s="33" t="s">
        <v>56</v>
      </c>
      <c r="AL235" s="27"/>
      <c r="AM235" s="34" t="s">
        <v>57</v>
      </c>
      <c r="AN235" s="35" t="str">
        <f t="shared" si="18"/>
        <v>✓ OK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5065</v>
      </c>
      <c r="C236" s="41" t="s">
        <v>5066</v>
      </c>
      <c r="D236" s="39" t="s">
        <v>4603</v>
      </c>
      <c r="E236" s="42">
        <v>46128</v>
      </c>
      <c r="F236" s="26" t="s">
        <v>55</v>
      </c>
      <c r="G236" s="44" t="s">
        <v>833</v>
      </c>
      <c r="H236" s="26" t="s">
        <v>57</v>
      </c>
      <c r="I236" s="44" t="s">
        <v>833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42">
        <v>46196</v>
      </c>
      <c r="O236" s="26" t="s">
        <v>55</v>
      </c>
      <c r="P236" s="44" t="s">
        <v>833</v>
      </c>
      <c r="Q236" s="26" t="s">
        <v>57</v>
      </c>
      <c r="R236" s="44" t="s">
        <v>833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833</v>
      </c>
      <c r="Z236" s="30" t="s">
        <v>57</v>
      </c>
      <c r="AA236" s="30" t="s">
        <v>833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 t="s">
        <v>61</v>
      </c>
      <c r="AG236" s="33" t="s">
        <v>55</v>
      </c>
      <c r="AH236" s="33" t="s">
        <v>833</v>
      </c>
      <c r="AI236" s="33" t="s">
        <v>57</v>
      </c>
      <c r="AJ236" s="33" t="s">
        <v>833</v>
      </c>
      <c r="AK236" s="33" t="s">
        <v>56</v>
      </c>
      <c r="AL236" s="27"/>
      <c r="AM236" s="34" t="s">
        <v>57</v>
      </c>
      <c r="AN236" s="35" t="str">
        <f t="shared" si="18"/>
        <v>✓ OK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5067</v>
      </c>
      <c r="C237" s="25" t="s">
        <v>5068</v>
      </c>
      <c r="D237" s="23" t="s">
        <v>4603</v>
      </c>
      <c r="E237" s="42">
        <v>46128</v>
      </c>
      <c r="F237" s="26" t="s">
        <v>55</v>
      </c>
      <c r="G237" s="44" t="s">
        <v>833</v>
      </c>
      <c r="H237" s="26" t="s">
        <v>57</v>
      </c>
      <c r="I237" s="44" t="s">
        <v>833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42">
        <v>46196</v>
      </c>
      <c r="O237" s="26" t="s">
        <v>55</v>
      </c>
      <c r="P237" s="44" t="s">
        <v>833</v>
      </c>
      <c r="Q237" s="26" t="s">
        <v>57</v>
      </c>
      <c r="R237" s="44" t="s">
        <v>833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833</v>
      </c>
      <c r="Z237" s="30" t="s">
        <v>57</v>
      </c>
      <c r="AA237" s="30" t="s">
        <v>833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 t="s">
        <v>61</v>
      </c>
      <c r="AG237" s="33" t="s">
        <v>55</v>
      </c>
      <c r="AH237" s="33" t="s">
        <v>833</v>
      </c>
      <c r="AI237" s="33" t="s">
        <v>57</v>
      </c>
      <c r="AJ237" s="33" t="s">
        <v>833</v>
      </c>
      <c r="AK237" s="33" t="s">
        <v>56</v>
      </c>
      <c r="AL237" s="27"/>
      <c r="AM237" s="34" t="s">
        <v>57</v>
      </c>
      <c r="AN237" s="35" t="str">
        <f t="shared" si="18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5069</v>
      </c>
      <c r="C238" s="41" t="s">
        <v>5070</v>
      </c>
      <c r="D238" s="39" t="s">
        <v>4603</v>
      </c>
      <c r="E238" s="42">
        <v>46128</v>
      </c>
      <c r="F238" s="26" t="s">
        <v>55</v>
      </c>
      <c r="G238" s="44" t="s">
        <v>833</v>
      </c>
      <c r="H238" s="26" t="s">
        <v>57</v>
      </c>
      <c r="I238" s="44" t="s">
        <v>833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42">
        <v>46196</v>
      </c>
      <c r="O238" s="26" t="s">
        <v>55</v>
      </c>
      <c r="P238" s="44" t="s">
        <v>833</v>
      </c>
      <c r="Q238" s="26" t="s">
        <v>57</v>
      </c>
      <c r="R238" s="44" t="s">
        <v>833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833</v>
      </c>
      <c r="Z238" s="30" t="s">
        <v>57</v>
      </c>
      <c r="AA238" s="30" t="s">
        <v>833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 t="s">
        <v>61</v>
      </c>
      <c r="AG238" s="33" t="s">
        <v>55</v>
      </c>
      <c r="AH238" s="33" t="s">
        <v>833</v>
      </c>
      <c r="AI238" s="33" t="s">
        <v>57</v>
      </c>
      <c r="AJ238" s="33" t="s">
        <v>833</v>
      </c>
      <c r="AK238" s="33" t="s">
        <v>56</v>
      </c>
      <c r="AL238" s="27"/>
      <c r="AM238" s="34" t="s">
        <v>57</v>
      </c>
      <c r="AN238" s="35" t="str">
        <f t="shared" si="18"/>
        <v>✓ OK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5071</v>
      </c>
      <c r="C239" s="25" t="s">
        <v>5072</v>
      </c>
      <c r="D239" s="23" t="s">
        <v>4603</v>
      </c>
      <c r="E239" s="42">
        <v>46128</v>
      </c>
      <c r="F239" s="26" t="s">
        <v>55</v>
      </c>
      <c r="G239" s="44" t="s">
        <v>833</v>
      </c>
      <c r="H239" s="26" t="s">
        <v>57</v>
      </c>
      <c r="I239" s="44" t="s">
        <v>833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42">
        <v>46196</v>
      </c>
      <c r="O239" s="26" t="s">
        <v>55</v>
      </c>
      <c r="P239" s="44" t="s">
        <v>833</v>
      </c>
      <c r="Q239" s="26" t="s">
        <v>57</v>
      </c>
      <c r="R239" s="44" t="s">
        <v>833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833</v>
      </c>
      <c r="Z239" s="30" t="s">
        <v>57</v>
      </c>
      <c r="AA239" s="30" t="s">
        <v>833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 t="s">
        <v>61</v>
      </c>
      <c r="AG239" s="33" t="s">
        <v>55</v>
      </c>
      <c r="AH239" s="33" t="s">
        <v>833</v>
      </c>
      <c r="AI239" s="33" t="s">
        <v>57</v>
      </c>
      <c r="AJ239" s="33" t="s">
        <v>833</v>
      </c>
      <c r="AK239" s="33" t="s">
        <v>56</v>
      </c>
      <c r="AL239" s="27"/>
      <c r="AM239" s="34" t="s">
        <v>57</v>
      </c>
      <c r="AN239" s="35" t="str">
        <f t="shared" si="18"/>
        <v>✓ OK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5073</v>
      </c>
      <c r="C240" s="41" t="s">
        <v>5074</v>
      </c>
      <c r="D240" s="39" t="s">
        <v>4603</v>
      </c>
      <c r="E240" s="42">
        <v>46128</v>
      </c>
      <c r="F240" s="26" t="s">
        <v>55</v>
      </c>
      <c r="G240" s="44" t="s">
        <v>833</v>
      </c>
      <c r="H240" s="26" t="s">
        <v>57</v>
      </c>
      <c r="I240" s="44" t="s">
        <v>833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42">
        <v>46196</v>
      </c>
      <c r="O240" s="26" t="s">
        <v>55</v>
      </c>
      <c r="P240" s="44" t="s">
        <v>833</v>
      </c>
      <c r="Q240" s="26" t="s">
        <v>57</v>
      </c>
      <c r="R240" s="44" t="s">
        <v>833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833</v>
      </c>
      <c r="Z240" s="30" t="s">
        <v>57</v>
      </c>
      <c r="AA240" s="30" t="s">
        <v>833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 t="s">
        <v>61</v>
      </c>
      <c r="AG240" s="33" t="s">
        <v>55</v>
      </c>
      <c r="AH240" s="33" t="s">
        <v>833</v>
      </c>
      <c r="AI240" s="33" t="s">
        <v>57</v>
      </c>
      <c r="AJ240" s="33" t="s">
        <v>833</v>
      </c>
      <c r="AK240" s="33" t="s">
        <v>56</v>
      </c>
      <c r="AL240" s="27"/>
      <c r="AM240" s="34" t="s">
        <v>57</v>
      </c>
      <c r="AN240" s="35" t="str">
        <f t="shared" si="18"/>
        <v>✓ OK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5075</v>
      </c>
      <c r="C241" s="25" t="s">
        <v>5076</v>
      </c>
      <c r="D241" s="23" t="s">
        <v>4603</v>
      </c>
      <c r="E241" s="42">
        <v>46128</v>
      </c>
      <c r="F241" s="26" t="s">
        <v>55</v>
      </c>
      <c r="G241" s="44" t="s">
        <v>833</v>
      </c>
      <c r="H241" s="26" t="s">
        <v>57</v>
      </c>
      <c r="I241" s="44" t="s">
        <v>833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42">
        <v>46196</v>
      </c>
      <c r="O241" s="26" t="s">
        <v>55</v>
      </c>
      <c r="P241" s="44" t="s">
        <v>833</v>
      </c>
      <c r="Q241" s="26" t="s">
        <v>57</v>
      </c>
      <c r="R241" s="44" t="s">
        <v>833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833</v>
      </c>
      <c r="Z241" s="30" t="s">
        <v>57</v>
      </c>
      <c r="AA241" s="30" t="s">
        <v>833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 t="s">
        <v>61</v>
      </c>
      <c r="AG241" s="33" t="s">
        <v>55</v>
      </c>
      <c r="AH241" s="33" t="s">
        <v>833</v>
      </c>
      <c r="AI241" s="33" t="s">
        <v>57</v>
      </c>
      <c r="AJ241" s="33" t="s">
        <v>833</v>
      </c>
      <c r="AK241" s="33" t="s">
        <v>56</v>
      </c>
      <c r="AL241" s="27"/>
      <c r="AM241" s="34" t="s">
        <v>57</v>
      </c>
      <c r="AN241" s="35" t="str">
        <f t="shared" si="18"/>
        <v>✓ OK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5077</v>
      </c>
      <c r="C242" s="41" t="s">
        <v>5078</v>
      </c>
      <c r="D242" s="39" t="s">
        <v>4603</v>
      </c>
      <c r="E242" s="42">
        <v>46128</v>
      </c>
      <c r="F242" s="26" t="s">
        <v>55</v>
      </c>
      <c r="G242" s="44" t="s">
        <v>833</v>
      </c>
      <c r="H242" s="26" t="s">
        <v>57</v>
      </c>
      <c r="I242" s="44" t="s">
        <v>833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42">
        <v>46196</v>
      </c>
      <c r="O242" s="26" t="s">
        <v>55</v>
      </c>
      <c r="P242" s="44" t="s">
        <v>833</v>
      </c>
      <c r="Q242" s="26" t="s">
        <v>57</v>
      </c>
      <c r="R242" s="44" t="s">
        <v>833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833</v>
      </c>
      <c r="Z242" s="30" t="s">
        <v>57</v>
      </c>
      <c r="AA242" s="30" t="s">
        <v>833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 t="s">
        <v>61</v>
      </c>
      <c r="AG242" s="33" t="s">
        <v>55</v>
      </c>
      <c r="AH242" s="33" t="s">
        <v>833</v>
      </c>
      <c r="AI242" s="33" t="s">
        <v>57</v>
      </c>
      <c r="AJ242" s="33" t="s">
        <v>833</v>
      </c>
      <c r="AK242" s="33" t="s">
        <v>56</v>
      </c>
      <c r="AL242" s="27"/>
      <c r="AM242" s="34" t="s">
        <v>57</v>
      </c>
      <c r="AN242" s="35" t="str">
        <f t="shared" si="18"/>
        <v>✓ OK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5079</v>
      </c>
      <c r="C243" s="25" t="s">
        <v>5080</v>
      </c>
      <c r="D243" s="23" t="s">
        <v>4603</v>
      </c>
      <c r="E243" s="42">
        <v>46128</v>
      </c>
      <c r="F243" s="26" t="s">
        <v>55</v>
      </c>
      <c r="G243" s="44" t="s">
        <v>833</v>
      </c>
      <c r="H243" s="26" t="s">
        <v>57</v>
      </c>
      <c r="I243" s="44" t="s">
        <v>833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42">
        <v>46196</v>
      </c>
      <c r="O243" s="26" t="s">
        <v>55</v>
      </c>
      <c r="P243" s="44" t="s">
        <v>833</v>
      </c>
      <c r="Q243" s="26" t="s">
        <v>57</v>
      </c>
      <c r="R243" s="44" t="s">
        <v>833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833</v>
      </c>
      <c r="Z243" s="30" t="s">
        <v>57</v>
      </c>
      <c r="AA243" s="30" t="s">
        <v>833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 t="s">
        <v>61</v>
      </c>
      <c r="AG243" s="33" t="s">
        <v>55</v>
      </c>
      <c r="AH243" s="33" t="s">
        <v>833</v>
      </c>
      <c r="AI243" s="33" t="s">
        <v>57</v>
      </c>
      <c r="AJ243" s="33" t="s">
        <v>833</v>
      </c>
      <c r="AK243" s="33" t="s">
        <v>56</v>
      </c>
      <c r="AL243" s="27"/>
      <c r="AM243" s="34" t="s">
        <v>57</v>
      </c>
      <c r="AN243" s="35" t="str">
        <f t="shared" si="18"/>
        <v>✓ OK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5081</v>
      </c>
      <c r="C244" s="41" t="s">
        <v>5082</v>
      </c>
      <c r="D244" s="39" t="s">
        <v>4603</v>
      </c>
      <c r="E244" s="42">
        <v>46128</v>
      </c>
      <c r="F244" s="26" t="s">
        <v>55</v>
      </c>
      <c r="G244" s="44" t="s">
        <v>56</v>
      </c>
      <c r="H244" s="26" t="s">
        <v>57</v>
      </c>
      <c r="I244" s="44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42">
        <v>46196</v>
      </c>
      <c r="O244" s="26" t="s">
        <v>55</v>
      </c>
      <c r="P244" s="44" t="s">
        <v>56</v>
      </c>
      <c r="Q244" s="26" t="s">
        <v>57</v>
      </c>
      <c r="R244" s="44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 t="s">
        <v>61</v>
      </c>
      <c r="AG244" s="33" t="s">
        <v>55</v>
      </c>
      <c r="AH244" s="33" t="s">
        <v>56</v>
      </c>
      <c r="AI244" s="33" t="s">
        <v>57</v>
      </c>
      <c r="AJ244" s="33" t="s">
        <v>58</v>
      </c>
      <c r="AK244" s="33" t="s">
        <v>56</v>
      </c>
      <c r="AL244" s="27"/>
      <c r="AM244" s="34" t="s">
        <v>57</v>
      </c>
      <c r="AN244" s="35" t="str">
        <f t="shared" si="18"/>
        <v>✓ OK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5083</v>
      </c>
      <c r="C245" s="25" t="s">
        <v>5084</v>
      </c>
      <c r="D245" s="23" t="s">
        <v>4603</v>
      </c>
      <c r="E245" s="42">
        <v>46128</v>
      </c>
      <c r="F245" s="26" t="s">
        <v>55</v>
      </c>
      <c r="G245" s="44" t="s">
        <v>833</v>
      </c>
      <c r="H245" s="26" t="s">
        <v>57</v>
      </c>
      <c r="I245" s="44" t="s">
        <v>833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42">
        <v>46196</v>
      </c>
      <c r="O245" s="26" t="s">
        <v>55</v>
      </c>
      <c r="P245" s="44" t="s">
        <v>833</v>
      </c>
      <c r="Q245" s="26" t="s">
        <v>57</v>
      </c>
      <c r="R245" s="44" t="s">
        <v>833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833</v>
      </c>
      <c r="Z245" s="30" t="s">
        <v>57</v>
      </c>
      <c r="AA245" s="30" t="s">
        <v>833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 t="s">
        <v>61</v>
      </c>
      <c r="AG245" s="33" t="s">
        <v>55</v>
      </c>
      <c r="AH245" s="33" t="s">
        <v>833</v>
      </c>
      <c r="AI245" s="33" t="s">
        <v>57</v>
      </c>
      <c r="AJ245" s="33" t="s">
        <v>833</v>
      </c>
      <c r="AK245" s="33" t="s">
        <v>56</v>
      </c>
      <c r="AL245" s="27"/>
      <c r="AM245" s="34" t="s">
        <v>57</v>
      </c>
      <c r="AN245" s="35" t="str">
        <f t="shared" si="18"/>
        <v>✓ OK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5085</v>
      </c>
      <c r="C246" s="41" t="s">
        <v>5086</v>
      </c>
      <c r="D246" s="39" t="s">
        <v>4603</v>
      </c>
      <c r="E246" s="42">
        <v>46128</v>
      </c>
      <c r="F246" s="26" t="s">
        <v>55</v>
      </c>
      <c r="G246" s="44" t="s">
        <v>833</v>
      </c>
      <c r="H246" s="26" t="s">
        <v>57</v>
      </c>
      <c r="I246" s="44" t="s">
        <v>833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42">
        <v>46196</v>
      </c>
      <c r="O246" s="26" t="s">
        <v>55</v>
      </c>
      <c r="P246" s="44" t="s">
        <v>833</v>
      </c>
      <c r="Q246" s="26" t="s">
        <v>57</v>
      </c>
      <c r="R246" s="44" t="s">
        <v>833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833</v>
      </c>
      <c r="Z246" s="30" t="s">
        <v>57</v>
      </c>
      <c r="AA246" s="30" t="s">
        <v>833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 t="s">
        <v>61</v>
      </c>
      <c r="AG246" s="33" t="s">
        <v>55</v>
      </c>
      <c r="AH246" s="33" t="s">
        <v>833</v>
      </c>
      <c r="AI246" s="33" t="s">
        <v>57</v>
      </c>
      <c r="AJ246" s="33" t="s">
        <v>833</v>
      </c>
      <c r="AK246" s="33" t="s">
        <v>56</v>
      </c>
      <c r="AL246" s="27"/>
      <c r="AM246" s="34" t="s">
        <v>57</v>
      </c>
      <c r="AN246" s="35" t="str">
        <f t="shared" si="18"/>
        <v>✓ OK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5087</v>
      </c>
      <c r="C247" s="25" t="s">
        <v>5088</v>
      </c>
      <c r="D247" s="23" t="s">
        <v>4603</v>
      </c>
      <c r="E247" s="42">
        <v>46128</v>
      </c>
      <c r="F247" s="26" t="s">
        <v>55</v>
      </c>
      <c r="G247" s="44" t="s">
        <v>833</v>
      </c>
      <c r="H247" s="26" t="s">
        <v>57</v>
      </c>
      <c r="I247" s="44" t="s">
        <v>833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42">
        <v>46196</v>
      </c>
      <c r="O247" s="26" t="s">
        <v>55</v>
      </c>
      <c r="P247" s="44" t="s">
        <v>833</v>
      </c>
      <c r="Q247" s="26" t="s">
        <v>57</v>
      </c>
      <c r="R247" s="44" t="s">
        <v>833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833</v>
      </c>
      <c r="Z247" s="30" t="s">
        <v>57</v>
      </c>
      <c r="AA247" s="30" t="s">
        <v>833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 t="s">
        <v>61</v>
      </c>
      <c r="AG247" s="33" t="s">
        <v>55</v>
      </c>
      <c r="AH247" s="33" t="s">
        <v>833</v>
      </c>
      <c r="AI247" s="33" t="s">
        <v>57</v>
      </c>
      <c r="AJ247" s="33" t="s">
        <v>833</v>
      </c>
      <c r="AK247" s="33" t="s">
        <v>56</v>
      </c>
      <c r="AL247" s="27"/>
      <c r="AM247" s="34" t="s">
        <v>57</v>
      </c>
      <c r="AN247" s="35" t="str">
        <f t="shared" si="18"/>
        <v>✓ OK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5089</v>
      </c>
      <c r="C248" s="41" t="s">
        <v>5090</v>
      </c>
      <c r="D248" s="39" t="s">
        <v>4603</v>
      </c>
      <c r="E248" s="42">
        <v>46128</v>
      </c>
      <c r="F248" s="26" t="s">
        <v>55</v>
      </c>
      <c r="G248" s="44" t="s">
        <v>833</v>
      </c>
      <c r="H248" s="26" t="s">
        <v>57</v>
      </c>
      <c r="I248" s="44" t="s">
        <v>833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42">
        <v>46196</v>
      </c>
      <c r="O248" s="26" t="s">
        <v>55</v>
      </c>
      <c r="P248" s="44" t="s">
        <v>833</v>
      </c>
      <c r="Q248" s="26" t="s">
        <v>57</v>
      </c>
      <c r="R248" s="44" t="s">
        <v>833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833</v>
      </c>
      <c r="Z248" s="30" t="s">
        <v>57</v>
      </c>
      <c r="AA248" s="30" t="s">
        <v>833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 t="s">
        <v>61</v>
      </c>
      <c r="AG248" s="33" t="s">
        <v>55</v>
      </c>
      <c r="AH248" s="33" t="s">
        <v>833</v>
      </c>
      <c r="AI248" s="33" t="s">
        <v>57</v>
      </c>
      <c r="AJ248" s="33" t="s">
        <v>833</v>
      </c>
      <c r="AK248" s="33" t="s">
        <v>56</v>
      </c>
      <c r="AL248" s="27"/>
      <c r="AM248" s="34" t="s">
        <v>57</v>
      </c>
      <c r="AN248" s="35" t="str">
        <f t="shared" si="18"/>
        <v>✓ OK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5091</v>
      </c>
      <c r="C249" s="25" t="s">
        <v>5092</v>
      </c>
      <c r="D249" s="23" t="s">
        <v>4603</v>
      </c>
      <c r="E249" s="42">
        <v>46128</v>
      </c>
      <c r="F249" s="26" t="s">
        <v>55</v>
      </c>
      <c r="G249" s="44" t="s">
        <v>833</v>
      </c>
      <c r="H249" s="26" t="s">
        <v>57</v>
      </c>
      <c r="I249" s="44" t="s">
        <v>833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42">
        <v>46196</v>
      </c>
      <c r="O249" s="26" t="s">
        <v>55</v>
      </c>
      <c r="P249" s="44" t="s">
        <v>833</v>
      </c>
      <c r="Q249" s="26" t="s">
        <v>57</v>
      </c>
      <c r="R249" s="44" t="s">
        <v>833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833</v>
      </c>
      <c r="Z249" s="30" t="s">
        <v>57</v>
      </c>
      <c r="AA249" s="30" t="s">
        <v>833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 t="s">
        <v>61</v>
      </c>
      <c r="AG249" s="33" t="s">
        <v>55</v>
      </c>
      <c r="AH249" s="33" t="s">
        <v>833</v>
      </c>
      <c r="AI249" s="33" t="s">
        <v>57</v>
      </c>
      <c r="AJ249" s="33" t="s">
        <v>833</v>
      </c>
      <c r="AK249" s="33" t="s">
        <v>56</v>
      </c>
      <c r="AL249" s="27"/>
      <c r="AM249" s="34" t="s">
        <v>57</v>
      </c>
      <c r="AN249" s="35" t="str">
        <f t="shared" si="18"/>
        <v>✓ OK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5093</v>
      </c>
      <c r="C250" s="41" t="s">
        <v>5094</v>
      </c>
      <c r="D250" s="39" t="s">
        <v>4603</v>
      </c>
      <c r="E250" s="42">
        <v>46128</v>
      </c>
      <c r="F250" s="26" t="s">
        <v>55</v>
      </c>
      <c r="G250" s="44" t="s">
        <v>833</v>
      </c>
      <c r="H250" s="26" t="s">
        <v>57</v>
      </c>
      <c r="I250" s="44" t="s">
        <v>833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42">
        <v>46196</v>
      </c>
      <c r="O250" s="26" t="s">
        <v>55</v>
      </c>
      <c r="P250" s="44" t="s">
        <v>833</v>
      </c>
      <c r="Q250" s="26" t="s">
        <v>57</v>
      </c>
      <c r="R250" s="44" t="s">
        <v>833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833</v>
      </c>
      <c r="Z250" s="30" t="s">
        <v>57</v>
      </c>
      <c r="AA250" s="30" t="s">
        <v>833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 t="s">
        <v>61</v>
      </c>
      <c r="AG250" s="33" t="s">
        <v>55</v>
      </c>
      <c r="AH250" s="33" t="s">
        <v>833</v>
      </c>
      <c r="AI250" s="33" t="s">
        <v>57</v>
      </c>
      <c r="AJ250" s="33" t="s">
        <v>833</v>
      </c>
      <c r="AK250" s="33" t="s">
        <v>56</v>
      </c>
      <c r="AL250" s="27"/>
      <c r="AM250" s="34" t="s">
        <v>57</v>
      </c>
      <c r="AN250" s="35" t="str">
        <f t="shared" si="18"/>
        <v>✓ OK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5095</v>
      </c>
      <c r="C251" s="25" t="s">
        <v>5096</v>
      </c>
      <c r="D251" s="23" t="s">
        <v>4603</v>
      </c>
      <c r="E251" s="42">
        <v>46128</v>
      </c>
      <c r="F251" s="26" t="s">
        <v>55</v>
      </c>
      <c r="G251" s="44" t="s">
        <v>56</v>
      </c>
      <c r="H251" s="26" t="s">
        <v>57</v>
      </c>
      <c r="I251" s="44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42">
        <v>46196</v>
      </c>
      <c r="O251" s="26" t="s">
        <v>55</v>
      </c>
      <c r="P251" s="44" t="s">
        <v>56</v>
      </c>
      <c r="Q251" s="26" t="s">
        <v>57</v>
      </c>
      <c r="R251" s="44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 t="s">
        <v>61</v>
      </c>
      <c r="AG251" s="33" t="s">
        <v>55</v>
      </c>
      <c r="AH251" s="33" t="s">
        <v>56</v>
      </c>
      <c r="AI251" s="33" t="s">
        <v>57</v>
      </c>
      <c r="AJ251" s="33" t="s">
        <v>58</v>
      </c>
      <c r="AK251" s="33" t="s">
        <v>56</v>
      </c>
      <c r="AL251" s="27"/>
      <c r="AM251" s="34" t="s">
        <v>57</v>
      </c>
      <c r="AN251" s="35" t="str">
        <f t="shared" si="18"/>
        <v>✓ OK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5097</v>
      </c>
      <c r="C252" s="41" t="s">
        <v>5098</v>
      </c>
      <c r="D252" s="39" t="s">
        <v>4603</v>
      </c>
      <c r="E252" s="42">
        <v>46128</v>
      </c>
      <c r="F252" s="26" t="s">
        <v>55</v>
      </c>
      <c r="G252" s="44" t="s">
        <v>833</v>
      </c>
      <c r="H252" s="26" t="s">
        <v>57</v>
      </c>
      <c r="I252" s="44" t="s">
        <v>833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42">
        <v>46196</v>
      </c>
      <c r="O252" s="26" t="s">
        <v>55</v>
      </c>
      <c r="P252" s="44" t="s">
        <v>833</v>
      </c>
      <c r="Q252" s="26" t="s">
        <v>57</v>
      </c>
      <c r="R252" s="44" t="s">
        <v>833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833</v>
      </c>
      <c r="Z252" s="30" t="s">
        <v>57</v>
      </c>
      <c r="AA252" s="30" t="s">
        <v>833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 t="s">
        <v>61</v>
      </c>
      <c r="AG252" s="33" t="s">
        <v>55</v>
      </c>
      <c r="AH252" s="33" t="s">
        <v>833</v>
      </c>
      <c r="AI252" s="33" t="s">
        <v>57</v>
      </c>
      <c r="AJ252" s="33" t="s">
        <v>833</v>
      </c>
      <c r="AK252" s="33" t="s">
        <v>56</v>
      </c>
      <c r="AL252" s="27"/>
      <c r="AM252" s="34" t="s">
        <v>57</v>
      </c>
      <c r="AN252" s="35" t="str">
        <f t="shared" si="18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5099</v>
      </c>
      <c r="C253" s="25" t="s">
        <v>5100</v>
      </c>
      <c r="D253" s="23" t="s">
        <v>4603</v>
      </c>
      <c r="E253" s="42">
        <v>46128</v>
      </c>
      <c r="F253" s="26" t="s">
        <v>55</v>
      </c>
      <c r="G253" s="44" t="s">
        <v>833</v>
      </c>
      <c r="H253" s="26" t="s">
        <v>57</v>
      </c>
      <c r="I253" s="44" t="s">
        <v>833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42">
        <v>46196</v>
      </c>
      <c r="O253" s="26" t="s">
        <v>55</v>
      </c>
      <c r="P253" s="44" t="s">
        <v>833</v>
      </c>
      <c r="Q253" s="26" t="s">
        <v>57</v>
      </c>
      <c r="R253" s="44" t="s">
        <v>833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833</v>
      </c>
      <c r="Z253" s="30" t="s">
        <v>57</v>
      </c>
      <c r="AA253" s="30" t="s">
        <v>833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 t="s">
        <v>61</v>
      </c>
      <c r="AG253" s="33" t="s">
        <v>55</v>
      </c>
      <c r="AH253" s="33" t="s">
        <v>833</v>
      </c>
      <c r="AI253" s="33" t="s">
        <v>57</v>
      </c>
      <c r="AJ253" s="33" t="s">
        <v>833</v>
      </c>
      <c r="AK253" s="33" t="s">
        <v>56</v>
      </c>
      <c r="AL253" s="27"/>
      <c r="AM253" s="34" t="s">
        <v>57</v>
      </c>
      <c r="AN253" s="35" t="str">
        <f t="shared" si="18"/>
        <v>✓ OK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5101</v>
      </c>
      <c r="C254" s="41" t="s">
        <v>5102</v>
      </c>
      <c r="D254" s="39" t="s">
        <v>4603</v>
      </c>
      <c r="E254" s="42">
        <v>46128</v>
      </c>
      <c r="F254" s="26" t="s">
        <v>55</v>
      </c>
      <c r="G254" s="44" t="s">
        <v>833</v>
      </c>
      <c r="H254" s="26" t="s">
        <v>57</v>
      </c>
      <c r="I254" s="44" t="s">
        <v>833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42">
        <v>46196</v>
      </c>
      <c r="O254" s="26" t="s">
        <v>55</v>
      </c>
      <c r="P254" s="44" t="s">
        <v>833</v>
      </c>
      <c r="Q254" s="26" t="s">
        <v>57</v>
      </c>
      <c r="R254" s="44" t="s">
        <v>833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833</v>
      </c>
      <c r="Z254" s="30" t="s">
        <v>57</v>
      </c>
      <c r="AA254" s="30" t="s">
        <v>833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 t="s">
        <v>61</v>
      </c>
      <c r="AG254" s="33" t="s">
        <v>55</v>
      </c>
      <c r="AH254" s="33" t="s">
        <v>833</v>
      </c>
      <c r="AI254" s="33" t="s">
        <v>57</v>
      </c>
      <c r="AJ254" s="33" t="s">
        <v>833</v>
      </c>
      <c r="AK254" s="33" t="s">
        <v>56</v>
      </c>
      <c r="AL254" s="27"/>
      <c r="AM254" s="34" t="s">
        <v>57</v>
      </c>
      <c r="AN254" s="35" t="str">
        <f t="shared" si="18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5103</v>
      </c>
      <c r="C255" s="25" t="s">
        <v>5104</v>
      </c>
      <c r="D255" s="23" t="s">
        <v>4603</v>
      </c>
      <c r="E255" s="42">
        <v>46128</v>
      </c>
      <c r="F255" s="26" t="s">
        <v>55</v>
      </c>
      <c r="G255" s="44" t="s">
        <v>833</v>
      </c>
      <c r="H255" s="26" t="s">
        <v>57</v>
      </c>
      <c r="I255" s="44" t="s">
        <v>833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42">
        <v>46196</v>
      </c>
      <c r="O255" s="26" t="s">
        <v>55</v>
      </c>
      <c r="P255" s="44" t="s">
        <v>833</v>
      </c>
      <c r="Q255" s="26" t="s">
        <v>57</v>
      </c>
      <c r="R255" s="44" t="s">
        <v>833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833</v>
      </c>
      <c r="Z255" s="30" t="s">
        <v>57</v>
      </c>
      <c r="AA255" s="30" t="s">
        <v>833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 t="s">
        <v>61</v>
      </c>
      <c r="AG255" s="33" t="s">
        <v>55</v>
      </c>
      <c r="AH255" s="33" t="s">
        <v>833</v>
      </c>
      <c r="AI255" s="33" t="s">
        <v>57</v>
      </c>
      <c r="AJ255" s="33" t="s">
        <v>833</v>
      </c>
      <c r="AK255" s="33" t="s">
        <v>56</v>
      </c>
      <c r="AL255" s="27"/>
      <c r="AM255" s="34" t="s">
        <v>57</v>
      </c>
      <c r="AN255" s="35" t="str">
        <f t="shared" si="18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5105</v>
      </c>
      <c r="C256" s="41" t="s">
        <v>5106</v>
      </c>
      <c r="D256" s="39" t="s">
        <v>4603</v>
      </c>
      <c r="E256" s="42">
        <v>46128</v>
      </c>
      <c r="F256" s="26" t="s">
        <v>55</v>
      </c>
      <c r="G256" s="44" t="s">
        <v>833</v>
      </c>
      <c r="H256" s="26" t="s">
        <v>57</v>
      </c>
      <c r="I256" s="44" t="s">
        <v>833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42">
        <v>46196</v>
      </c>
      <c r="O256" s="26" t="s">
        <v>55</v>
      </c>
      <c r="P256" s="44" t="s">
        <v>833</v>
      </c>
      <c r="Q256" s="26" t="s">
        <v>57</v>
      </c>
      <c r="R256" s="44" t="s">
        <v>833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833</v>
      </c>
      <c r="Z256" s="30" t="s">
        <v>57</v>
      </c>
      <c r="AA256" s="30" t="s">
        <v>833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 t="s">
        <v>61</v>
      </c>
      <c r="AG256" s="33" t="s">
        <v>55</v>
      </c>
      <c r="AH256" s="33" t="s">
        <v>833</v>
      </c>
      <c r="AI256" s="33" t="s">
        <v>57</v>
      </c>
      <c r="AJ256" s="33" t="s">
        <v>833</v>
      </c>
      <c r="AK256" s="33" t="s">
        <v>56</v>
      </c>
      <c r="AL256" s="27"/>
      <c r="AM256" s="34" t="s">
        <v>57</v>
      </c>
      <c r="AN256" s="35" t="str">
        <f t="shared" si="18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5107</v>
      </c>
      <c r="C257" s="25" t="s">
        <v>5108</v>
      </c>
      <c r="D257" s="23" t="s">
        <v>4603</v>
      </c>
      <c r="E257" s="42">
        <v>46128</v>
      </c>
      <c r="F257" s="26" t="s">
        <v>55</v>
      </c>
      <c r="G257" s="44" t="s">
        <v>833</v>
      </c>
      <c r="H257" s="26" t="s">
        <v>57</v>
      </c>
      <c r="I257" s="44" t="s">
        <v>833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42">
        <v>46196</v>
      </c>
      <c r="O257" s="26" t="s">
        <v>55</v>
      </c>
      <c r="P257" s="44" t="s">
        <v>833</v>
      </c>
      <c r="Q257" s="26" t="s">
        <v>57</v>
      </c>
      <c r="R257" s="44" t="s">
        <v>833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833</v>
      </c>
      <c r="Z257" s="30" t="s">
        <v>57</v>
      </c>
      <c r="AA257" s="30" t="s">
        <v>833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 t="s">
        <v>61</v>
      </c>
      <c r="AG257" s="33" t="s">
        <v>55</v>
      </c>
      <c r="AH257" s="33" t="s">
        <v>833</v>
      </c>
      <c r="AI257" s="33" t="s">
        <v>57</v>
      </c>
      <c r="AJ257" s="33" t="s">
        <v>833</v>
      </c>
      <c r="AK257" s="33" t="s">
        <v>56</v>
      </c>
      <c r="AL257" s="27"/>
      <c r="AM257" s="34" t="s">
        <v>57</v>
      </c>
      <c r="AN257" s="35" t="str">
        <f t="shared" si="18"/>
        <v>✓ OK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5109</v>
      </c>
      <c r="C258" s="41" t="s">
        <v>5110</v>
      </c>
      <c r="D258" s="39" t="s">
        <v>4603</v>
      </c>
      <c r="E258" s="42">
        <v>46128</v>
      </c>
      <c r="F258" s="26" t="s">
        <v>55</v>
      </c>
      <c r="G258" s="44" t="s">
        <v>833</v>
      </c>
      <c r="H258" s="26" t="s">
        <v>57</v>
      </c>
      <c r="I258" s="44" t="s">
        <v>833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42">
        <v>46196</v>
      </c>
      <c r="O258" s="26" t="s">
        <v>55</v>
      </c>
      <c r="P258" s="44" t="s">
        <v>833</v>
      </c>
      <c r="Q258" s="26" t="s">
        <v>57</v>
      </c>
      <c r="R258" s="44" t="s">
        <v>833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833</v>
      </c>
      <c r="Z258" s="30" t="s">
        <v>57</v>
      </c>
      <c r="AA258" s="30" t="s">
        <v>833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 t="s">
        <v>61</v>
      </c>
      <c r="AG258" s="33" t="s">
        <v>55</v>
      </c>
      <c r="AH258" s="33" t="s">
        <v>833</v>
      </c>
      <c r="AI258" s="33" t="s">
        <v>57</v>
      </c>
      <c r="AJ258" s="33" t="s">
        <v>833</v>
      </c>
      <c r="AK258" s="33" t="s">
        <v>56</v>
      </c>
      <c r="AL258" s="27"/>
      <c r="AM258" s="34" t="s">
        <v>57</v>
      </c>
      <c r="AN258" s="35" t="str">
        <f t="shared" si="18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5111</v>
      </c>
      <c r="C259" s="25" t="s">
        <v>5112</v>
      </c>
      <c r="D259" s="23" t="s">
        <v>4603</v>
      </c>
      <c r="E259" s="42">
        <v>46128</v>
      </c>
      <c r="F259" s="26" t="s">
        <v>55</v>
      </c>
      <c r="G259" s="44" t="s">
        <v>833</v>
      </c>
      <c r="H259" s="26" t="s">
        <v>57</v>
      </c>
      <c r="I259" s="44" t="s">
        <v>833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42">
        <v>46196</v>
      </c>
      <c r="O259" s="26" t="s">
        <v>55</v>
      </c>
      <c r="P259" s="44" t="s">
        <v>833</v>
      </c>
      <c r="Q259" s="26" t="s">
        <v>57</v>
      </c>
      <c r="R259" s="44" t="s">
        <v>833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833</v>
      </c>
      <c r="Z259" s="30" t="s">
        <v>57</v>
      </c>
      <c r="AA259" s="30" t="s">
        <v>833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 t="s">
        <v>61</v>
      </c>
      <c r="AG259" s="33" t="s">
        <v>55</v>
      </c>
      <c r="AH259" s="33" t="s">
        <v>833</v>
      </c>
      <c r="AI259" s="33" t="s">
        <v>57</v>
      </c>
      <c r="AJ259" s="33" t="s">
        <v>833</v>
      </c>
      <c r="AK259" s="33" t="s">
        <v>56</v>
      </c>
      <c r="AL259" s="27"/>
      <c r="AM259" s="34" t="s">
        <v>57</v>
      </c>
      <c r="AN259" s="35" t="str">
        <f t="shared" si="18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5113</v>
      </c>
      <c r="C260" s="41" t="s">
        <v>5114</v>
      </c>
      <c r="D260" s="39" t="s">
        <v>4603</v>
      </c>
      <c r="E260" s="42">
        <v>46128</v>
      </c>
      <c r="F260" s="26" t="s">
        <v>55</v>
      </c>
      <c r="G260" s="44" t="s">
        <v>833</v>
      </c>
      <c r="H260" s="26" t="s">
        <v>57</v>
      </c>
      <c r="I260" s="44" t="s">
        <v>833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42">
        <v>46196</v>
      </c>
      <c r="O260" s="26" t="s">
        <v>55</v>
      </c>
      <c r="P260" s="44" t="s">
        <v>833</v>
      </c>
      <c r="Q260" s="26" t="s">
        <v>57</v>
      </c>
      <c r="R260" s="44" t="s">
        <v>833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833</v>
      </c>
      <c r="Z260" s="30" t="s">
        <v>57</v>
      </c>
      <c r="AA260" s="30" t="s">
        <v>833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 t="s">
        <v>61</v>
      </c>
      <c r="AG260" s="33" t="s">
        <v>55</v>
      </c>
      <c r="AH260" s="33" t="s">
        <v>833</v>
      </c>
      <c r="AI260" s="33" t="s">
        <v>57</v>
      </c>
      <c r="AJ260" s="33" t="s">
        <v>833</v>
      </c>
      <c r="AK260" s="33" t="s">
        <v>56</v>
      </c>
      <c r="AL260" s="27"/>
      <c r="AM260" s="34" t="s">
        <v>57</v>
      </c>
      <c r="AN260" s="35" t="str">
        <f t="shared" si="18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5115</v>
      </c>
      <c r="C261" s="25" t="s">
        <v>5116</v>
      </c>
      <c r="D261" s="23" t="s">
        <v>4603</v>
      </c>
      <c r="E261" s="42">
        <v>46128</v>
      </c>
      <c r="F261" s="26" t="s">
        <v>55</v>
      </c>
      <c r="G261" s="44" t="s">
        <v>833</v>
      </c>
      <c r="H261" s="26" t="s">
        <v>57</v>
      </c>
      <c r="I261" s="44" t="s">
        <v>833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42">
        <v>46196</v>
      </c>
      <c r="O261" s="26" t="s">
        <v>55</v>
      </c>
      <c r="P261" s="44" t="s">
        <v>833</v>
      </c>
      <c r="Q261" s="26" t="s">
        <v>57</v>
      </c>
      <c r="R261" s="44" t="s">
        <v>833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833</v>
      </c>
      <c r="Z261" s="30" t="s">
        <v>57</v>
      </c>
      <c r="AA261" s="30" t="s">
        <v>833</v>
      </c>
      <c r="AB261" s="30" t="s">
        <v>56</v>
      </c>
      <c r="AC261" s="27"/>
      <c r="AD261" s="31" t="s">
        <v>57</v>
      </c>
      <c r="AE261" s="32" t="str">
        <f t="shared" ref="AE261:AE324" si="22">IF(W261="","",IF(Z261="Yes","❌ Disc",IF(Y261="No","⚠ Missing",IF(AB261="Yes","✓ OK","⚠ Check"))))</f>
        <v>✓ OK</v>
      </c>
      <c r="AF261" s="33" t="s">
        <v>61</v>
      </c>
      <c r="AG261" s="33" t="s">
        <v>55</v>
      </c>
      <c r="AH261" s="33" t="s">
        <v>833</v>
      </c>
      <c r="AI261" s="33" t="s">
        <v>57</v>
      </c>
      <c r="AJ261" s="33" t="s">
        <v>833</v>
      </c>
      <c r="AK261" s="33" t="s">
        <v>56</v>
      </c>
      <c r="AL261" s="27"/>
      <c r="AM261" s="34" t="s">
        <v>57</v>
      </c>
      <c r="AN261" s="35" t="str">
        <f t="shared" ref="AN261:AN324" si="23">IF(AF261="","",IF(AI261="Yes","❌ Disc",IF(AH261="No","⚠ Missing",IF(AK261="Yes","✓ OK","⚠ Check"))))</f>
        <v>✓ OK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5117</v>
      </c>
      <c r="C262" s="41" t="s">
        <v>5118</v>
      </c>
      <c r="D262" s="39" t="s">
        <v>4603</v>
      </c>
      <c r="E262" s="42">
        <v>46128</v>
      </c>
      <c r="F262" s="26" t="s">
        <v>55</v>
      </c>
      <c r="G262" s="44" t="s">
        <v>833</v>
      </c>
      <c r="H262" s="26" t="s">
        <v>57</v>
      </c>
      <c r="I262" s="44" t="s">
        <v>833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42">
        <v>46196</v>
      </c>
      <c r="O262" s="26" t="s">
        <v>55</v>
      </c>
      <c r="P262" s="44" t="s">
        <v>833</v>
      </c>
      <c r="Q262" s="26" t="s">
        <v>57</v>
      </c>
      <c r="R262" s="44" t="s">
        <v>833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833</v>
      </c>
      <c r="Z262" s="30" t="s">
        <v>57</v>
      </c>
      <c r="AA262" s="30" t="s">
        <v>833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 t="s">
        <v>61</v>
      </c>
      <c r="AG262" s="33" t="s">
        <v>55</v>
      </c>
      <c r="AH262" s="33" t="s">
        <v>833</v>
      </c>
      <c r="AI262" s="33" t="s">
        <v>57</v>
      </c>
      <c r="AJ262" s="33" t="s">
        <v>833</v>
      </c>
      <c r="AK262" s="33" t="s">
        <v>56</v>
      </c>
      <c r="AL262" s="27"/>
      <c r="AM262" s="34" t="s">
        <v>57</v>
      </c>
      <c r="AN262" s="35" t="str">
        <f t="shared" si="23"/>
        <v>✓ OK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5119</v>
      </c>
      <c r="C263" s="25" t="s">
        <v>5120</v>
      </c>
      <c r="D263" s="23" t="s">
        <v>4603</v>
      </c>
      <c r="E263" s="42">
        <v>46128</v>
      </c>
      <c r="F263" s="26" t="s">
        <v>55</v>
      </c>
      <c r="G263" s="44" t="s">
        <v>833</v>
      </c>
      <c r="H263" s="26" t="s">
        <v>57</v>
      </c>
      <c r="I263" s="44" t="s">
        <v>833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42">
        <v>46196</v>
      </c>
      <c r="O263" s="26" t="s">
        <v>55</v>
      </c>
      <c r="P263" s="44" t="s">
        <v>833</v>
      </c>
      <c r="Q263" s="26" t="s">
        <v>57</v>
      </c>
      <c r="R263" s="44" t="s">
        <v>833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833</v>
      </c>
      <c r="Z263" s="30" t="s">
        <v>57</v>
      </c>
      <c r="AA263" s="30" t="s">
        <v>833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 t="s">
        <v>61</v>
      </c>
      <c r="AG263" s="33" t="s">
        <v>55</v>
      </c>
      <c r="AH263" s="33" t="s">
        <v>833</v>
      </c>
      <c r="AI263" s="33" t="s">
        <v>57</v>
      </c>
      <c r="AJ263" s="33" t="s">
        <v>833</v>
      </c>
      <c r="AK263" s="33" t="s">
        <v>56</v>
      </c>
      <c r="AL263" s="27"/>
      <c r="AM263" s="34" t="s">
        <v>57</v>
      </c>
      <c r="AN263" s="35" t="str">
        <f t="shared" si="23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5121</v>
      </c>
      <c r="C264" s="41" t="s">
        <v>5122</v>
      </c>
      <c r="D264" s="39" t="s">
        <v>4603</v>
      </c>
      <c r="E264" s="42">
        <v>46128</v>
      </c>
      <c r="F264" s="26" t="s">
        <v>55</v>
      </c>
      <c r="G264" s="44" t="s">
        <v>833</v>
      </c>
      <c r="H264" s="26" t="s">
        <v>57</v>
      </c>
      <c r="I264" s="44" t="s">
        <v>833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42">
        <v>46196</v>
      </c>
      <c r="O264" s="26" t="s">
        <v>55</v>
      </c>
      <c r="P264" s="44" t="s">
        <v>833</v>
      </c>
      <c r="Q264" s="26" t="s">
        <v>57</v>
      </c>
      <c r="R264" s="44" t="s">
        <v>833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833</v>
      </c>
      <c r="Z264" s="30" t="s">
        <v>57</v>
      </c>
      <c r="AA264" s="30" t="s">
        <v>833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 t="s">
        <v>61</v>
      </c>
      <c r="AG264" s="33" t="s">
        <v>55</v>
      </c>
      <c r="AH264" s="33" t="s">
        <v>833</v>
      </c>
      <c r="AI264" s="33" t="s">
        <v>57</v>
      </c>
      <c r="AJ264" s="33" t="s">
        <v>833</v>
      </c>
      <c r="AK264" s="33" t="s">
        <v>56</v>
      </c>
      <c r="AL264" s="27"/>
      <c r="AM264" s="34" t="s">
        <v>57</v>
      </c>
      <c r="AN264" s="35" t="str">
        <f t="shared" si="23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5123</v>
      </c>
      <c r="C265" s="25" t="s">
        <v>5124</v>
      </c>
      <c r="D265" s="23" t="s">
        <v>4603</v>
      </c>
      <c r="E265" s="42">
        <v>46128</v>
      </c>
      <c r="F265" s="26" t="s">
        <v>55</v>
      </c>
      <c r="G265" s="44" t="s">
        <v>833</v>
      </c>
      <c r="H265" s="26" t="s">
        <v>57</v>
      </c>
      <c r="I265" s="44" t="s">
        <v>833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42">
        <v>46196</v>
      </c>
      <c r="O265" s="26" t="s">
        <v>55</v>
      </c>
      <c r="P265" s="44" t="s">
        <v>833</v>
      </c>
      <c r="Q265" s="26" t="s">
        <v>57</v>
      </c>
      <c r="R265" s="44" t="s">
        <v>833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833</v>
      </c>
      <c r="Z265" s="30" t="s">
        <v>57</v>
      </c>
      <c r="AA265" s="30" t="s">
        <v>833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 t="s">
        <v>61</v>
      </c>
      <c r="AG265" s="33" t="s">
        <v>55</v>
      </c>
      <c r="AH265" s="33" t="s">
        <v>833</v>
      </c>
      <c r="AI265" s="33" t="s">
        <v>57</v>
      </c>
      <c r="AJ265" s="33" t="s">
        <v>833</v>
      </c>
      <c r="AK265" s="33" t="s">
        <v>56</v>
      </c>
      <c r="AL265" s="27"/>
      <c r="AM265" s="34" t="s">
        <v>57</v>
      </c>
      <c r="AN265" s="35" t="str">
        <f t="shared" si="23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5125</v>
      </c>
      <c r="C266" s="41" t="s">
        <v>5126</v>
      </c>
      <c r="D266" s="39" t="s">
        <v>4603</v>
      </c>
      <c r="E266" s="42">
        <v>46128</v>
      </c>
      <c r="F266" s="26" t="s">
        <v>55</v>
      </c>
      <c r="G266" s="44" t="s">
        <v>833</v>
      </c>
      <c r="H266" s="26" t="s">
        <v>57</v>
      </c>
      <c r="I266" s="44" t="s">
        <v>833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42">
        <v>46196</v>
      </c>
      <c r="O266" s="26" t="s">
        <v>55</v>
      </c>
      <c r="P266" s="44" t="s">
        <v>833</v>
      </c>
      <c r="Q266" s="26" t="s">
        <v>57</v>
      </c>
      <c r="R266" s="44" t="s">
        <v>833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833</v>
      </c>
      <c r="Z266" s="30" t="s">
        <v>57</v>
      </c>
      <c r="AA266" s="30" t="s">
        <v>833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 t="s">
        <v>61</v>
      </c>
      <c r="AG266" s="33" t="s">
        <v>55</v>
      </c>
      <c r="AH266" s="33" t="s">
        <v>833</v>
      </c>
      <c r="AI266" s="33" t="s">
        <v>57</v>
      </c>
      <c r="AJ266" s="33" t="s">
        <v>833</v>
      </c>
      <c r="AK266" s="33" t="s">
        <v>56</v>
      </c>
      <c r="AL266" s="27"/>
      <c r="AM266" s="34" t="s">
        <v>57</v>
      </c>
      <c r="AN266" s="35" t="str">
        <f t="shared" si="23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5127</v>
      </c>
      <c r="C267" s="25" t="s">
        <v>5128</v>
      </c>
      <c r="D267" s="23" t="s">
        <v>4603</v>
      </c>
      <c r="E267" s="42">
        <v>46128</v>
      </c>
      <c r="F267" s="26" t="s">
        <v>55</v>
      </c>
      <c r="G267" s="44" t="s">
        <v>833</v>
      </c>
      <c r="H267" s="26" t="s">
        <v>57</v>
      </c>
      <c r="I267" s="44" t="s">
        <v>833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42">
        <v>46196</v>
      </c>
      <c r="O267" s="26" t="s">
        <v>55</v>
      </c>
      <c r="P267" s="44" t="s">
        <v>833</v>
      </c>
      <c r="Q267" s="26" t="s">
        <v>57</v>
      </c>
      <c r="R267" s="44" t="s">
        <v>833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833</v>
      </c>
      <c r="Z267" s="30" t="s">
        <v>57</v>
      </c>
      <c r="AA267" s="30" t="s">
        <v>833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 t="s">
        <v>61</v>
      </c>
      <c r="AG267" s="33" t="s">
        <v>55</v>
      </c>
      <c r="AH267" s="33" t="s">
        <v>833</v>
      </c>
      <c r="AI267" s="33" t="s">
        <v>57</v>
      </c>
      <c r="AJ267" s="33" t="s">
        <v>833</v>
      </c>
      <c r="AK267" s="33" t="s">
        <v>56</v>
      </c>
      <c r="AL267" s="27"/>
      <c r="AM267" s="34" t="s">
        <v>57</v>
      </c>
      <c r="AN267" s="35" t="str">
        <f t="shared" si="23"/>
        <v>✓ OK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5129</v>
      </c>
      <c r="C268" s="41" t="s">
        <v>5130</v>
      </c>
      <c r="D268" s="39" t="s">
        <v>4603</v>
      </c>
      <c r="E268" s="42">
        <v>46128</v>
      </c>
      <c r="F268" s="26" t="s">
        <v>55</v>
      </c>
      <c r="G268" s="44" t="s">
        <v>56</v>
      </c>
      <c r="H268" s="26" t="s">
        <v>57</v>
      </c>
      <c r="I268" s="44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42">
        <v>46196</v>
      </c>
      <c r="O268" s="26" t="s">
        <v>55</v>
      </c>
      <c r="P268" s="44" t="s">
        <v>56</v>
      </c>
      <c r="Q268" s="26" t="s">
        <v>57</v>
      </c>
      <c r="R268" s="44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 t="s">
        <v>61</v>
      </c>
      <c r="AG268" s="33" t="s">
        <v>55</v>
      </c>
      <c r="AH268" s="33" t="s">
        <v>56</v>
      </c>
      <c r="AI268" s="33" t="s">
        <v>57</v>
      </c>
      <c r="AJ268" s="33" t="s">
        <v>58</v>
      </c>
      <c r="AK268" s="33" t="s">
        <v>56</v>
      </c>
      <c r="AL268" s="27"/>
      <c r="AM268" s="34" t="s">
        <v>57</v>
      </c>
      <c r="AN268" s="35" t="str">
        <f t="shared" si="23"/>
        <v>✓ OK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5131</v>
      </c>
      <c r="C269" s="25" t="s">
        <v>5132</v>
      </c>
      <c r="D269" s="23" t="s">
        <v>4603</v>
      </c>
      <c r="E269" s="42">
        <v>46128</v>
      </c>
      <c r="F269" s="26" t="s">
        <v>55</v>
      </c>
      <c r="G269" s="44" t="s">
        <v>833</v>
      </c>
      <c r="H269" s="26" t="s">
        <v>57</v>
      </c>
      <c r="I269" s="44" t="s">
        <v>833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42">
        <v>46196</v>
      </c>
      <c r="O269" s="26" t="s">
        <v>55</v>
      </c>
      <c r="P269" s="44" t="s">
        <v>833</v>
      </c>
      <c r="Q269" s="26" t="s">
        <v>57</v>
      </c>
      <c r="R269" s="44" t="s">
        <v>833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833</v>
      </c>
      <c r="Z269" s="30" t="s">
        <v>57</v>
      </c>
      <c r="AA269" s="30" t="s">
        <v>833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 t="s">
        <v>61</v>
      </c>
      <c r="AG269" s="33" t="s">
        <v>55</v>
      </c>
      <c r="AH269" s="33" t="s">
        <v>833</v>
      </c>
      <c r="AI269" s="33" t="s">
        <v>57</v>
      </c>
      <c r="AJ269" s="33" t="s">
        <v>833</v>
      </c>
      <c r="AK269" s="33" t="s">
        <v>56</v>
      </c>
      <c r="AL269" s="27"/>
      <c r="AM269" s="34" t="s">
        <v>57</v>
      </c>
      <c r="AN269" s="35" t="str">
        <f t="shared" si="23"/>
        <v>✓ OK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5133</v>
      </c>
      <c r="C270" s="41" t="s">
        <v>5134</v>
      </c>
      <c r="D270" s="39" t="s">
        <v>4603</v>
      </c>
      <c r="E270" s="42">
        <v>46128</v>
      </c>
      <c r="F270" s="26" t="s">
        <v>55</v>
      </c>
      <c r="G270" s="44" t="s">
        <v>833</v>
      </c>
      <c r="H270" s="26" t="s">
        <v>57</v>
      </c>
      <c r="I270" s="44" t="s">
        <v>833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42">
        <v>46196</v>
      </c>
      <c r="O270" s="26" t="s">
        <v>55</v>
      </c>
      <c r="P270" s="44" t="s">
        <v>833</v>
      </c>
      <c r="Q270" s="26" t="s">
        <v>57</v>
      </c>
      <c r="R270" s="44" t="s">
        <v>833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833</v>
      </c>
      <c r="Z270" s="30" t="s">
        <v>57</v>
      </c>
      <c r="AA270" s="30" t="s">
        <v>833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 t="s">
        <v>61</v>
      </c>
      <c r="AG270" s="33" t="s">
        <v>55</v>
      </c>
      <c r="AH270" s="33" t="s">
        <v>833</v>
      </c>
      <c r="AI270" s="33" t="s">
        <v>57</v>
      </c>
      <c r="AJ270" s="33" t="s">
        <v>833</v>
      </c>
      <c r="AK270" s="33" t="s">
        <v>56</v>
      </c>
      <c r="AL270" s="27"/>
      <c r="AM270" s="34" t="s">
        <v>57</v>
      </c>
      <c r="AN270" s="35" t="str">
        <f t="shared" si="23"/>
        <v>✓ OK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5135</v>
      </c>
      <c r="C271" s="25" t="s">
        <v>5136</v>
      </c>
      <c r="D271" s="23" t="s">
        <v>4603</v>
      </c>
      <c r="E271" s="42">
        <v>46128</v>
      </c>
      <c r="F271" s="26" t="s">
        <v>55</v>
      </c>
      <c r="G271" s="44" t="s">
        <v>833</v>
      </c>
      <c r="H271" s="26" t="s">
        <v>57</v>
      </c>
      <c r="I271" s="44" t="s">
        <v>833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42">
        <v>46196</v>
      </c>
      <c r="O271" s="26" t="s">
        <v>55</v>
      </c>
      <c r="P271" s="44" t="s">
        <v>833</v>
      </c>
      <c r="Q271" s="26" t="s">
        <v>57</v>
      </c>
      <c r="R271" s="44" t="s">
        <v>833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833</v>
      </c>
      <c r="Z271" s="30" t="s">
        <v>57</v>
      </c>
      <c r="AA271" s="30" t="s">
        <v>833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 t="s">
        <v>61</v>
      </c>
      <c r="AG271" s="33" t="s">
        <v>55</v>
      </c>
      <c r="AH271" s="33" t="s">
        <v>833</v>
      </c>
      <c r="AI271" s="33" t="s">
        <v>57</v>
      </c>
      <c r="AJ271" s="33" t="s">
        <v>833</v>
      </c>
      <c r="AK271" s="33" t="s">
        <v>56</v>
      </c>
      <c r="AL271" s="27"/>
      <c r="AM271" s="34" t="s">
        <v>57</v>
      </c>
      <c r="AN271" s="35" t="str">
        <f t="shared" si="23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5137</v>
      </c>
      <c r="C272" s="41" t="s">
        <v>5138</v>
      </c>
      <c r="D272" s="39" t="s">
        <v>4603</v>
      </c>
      <c r="E272" s="42">
        <v>46128</v>
      </c>
      <c r="F272" s="26" t="s">
        <v>55</v>
      </c>
      <c r="G272" s="44" t="s">
        <v>833</v>
      </c>
      <c r="H272" s="26" t="s">
        <v>57</v>
      </c>
      <c r="I272" s="44" t="s">
        <v>833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42">
        <v>46196</v>
      </c>
      <c r="O272" s="26" t="s">
        <v>55</v>
      </c>
      <c r="P272" s="44" t="s">
        <v>833</v>
      </c>
      <c r="Q272" s="26" t="s">
        <v>57</v>
      </c>
      <c r="R272" s="44" t="s">
        <v>833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833</v>
      </c>
      <c r="Z272" s="30" t="s">
        <v>57</v>
      </c>
      <c r="AA272" s="30" t="s">
        <v>833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 t="s">
        <v>61</v>
      </c>
      <c r="AG272" s="33" t="s">
        <v>55</v>
      </c>
      <c r="AH272" s="33" t="s">
        <v>833</v>
      </c>
      <c r="AI272" s="33" t="s">
        <v>57</v>
      </c>
      <c r="AJ272" s="33" t="s">
        <v>833</v>
      </c>
      <c r="AK272" s="33" t="s">
        <v>56</v>
      </c>
      <c r="AL272" s="27"/>
      <c r="AM272" s="34" t="s">
        <v>57</v>
      </c>
      <c r="AN272" s="35" t="str">
        <f t="shared" si="23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5139</v>
      </c>
      <c r="C273" s="25" t="s">
        <v>5140</v>
      </c>
      <c r="D273" s="23" t="s">
        <v>4603</v>
      </c>
      <c r="E273" s="42">
        <v>46128</v>
      </c>
      <c r="F273" s="26" t="s">
        <v>55</v>
      </c>
      <c r="G273" s="44" t="s">
        <v>833</v>
      </c>
      <c r="H273" s="26" t="s">
        <v>57</v>
      </c>
      <c r="I273" s="44" t="s">
        <v>833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42">
        <v>46196</v>
      </c>
      <c r="O273" s="26" t="s">
        <v>55</v>
      </c>
      <c r="P273" s="44" t="s">
        <v>833</v>
      </c>
      <c r="Q273" s="26" t="s">
        <v>57</v>
      </c>
      <c r="R273" s="44" t="s">
        <v>833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833</v>
      </c>
      <c r="Z273" s="30" t="s">
        <v>57</v>
      </c>
      <c r="AA273" s="30" t="s">
        <v>833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 t="s">
        <v>61</v>
      </c>
      <c r="AG273" s="33" t="s">
        <v>55</v>
      </c>
      <c r="AH273" s="33" t="s">
        <v>833</v>
      </c>
      <c r="AI273" s="33" t="s">
        <v>57</v>
      </c>
      <c r="AJ273" s="33" t="s">
        <v>833</v>
      </c>
      <c r="AK273" s="33" t="s">
        <v>56</v>
      </c>
      <c r="AL273" s="27"/>
      <c r="AM273" s="34" t="s">
        <v>57</v>
      </c>
      <c r="AN273" s="35" t="str">
        <f t="shared" si="23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5141</v>
      </c>
      <c r="C274" s="41" t="s">
        <v>5142</v>
      </c>
      <c r="D274" s="39" t="s">
        <v>4603</v>
      </c>
      <c r="E274" s="42">
        <v>46128</v>
      </c>
      <c r="F274" s="26" t="s">
        <v>55</v>
      </c>
      <c r="G274" s="44" t="s">
        <v>833</v>
      </c>
      <c r="H274" s="26" t="s">
        <v>57</v>
      </c>
      <c r="I274" s="44" t="s">
        <v>833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42">
        <v>46196</v>
      </c>
      <c r="O274" s="26" t="s">
        <v>55</v>
      </c>
      <c r="P274" s="44" t="s">
        <v>833</v>
      </c>
      <c r="Q274" s="26" t="s">
        <v>57</v>
      </c>
      <c r="R274" s="44" t="s">
        <v>833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833</v>
      </c>
      <c r="Z274" s="30" t="s">
        <v>57</v>
      </c>
      <c r="AA274" s="30" t="s">
        <v>833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 t="s">
        <v>61</v>
      </c>
      <c r="AG274" s="33" t="s">
        <v>55</v>
      </c>
      <c r="AH274" s="33" t="s">
        <v>833</v>
      </c>
      <c r="AI274" s="33" t="s">
        <v>57</v>
      </c>
      <c r="AJ274" s="33" t="s">
        <v>833</v>
      </c>
      <c r="AK274" s="33" t="s">
        <v>56</v>
      </c>
      <c r="AL274" s="27"/>
      <c r="AM274" s="34" t="s">
        <v>57</v>
      </c>
      <c r="AN274" s="35" t="str">
        <f t="shared" si="23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5143</v>
      </c>
      <c r="C275" s="25" t="s">
        <v>5144</v>
      </c>
      <c r="D275" s="23" t="s">
        <v>4603</v>
      </c>
      <c r="E275" s="42">
        <v>46128</v>
      </c>
      <c r="F275" s="26" t="s">
        <v>55</v>
      </c>
      <c r="G275" s="44" t="s">
        <v>833</v>
      </c>
      <c r="H275" s="26" t="s">
        <v>57</v>
      </c>
      <c r="I275" s="44" t="s">
        <v>833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42">
        <v>46196</v>
      </c>
      <c r="O275" s="26" t="s">
        <v>55</v>
      </c>
      <c r="P275" s="44" t="s">
        <v>833</v>
      </c>
      <c r="Q275" s="26" t="s">
        <v>57</v>
      </c>
      <c r="R275" s="44" t="s">
        <v>833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833</v>
      </c>
      <c r="Z275" s="30" t="s">
        <v>57</v>
      </c>
      <c r="AA275" s="30" t="s">
        <v>833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 t="s">
        <v>61</v>
      </c>
      <c r="AG275" s="33" t="s">
        <v>55</v>
      </c>
      <c r="AH275" s="33" t="s">
        <v>833</v>
      </c>
      <c r="AI275" s="33" t="s">
        <v>57</v>
      </c>
      <c r="AJ275" s="33" t="s">
        <v>833</v>
      </c>
      <c r="AK275" s="33" t="s">
        <v>56</v>
      </c>
      <c r="AL275" s="27"/>
      <c r="AM275" s="34" t="s">
        <v>57</v>
      </c>
      <c r="AN275" s="35" t="str">
        <f t="shared" si="23"/>
        <v>✓ OK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5145</v>
      </c>
      <c r="C276" s="41" t="s">
        <v>5146</v>
      </c>
      <c r="D276" s="39" t="s">
        <v>4603</v>
      </c>
      <c r="E276" s="42">
        <v>46128</v>
      </c>
      <c r="F276" s="26" t="s">
        <v>55</v>
      </c>
      <c r="G276" s="44" t="s">
        <v>56</v>
      </c>
      <c r="H276" s="26" t="s">
        <v>57</v>
      </c>
      <c r="I276" s="44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42">
        <v>46196</v>
      </c>
      <c r="O276" s="26" t="s">
        <v>55</v>
      </c>
      <c r="P276" s="44" t="s">
        <v>56</v>
      </c>
      <c r="Q276" s="26" t="s">
        <v>57</v>
      </c>
      <c r="R276" s="44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 t="s">
        <v>61</v>
      </c>
      <c r="AG276" s="33" t="s">
        <v>55</v>
      </c>
      <c r="AH276" s="33" t="s">
        <v>56</v>
      </c>
      <c r="AI276" s="33" t="s">
        <v>57</v>
      </c>
      <c r="AJ276" s="33" t="s">
        <v>58</v>
      </c>
      <c r="AK276" s="33" t="s">
        <v>56</v>
      </c>
      <c r="AL276" s="27"/>
      <c r="AM276" s="34" t="s">
        <v>57</v>
      </c>
      <c r="AN276" s="35" t="str">
        <f t="shared" si="23"/>
        <v>✓ OK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5147</v>
      </c>
      <c r="C277" s="25" t="s">
        <v>5148</v>
      </c>
      <c r="D277" s="23" t="s">
        <v>4603</v>
      </c>
      <c r="E277" s="42">
        <v>46128</v>
      </c>
      <c r="F277" s="26" t="s">
        <v>55</v>
      </c>
      <c r="G277" s="44" t="s">
        <v>833</v>
      </c>
      <c r="H277" s="26" t="s">
        <v>57</v>
      </c>
      <c r="I277" s="44" t="s">
        <v>833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42">
        <v>46196</v>
      </c>
      <c r="O277" s="26" t="s">
        <v>55</v>
      </c>
      <c r="P277" s="44" t="s">
        <v>833</v>
      </c>
      <c r="Q277" s="26" t="s">
        <v>57</v>
      </c>
      <c r="R277" s="44" t="s">
        <v>833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833</v>
      </c>
      <c r="Z277" s="30" t="s">
        <v>57</v>
      </c>
      <c r="AA277" s="30" t="s">
        <v>833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 t="s">
        <v>61</v>
      </c>
      <c r="AG277" s="33" t="s">
        <v>55</v>
      </c>
      <c r="AH277" s="33" t="s">
        <v>833</v>
      </c>
      <c r="AI277" s="33" t="s">
        <v>57</v>
      </c>
      <c r="AJ277" s="33" t="s">
        <v>833</v>
      </c>
      <c r="AK277" s="33" t="s">
        <v>56</v>
      </c>
      <c r="AL277" s="27"/>
      <c r="AM277" s="34" t="s">
        <v>57</v>
      </c>
      <c r="AN277" s="35" t="str">
        <f t="shared" si="23"/>
        <v>✓ OK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5149</v>
      </c>
      <c r="C278" s="41" t="s">
        <v>5150</v>
      </c>
      <c r="D278" s="39" t="s">
        <v>4603</v>
      </c>
      <c r="E278" s="42">
        <v>46128</v>
      </c>
      <c r="F278" s="26" t="s">
        <v>55</v>
      </c>
      <c r="G278" s="44" t="s">
        <v>833</v>
      </c>
      <c r="H278" s="26" t="s">
        <v>57</v>
      </c>
      <c r="I278" s="44" t="s">
        <v>833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42">
        <v>46196</v>
      </c>
      <c r="O278" s="26" t="s">
        <v>55</v>
      </c>
      <c r="P278" s="44" t="s">
        <v>833</v>
      </c>
      <c r="Q278" s="26" t="s">
        <v>57</v>
      </c>
      <c r="R278" s="44" t="s">
        <v>833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833</v>
      </c>
      <c r="Z278" s="30" t="s">
        <v>57</v>
      </c>
      <c r="AA278" s="30" t="s">
        <v>833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 t="s">
        <v>61</v>
      </c>
      <c r="AG278" s="33" t="s">
        <v>55</v>
      </c>
      <c r="AH278" s="33" t="s">
        <v>833</v>
      </c>
      <c r="AI278" s="33" t="s">
        <v>57</v>
      </c>
      <c r="AJ278" s="33" t="s">
        <v>833</v>
      </c>
      <c r="AK278" s="33" t="s">
        <v>56</v>
      </c>
      <c r="AL278" s="27"/>
      <c r="AM278" s="34" t="s">
        <v>57</v>
      </c>
      <c r="AN278" s="35" t="str">
        <f t="shared" si="23"/>
        <v>✓ OK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5151</v>
      </c>
      <c r="C279" s="25" t="s">
        <v>5152</v>
      </c>
      <c r="D279" s="23" t="s">
        <v>4603</v>
      </c>
      <c r="E279" s="42">
        <v>46128</v>
      </c>
      <c r="F279" s="26" t="s">
        <v>55</v>
      </c>
      <c r="G279" s="44" t="s">
        <v>833</v>
      </c>
      <c r="H279" s="26" t="s">
        <v>57</v>
      </c>
      <c r="I279" s="44" t="s">
        <v>833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42">
        <v>46196</v>
      </c>
      <c r="O279" s="26" t="s">
        <v>55</v>
      </c>
      <c r="P279" s="44" t="s">
        <v>833</v>
      </c>
      <c r="Q279" s="26" t="s">
        <v>57</v>
      </c>
      <c r="R279" s="44" t="s">
        <v>833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833</v>
      </c>
      <c r="Z279" s="30" t="s">
        <v>57</v>
      </c>
      <c r="AA279" s="30" t="s">
        <v>833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 t="s">
        <v>61</v>
      </c>
      <c r="AG279" s="33" t="s">
        <v>55</v>
      </c>
      <c r="AH279" s="33" t="s">
        <v>833</v>
      </c>
      <c r="AI279" s="33" t="s">
        <v>57</v>
      </c>
      <c r="AJ279" s="33" t="s">
        <v>833</v>
      </c>
      <c r="AK279" s="33" t="s">
        <v>56</v>
      </c>
      <c r="AL279" s="27"/>
      <c r="AM279" s="34" t="s">
        <v>57</v>
      </c>
      <c r="AN279" s="35" t="str">
        <f t="shared" si="23"/>
        <v>✓ OK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5153</v>
      </c>
      <c r="C280" s="41" t="s">
        <v>5154</v>
      </c>
      <c r="D280" s="39" t="s">
        <v>4603</v>
      </c>
      <c r="E280" s="42">
        <v>46128</v>
      </c>
      <c r="F280" s="26" t="s">
        <v>55</v>
      </c>
      <c r="G280" s="44" t="s">
        <v>56</v>
      </c>
      <c r="H280" s="26" t="s">
        <v>57</v>
      </c>
      <c r="I280" s="44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42">
        <v>46196</v>
      </c>
      <c r="O280" s="26" t="s">
        <v>55</v>
      </c>
      <c r="P280" s="44" t="s">
        <v>56</v>
      </c>
      <c r="Q280" s="26" t="s">
        <v>57</v>
      </c>
      <c r="R280" s="44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 t="s">
        <v>61</v>
      </c>
      <c r="AG280" s="33" t="s">
        <v>55</v>
      </c>
      <c r="AH280" s="33" t="s">
        <v>56</v>
      </c>
      <c r="AI280" s="33" t="s">
        <v>57</v>
      </c>
      <c r="AJ280" s="33" t="s">
        <v>58</v>
      </c>
      <c r="AK280" s="33" t="s">
        <v>56</v>
      </c>
      <c r="AL280" s="27"/>
      <c r="AM280" s="34" t="s">
        <v>57</v>
      </c>
      <c r="AN280" s="35" t="str">
        <f t="shared" si="23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5155</v>
      </c>
      <c r="C281" s="25" t="s">
        <v>5156</v>
      </c>
      <c r="D281" s="23" t="s">
        <v>4603</v>
      </c>
      <c r="E281" s="42">
        <v>46128</v>
      </c>
      <c r="F281" s="26" t="s">
        <v>55</v>
      </c>
      <c r="G281" s="44" t="s">
        <v>833</v>
      </c>
      <c r="H281" s="26" t="s">
        <v>57</v>
      </c>
      <c r="I281" s="44" t="s">
        <v>833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42">
        <v>46196</v>
      </c>
      <c r="O281" s="26" t="s">
        <v>55</v>
      </c>
      <c r="P281" s="44" t="s">
        <v>833</v>
      </c>
      <c r="Q281" s="26" t="s">
        <v>57</v>
      </c>
      <c r="R281" s="44" t="s">
        <v>833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833</v>
      </c>
      <c r="Z281" s="30" t="s">
        <v>57</v>
      </c>
      <c r="AA281" s="30" t="s">
        <v>833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 t="s">
        <v>61</v>
      </c>
      <c r="AG281" s="33" t="s">
        <v>55</v>
      </c>
      <c r="AH281" s="33" t="s">
        <v>833</v>
      </c>
      <c r="AI281" s="33" t="s">
        <v>57</v>
      </c>
      <c r="AJ281" s="33" t="s">
        <v>833</v>
      </c>
      <c r="AK281" s="33" t="s">
        <v>56</v>
      </c>
      <c r="AL281" s="27"/>
      <c r="AM281" s="34" t="s">
        <v>57</v>
      </c>
      <c r="AN281" s="35" t="str">
        <f t="shared" si="23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5157</v>
      </c>
      <c r="C282" s="41" t="s">
        <v>5158</v>
      </c>
      <c r="D282" s="39" t="s">
        <v>4603</v>
      </c>
      <c r="E282" s="42">
        <v>46128</v>
      </c>
      <c r="F282" s="26" t="s">
        <v>55</v>
      </c>
      <c r="G282" s="44" t="s">
        <v>833</v>
      </c>
      <c r="H282" s="26" t="s">
        <v>57</v>
      </c>
      <c r="I282" s="44" t="s">
        <v>833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42">
        <v>46196</v>
      </c>
      <c r="O282" s="26" t="s">
        <v>55</v>
      </c>
      <c r="P282" s="44" t="s">
        <v>833</v>
      </c>
      <c r="Q282" s="26" t="s">
        <v>57</v>
      </c>
      <c r="R282" s="44" t="s">
        <v>833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833</v>
      </c>
      <c r="Z282" s="30" t="s">
        <v>57</v>
      </c>
      <c r="AA282" s="30" t="s">
        <v>833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 t="s">
        <v>61</v>
      </c>
      <c r="AG282" s="33" t="s">
        <v>55</v>
      </c>
      <c r="AH282" s="33" t="s">
        <v>833</v>
      </c>
      <c r="AI282" s="33" t="s">
        <v>57</v>
      </c>
      <c r="AJ282" s="33" t="s">
        <v>833</v>
      </c>
      <c r="AK282" s="33" t="s">
        <v>56</v>
      </c>
      <c r="AL282" s="27"/>
      <c r="AM282" s="34" t="s">
        <v>57</v>
      </c>
      <c r="AN282" s="35" t="str">
        <f t="shared" si="23"/>
        <v>✓ OK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5159</v>
      </c>
      <c r="C283" s="25" t="s">
        <v>5160</v>
      </c>
      <c r="D283" s="23" t="s">
        <v>4603</v>
      </c>
      <c r="E283" s="42">
        <v>46128</v>
      </c>
      <c r="F283" s="26" t="s">
        <v>55</v>
      </c>
      <c r="G283" s="44" t="s">
        <v>833</v>
      </c>
      <c r="H283" s="26" t="s">
        <v>57</v>
      </c>
      <c r="I283" s="44" t="s">
        <v>833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42">
        <v>46196</v>
      </c>
      <c r="O283" s="26" t="s">
        <v>55</v>
      </c>
      <c r="P283" s="44" t="s">
        <v>833</v>
      </c>
      <c r="Q283" s="26" t="s">
        <v>57</v>
      </c>
      <c r="R283" s="44" t="s">
        <v>833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833</v>
      </c>
      <c r="Z283" s="30" t="s">
        <v>57</v>
      </c>
      <c r="AA283" s="30" t="s">
        <v>833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 t="s">
        <v>61</v>
      </c>
      <c r="AG283" s="33" t="s">
        <v>55</v>
      </c>
      <c r="AH283" s="33" t="s">
        <v>833</v>
      </c>
      <c r="AI283" s="33" t="s">
        <v>57</v>
      </c>
      <c r="AJ283" s="33" t="s">
        <v>833</v>
      </c>
      <c r="AK283" s="33" t="s">
        <v>56</v>
      </c>
      <c r="AL283" s="27"/>
      <c r="AM283" s="34" t="s">
        <v>57</v>
      </c>
      <c r="AN283" s="35" t="str">
        <f t="shared" si="23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5161</v>
      </c>
      <c r="C284" s="41" t="s">
        <v>5162</v>
      </c>
      <c r="D284" s="39" t="s">
        <v>4603</v>
      </c>
      <c r="E284" s="42">
        <v>46128</v>
      </c>
      <c r="F284" s="26" t="s">
        <v>55</v>
      </c>
      <c r="G284" s="44" t="s">
        <v>833</v>
      </c>
      <c r="H284" s="26" t="s">
        <v>57</v>
      </c>
      <c r="I284" s="44" t="s">
        <v>833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42">
        <v>46196</v>
      </c>
      <c r="O284" s="26" t="s">
        <v>55</v>
      </c>
      <c r="P284" s="44" t="s">
        <v>833</v>
      </c>
      <c r="Q284" s="26" t="s">
        <v>57</v>
      </c>
      <c r="R284" s="44" t="s">
        <v>833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833</v>
      </c>
      <c r="Z284" s="30" t="s">
        <v>57</v>
      </c>
      <c r="AA284" s="30" t="s">
        <v>833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 t="s">
        <v>61</v>
      </c>
      <c r="AG284" s="33" t="s">
        <v>55</v>
      </c>
      <c r="AH284" s="33" t="s">
        <v>833</v>
      </c>
      <c r="AI284" s="33" t="s">
        <v>57</v>
      </c>
      <c r="AJ284" s="33" t="s">
        <v>833</v>
      </c>
      <c r="AK284" s="33" t="s">
        <v>56</v>
      </c>
      <c r="AL284" s="27"/>
      <c r="AM284" s="34" t="s">
        <v>57</v>
      </c>
      <c r="AN284" s="35" t="str">
        <f t="shared" si="23"/>
        <v>✓ OK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5163</v>
      </c>
      <c r="C285" s="25" t="s">
        <v>5164</v>
      </c>
      <c r="D285" s="23" t="s">
        <v>4603</v>
      </c>
      <c r="E285" s="42">
        <v>46128</v>
      </c>
      <c r="F285" s="26" t="s">
        <v>55</v>
      </c>
      <c r="G285" s="44" t="s">
        <v>833</v>
      </c>
      <c r="H285" s="26" t="s">
        <v>57</v>
      </c>
      <c r="I285" s="44" t="s">
        <v>833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42">
        <v>46196</v>
      </c>
      <c r="O285" s="26" t="s">
        <v>55</v>
      </c>
      <c r="P285" s="44" t="s">
        <v>833</v>
      </c>
      <c r="Q285" s="26" t="s">
        <v>57</v>
      </c>
      <c r="R285" s="44" t="s">
        <v>833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833</v>
      </c>
      <c r="Z285" s="30" t="s">
        <v>57</v>
      </c>
      <c r="AA285" s="30" t="s">
        <v>833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 t="s">
        <v>61</v>
      </c>
      <c r="AG285" s="33" t="s">
        <v>55</v>
      </c>
      <c r="AH285" s="33" t="s">
        <v>833</v>
      </c>
      <c r="AI285" s="33" t="s">
        <v>57</v>
      </c>
      <c r="AJ285" s="33" t="s">
        <v>833</v>
      </c>
      <c r="AK285" s="33" t="s">
        <v>56</v>
      </c>
      <c r="AL285" s="27"/>
      <c r="AM285" s="34" t="s">
        <v>57</v>
      </c>
      <c r="AN285" s="35" t="str">
        <f t="shared" si="23"/>
        <v>✓ OK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5165</v>
      </c>
      <c r="C286" s="41" t="s">
        <v>5166</v>
      </c>
      <c r="D286" s="39" t="s">
        <v>4603</v>
      </c>
      <c r="E286" s="42">
        <v>46128</v>
      </c>
      <c r="F286" s="26" t="s">
        <v>55</v>
      </c>
      <c r="G286" s="44" t="s">
        <v>56</v>
      </c>
      <c r="H286" s="26" t="s">
        <v>57</v>
      </c>
      <c r="I286" s="44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42">
        <v>46196</v>
      </c>
      <c r="O286" s="26" t="s">
        <v>55</v>
      </c>
      <c r="P286" s="44" t="s">
        <v>56</v>
      </c>
      <c r="Q286" s="26" t="s">
        <v>57</v>
      </c>
      <c r="R286" s="44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 t="s">
        <v>61</v>
      </c>
      <c r="AG286" s="33" t="s">
        <v>55</v>
      </c>
      <c r="AH286" s="33" t="s">
        <v>56</v>
      </c>
      <c r="AI286" s="33" t="s">
        <v>57</v>
      </c>
      <c r="AJ286" s="33" t="s">
        <v>58</v>
      </c>
      <c r="AK286" s="33" t="s">
        <v>56</v>
      </c>
      <c r="AL286" s="27"/>
      <c r="AM286" s="34" t="s">
        <v>57</v>
      </c>
      <c r="AN286" s="35" t="str">
        <f t="shared" si="23"/>
        <v>✓ OK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5167</v>
      </c>
      <c r="C287" s="25" t="s">
        <v>5168</v>
      </c>
      <c r="D287" s="23" t="s">
        <v>4603</v>
      </c>
      <c r="E287" s="42">
        <v>46128</v>
      </c>
      <c r="F287" s="26" t="s">
        <v>55</v>
      </c>
      <c r="G287" s="44" t="s">
        <v>833</v>
      </c>
      <c r="H287" s="26" t="s">
        <v>57</v>
      </c>
      <c r="I287" s="44" t="s">
        <v>833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42">
        <v>46196</v>
      </c>
      <c r="O287" s="26" t="s">
        <v>55</v>
      </c>
      <c r="P287" s="44" t="s">
        <v>833</v>
      </c>
      <c r="Q287" s="26" t="s">
        <v>57</v>
      </c>
      <c r="R287" s="44" t="s">
        <v>833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833</v>
      </c>
      <c r="Z287" s="30" t="s">
        <v>57</v>
      </c>
      <c r="AA287" s="30" t="s">
        <v>833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 t="s">
        <v>61</v>
      </c>
      <c r="AG287" s="33" t="s">
        <v>55</v>
      </c>
      <c r="AH287" s="33" t="s">
        <v>833</v>
      </c>
      <c r="AI287" s="33" t="s">
        <v>57</v>
      </c>
      <c r="AJ287" s="33" t="s">
        <v>833</v>
      </c>
      <c r="AK287" s="33" t="s">
        <v>56</v>
      </c>
      <c r="AL287" s="27"/>
      <c r="AM287" s="34" t="s">
        <v>57</v>
      </c>
      <c r="AN287" s="35" t="str">
        <f t="shared" si="23"/>
        <v>✓ OK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5169</v>
      </c>
      <c r="C288" s="41" t="s">
        <v>5170</v>
      </c>
      <c r="D288" s="39" t="s">
        <v>4603</v>
      </c>
      <c r="E288" s="42">
        <v>46128</v>
      </c>
      <c r="F288" s="26" t="s">
        <v>55</v>
      </c>
      <c r="G288" s="44" t="s">
        <v>833</v>
      </c>
      <c r="H288" s="26" t="s">
        <v>57</v>
      </c>
      <c r="I288" s="44" t="s">
        <v>833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42">
        <v>46196</v>
      </c>
      <c r="O288" s="26" t="s">
        <v>55</v>
      </c>
      <c r="P288" s="44" t="s">
        <v>833</v>
      </c>
      <c r="Q288" s="26" t="s">
        <v>57</v>
      </c>
      <c r="R288" s="44" t="s">
        <v>833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833</v>
      </c>
      <c r="Z288" s="30" t="s">
        <v>57</v>
      </c>
      <c r="AA288" s="30" t="s">
        <v>833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 t="s">
        <v>61</v>
      </c>
      <c r="AG288" s="33" t="s">
        <v>55</v>
      </c>
      <c r="AH288" s="33" t="s">
        <v>833</v>
      </c>
      <c r="AI288" s="33" t="s">
        <v>57</v>
      </c>
      <c r="AJ288" s="33" t="s">
        <v>833</v>
      </c>
      <c r="AK288" s="33" t="s">
        <v>56</v>
      </c>
      <c r="AL288" s="27"/>
      <c r="AM288" s="34" t="s">
        <v>57</v>
      </c>
      <c r="AN288" s="35" t="str">
        <f t="shared" si="23"/>
        <v>✓ OK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5171</v>
      </c>
      <c r="C289" s="25" t="s">
        <v>5172</v>
      </c>
      <c r="D289" s="23" t="s">
        <v>4603</v>
      </c>
      <c r="E289" s="42">
        <v>46128</v>
      </c>
      <c r="F289" s="26" t="s">
        <v>55</v>
      </c>
      <c r="G289" s="44" t="s">
        <v>56</v>
      </c>
      <c r="H289" s="26" t="s">
        <v>57</v>
      </c>
      <c r="I289" s="44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42">
        <v>46196</v>
      </c>
      <c r="O289" s="26" t="s">
        <v>55</v>
      </c>
      <c r="P289" s="44" t="s">
        <v>56</v>
      </c>
      <c r="Q289" s="26" t="s">
        <v>57</v>
      </c>
      <c r="R289" s="44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 t="s">
        <v>61</v>
      </c>
      <c r="AG289" s="33" t="s">
        <v>55</v>
      </c>
      <c r="AH289" s="33" t="s">
        <v>56</v>
      </c>
      <c r="AI289" s="33" t="s">
        <v>57</v>
      </c>
      <c r="AJ289" s="33" t="s">
        <v>58</v>
      </c>
      <c r="AK289" s="33" t="s">
        <v>56</v>
      </c>
      <c r="AL289" s="27"/>
      <c r="AM289" s="34" t="s">
        <v>57</v>
      </c>
      <c r="AN289" s="35" t="str">
        <f t="shared" si="23"/>
        <v>✓ OK</v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5173</v>
      </c>
      <c r="C290" s="41" t="s">
        <v>5174</v>
      </c>
      <c r="D290" s="39" t="s">
        <v>4603</v>
      </c>
      <c r="E290" s="42">
        <v>46128</v>
      </c>
      <c r="F290" s="26" t="s">
        <v>55</v>
      </c>
      <c r="G290" s="44" t="s">
        <v>833</v>
      </c>
      <c r="H290" s="26" t="s">
        <v>57</v>
      </c>
      <c r="I290" s="44" t="s">
        <v>833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42">
        <v>46196</v>
      </c>
      <c r="O290" s="26" t="s">
        <v>55</v>
      </c>
      <c r="P290" s="44" t="s">
        <v>833</v>
      </c>
      <c r="Q290" s="26" t="s">
        <v>57</v>
      </c>
      <c r="R290" s="44" t="s">
        <v>833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833</v>
      </c>
      <c r="Z290" s="30" t="s">
        <v>57</v>
      </c>
      <c r="AA290" s="30" t="s">
        <v>833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 t="s">
        <v>61</v>
      </c>
      <c r="AG290" s="33" t="s">
        <v>55</v>
      </c>
      <c r="AH290" s="33" t="s">
        <v>833</v>
      </c>
      <c r="AI290" s="33" t="s">
        <v>57</v>
      </c>
      <c r="AJ290" s="33" t="s">
        <v>833</v>
      </c>
      <c r="AK290" s="33" t="s">
        <v>56</v>
      </c>
      <c r="AL290" s="27"/>
      <c r="AM290" s="34" t="s">
        <v>57</v>
      </c>
      <c r="AN290" s="35" t="str">
        <f t="shared" si="23"/>
        <v>✓ OK</v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5175</v>
      </c>
      <c r="C291" s="25" t="s">
        <v>5176</v>
      </c>
      <c r="D291" s="23" t="s">
        <v>4603</v>
      </c>
      <c r="E291" s="42">
        <v>46128</v>
      </c>
      <c r="F291" s="26" t="s">
        <v>55</v>
      </c>
      <c r="G291" s="44" t="s">
        <v>833</v>
      </c>
      <c r="H291" s="26" t="s">
        <v>57</v>
      </c>
      <c r="I291" s="44" t="s">
        <v>833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42">
        <v>46196</v>
      </c>
      <c r="O291" s="26" t="s">
        <v>55</v>
      </c>
      <c r="P291" s="44" t="s">
        <v>833</v>
      </c>
      <c r="Q291" s="26" t="s">
        <v>57</v>
      </c>
      <c r="R291" s="44" t="s">
        <v>833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833</v>
      </c>
      <c r="Z291" s="30" t="s">
        <v>57</v>
      </c>
      <c r="AA291" s="30" t="s">
        <v>833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 t="s">
        <v>61</v>
      </c>
      <c r="AG291" s="33" t="s">
        <v>55</v>
      </c>
      <c r="AH291" s="33" t="s">
        <v>833</v>
      </c>
      <c r="AI291" s="33" t="s">
        <v>57</v>
      </c>
      <c r="AJ291" s="33" t="s">
        <v>833</v>
      </c>
      <c r="AK291" s="33" t="s">
        <v>56</v>
      </c>
      <c r="AL291" s="27"/>
      <c r="AM291" s="34" t="s">
        <v>57</v>
      </c>
      <c r="AN291" s="35" t="str">
        <f t="shared" si="23"/>
        <v>✓ OK</v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5177</v>
      </c>
      <c r="C292" s="41" t="s">
        <v>5178</v>
      </c>
      <c r="D292" s="39" t="s">
        <v>4603</v>
      </c>
      <c r="E292" s="42">
        <v>46128</v>
      </c>
      <c r="F292" s="26" t="s">
        <v>55</v>
      </c>
      <c r="G292" s="44" t="s">
        <v>833</v>
      </c>
      <c r="H292" s="26" t="s">
        <v>57</v>
      </c>
      <c r="I292" s="44" t="s">
        <v>833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42">
        <v>46196</v>
      </c>
      <c r="O292" s="26" t="s">
        <v>55</v>
      </c>
      <c r="P292" s="44" t="s">
        <v>833</v>
      </c>
      <c r="Q292" s="26" t="s">
        <v>57</v>
      </c>
      <c r="R292" s="44" t="s">
        <v>833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833</v>
      </c>
      <c r="Z292" s="30" t="s">
        <v>57</v>
      </c>
      <c r="AA292" s="30" t="s">
        <v>833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 t="s">
        <v>61</v>
      </c>
      <c r="AG292" s="33" t="s">
        <v>55</v>
      </c>
      <c r="AH292" s="33" t="s">
        <v>833</v>
      </c>
      <c r="AI292" s="33" t="s">
        <v>57</v>
      </c>
      <c r="AJ292" s="33" t="s">
        <v>833</v>
      </c>
      <c r="AK292" s="33" t="s">
        <v>56</v>
      </c>
      <c r="AL292" s="27"/>
      <c r="AM292" s="34" t="s">
        <v>57</v>
      </c>
      <c r="AN292" s="35" t="str">
        <f t="shared" si="23"/>
        <v>✓ OK</v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5179</v>
      </c>
      <c r="C293" s="25" t="s">
        <v>5180</v>
      </c>
      <c r="D293" s="23" t="s">
        <v>4603</v>
      </c>
      <c r="E293" s="42">
        <v>46128</v>
      </c>
      <c r="F293" s="26" t="s">
        <v>55</v>
      </c>
      <c r="G293" s="44" t="s">
        <v>833</v>
      </c>
      <c r="H293" s="26" t="s">
        <v>57</v>
      </c>
      <c r="I293" s="44" t="s">
        <v>833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42">
        <v>46196</v>
      </c>
      <c r="O293" s="26" t="s">
        <v>55</v>
      </c>
      <c r="P293" s="44" t="s">
        <v>833</v>
      </c>
      <c r="Q293" s="26" t="s">
        <v>57</v>
      </c>
      <c r="R293" s="44" t="s">
        <v>833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70">
        <v>46248</v>
      </c>
      <c r="X293" s="30" t="s">
        <v>55</v>
      </c>
      <c r="Y293" s="30" t="s">
        <v>833</v>
      </c>
      <c r="Z293" s="30" t="s">
        <v>57</v>
      </c>
      <c r="AA293" s="30" t="s">
        <v>833</v>
      </c>
      <c r="AB293" s="30" t="s">
        <v>56</v>
      </c>
      <c r="AC293" s="27"/>
      <c r="AD293" s="31" t="s">
        <v>57</v>
      </c>
      <c r="AE293" s="32" t="str">
        <f t="shared" si="22"/>
        <v>✓ OK</v>
      </c>
      <c r="AF293" s="33" t="s">
        <v>61</v>
      </c>
      <c r="AG293" s="33" t="s">
        <v>55</v>
      </c>
      <c r="AH293" s="33" t="s">
        <v>833</v>
      </c>
      <c r="AI293" s="33" t="s">
        <v>57</v>
      </c>
      <c r="AJ293" s="33" t="s">
        <v>833</v>
      </c>
      <c r="AK293" s="33" t="s">
        <v>56</v>
      </c>
      <c r="AL293" s="27"/>
      <c r="AM293" s="34" t="s">
        <v>57</v>
      </c>
      <c r="AN293" s="35" t="str">
        <f t="shared" si="23"/>
        <v>✓ OK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5181</v>
      </c>
      <c r="C294" s="41" t="s">
        <v>5182</v>
      </c>
      <c r="D294" s="39" t="s">
        <v>4603</v>
      </c>
      <c r="E294" s="42">
        <v>46128</v>
      </c>
      <c r="F294" s="26" t="s">
        <v>55</v>
      </c>
      <c r="G294" s="44" t="s">
        <v>56</v>
      </c>
      <c r="H294" s="26" t="s">
        <v>57</v>
      </c>
      <c r="I294" s="44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42">
        <v>46196</v>
      </c>
      <c r="O294" s="26" t="s">
        <v>55</v>
      </c>
      <c r="P294" s="44" t="s">
        <v>56</v>
      </c>
      <c r="Q294" s="26" t="s">
        <v>57</v>
      </c>
      <c r="R294" s="44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70">
        <v>46248</v>
      </c>
      <c r="X294" s="30" t="s">
        <v>55</v>
      </c>
      <c r="Y294" s="30" t="s">
        <v>56</v>
      </c>
      <c r="Z294" s="30" t="s">
        <v>57</v>
      </c>
      <c r="AA294" s="30" t="s">
        <v>58</v>
      </c>
      <c r="AB294" s="30" t="s">
        <v>56</v>
      </c>
      <c r="AC294" s="27"/>
      <c r="AD294" s="31" t="s">
        <v>57</v>
      </c>
      <c r="AE294" s="32" t="str">
        <f t="shared" si="22"/>
        <v>✓ OK</v>
      </c>
      <c r="AF294" s="33" t="s">
        <v>61</v>
      </c>
      <c r="AG294" s="33" t="s">
        <v>55</v>
      </c>
      <c r="AH294" s="33" t="s">
        <v>56</v>
      </c>
      <c r="AI294" s="33" t="s">
        <v>57</v>
      </c>
      <c r="AJ294" s="33" t="s">
        <v>58</v>
      </c>
      <c r="AK294" s="33" t="s">
        <v>56</v>
      </c>
      <c r="AL294" s="27"/>
      <c r="AM294" s="34" t="s">
        <v>57</v>
      </c>
      <c r="AN294" s="35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5183</v>
      </c>
      <c r="C295" s="25" t="s">
        <v>5184</v>
      </c>
      <c r="D295" s="23" t="s">
        <v>4603</v>
      </c>
      <c r="E295" s="42">
        <v>46128</v>
      </c>
      <c r="F295" s="26" t="s">
        <v>55</v>
      </c>
      <c r="G295" s="44" t="s">
        <v>833</v>
      </c>
      <c r="H295" s="26" t="s">
        <v>57</v>
      </c>
      <c r="I295" s="44" t="s">
        <v>833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42">
        <v>46196</v>
      </c>
      <c r="O295" s="26" t="s">
        <v>55</v>
      </c>
      <c r="P295" s="44" t="s">
        <v>833</v>
      </c>
      <c r="Q295" s="26" t="s">
        <v>57</v>
      </c>
      <c r="R295" s="44" t="s">
        <v>833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70">
        <v>46248</v>
      </c>
      <c r="X295" s="30" t="s">
        <v>55</v>
      </c>
      <c r="Y295" s="30" t="s">
        <v>833</v>
      </c>
      <c r="Z295" s="30" t="s">
        <v>57</v>
      </c>
      <c r="AA295" s="30" t="s">
        <v>833</v>
      </c>
      <c r="AB295" s="30" t="s">
        <v>56</v>
      </c>
      <c r="AC295" s="27"/>
      <c r="AD295" s="31" t="s">
        <v>57</v>
      </c>
      <c r="AE295" s="32" t="str">
        <f t="shared" si="22"/>
        <v>✓ OK</v>
      </c>
      <c r="AF295" s="33" t="s">
        <v>61</v>
      </c>
      <c r="AG295" s="33" t="s">
        <v>55</v>
      </c>
      <c r="AH295" s="33" t="s">
        <v>833</v>
      </c>
      <c r="AI295" s="33" t="s">
        <v>57</v>
      </c>
      <c r="AJ295" s="33" t="s">
        <v>833</v>
      </c>
      <c r="AK295" s="33" t="s">
        <v>56</v>
      </c>
      <c r="AL295" s="27"/>
      <c r="AM295" s="34" t="s">
        <v>57</v>
      </c>
      <c r="AN295" s="35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5185</v>
      </c>
      <c r="C296" s="41" t="s">
        <v>5186</v>
      </c>
      <c r="D296" s="39" t="s">
        <v>4603</v>
      </c>
      <c r="E296" s="42">
        <v>46128</v>
      </c>
      <c r="F296" s="26" t="s">
        <v>55</v>
      </c>
      <c r="G296" s="44" t="s">
        <v>833</v>
      </c>
      <c r="H296" s="26" t="s">
        <v>57</v>
      </c>
      <c r="I296" s="44" t="s">
        <v>833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42">
        <v>46196</v>
      </c>
      <c r="O296" s="26" t="s">
        <v>55</v>
      </c>
      <c r="P296" s="44" t="s">
        <v>833</v>
      </c>
      <c r="Q296" s="26" t="s">
        <v>57</v>
      </c>
      <c r="R296" s="44" t="s">
        <v>833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70">
        <v>46248</v>
      </c>
      <c r="X296" s="30" t="s">
        <v>55</v>
      </c>
      <c r="Y296" s="30" t="s">
        <v>833</v>
      </c>
      <c r="Z296" s="30" t="s">
        <v>57</v>
      </c>
      <c r="AA296" s="30" t="s">
        <v>833</v>
      </c>
      <c r="AB296" s="30" t="s">
        <v>56</v>
      </c>
      <c r="AC296" s="27"/>
      <c r="AD296" s="31" t="s">
        <v>57</v>
      </c>
      <c r="AE296" s="32" t="str">
        <f t="shared" si="22"/>
        <v>✓ OK</v>
      </c>
      <c r="AF296" s="33" t="s">
        <v>61</v>
      </c>
      <c r="AG296" s="33" t="s">
        <v>55</v>
      </c>
      <c r="AH296" s="33" t="s">
        <v>833</v>
      </c>
      <c r="AI296" s="33" t="s">
        <v>57</v>
      </c>
      <c r="AJ296" s="33" t="s">
        <v>833</v>
      </c>
      <c r="AK296" s="33" t="s">
        <v>56</v>
      </c>
      <c r="AL296" s="27"/>
      <c r="AM296" s="34" t="s">
        <v>57</v>
      </c>
      <c r="AN296" s="35" t="str">
        <f t="shared" si="23"/>
        <v>✓ OK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5187</v>
      </c>
      <c r="C297" s="25" t="s">
        <v>5188</v>
      </c>
      <c r="D297" s="23" t="s">
        <v>4603</v>
      </c>
      <c r="E297" s="42">
        <v>46128</v>
      </c>
      <c r="F297" s="26" t="s">
        <v>55</v>
      </c>
      <c r="G297" s="44" t="s">
        <v>833</v>
      </c>
      <c r="H297" s="26" t="s">
        <v>57</v>
      </c>
      <c r="I297" s="44" t="s">
        <v>833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42">
        <v>46196</v>
      </c>
      <c r="O297" s="26" t="s">
        <v>55</v>
      </c>
      <c r="P297" s="44" t="s">
        <v>833</v>
      </c>
      <c r="Q297" s="26" t="s">
        <v>57</v>
      </c>
      <c r="R297" s="44" t="s">
        <v>833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70">
        <v>46248</v>
      </c>
      <c r="X297" s="30" t="s">
        <v>55</v>
      </c>
      <c r="Y297" s="30" t="s">
        <v>833</v>
      </c>
      <c r="Z297" s="30" t="s">
        <v>57</v>
      </c>
      <c r="AA297" s="30" t="s">
        <v>833</v>
      </c>
      <c r="AB297" s="30" t="s">
        <v>56</v>
      </c>
      <c r="AC297" s="27"/>
      <c r="AD297" s="31" t="s">
        <v>57</v>
      </c>
      <c r="AE297" s="32" t="str">
        <f t="shared" si="22"/>
        <v>✓ OK</v>
      </c>
      <c r="AF297" s="33" t="s">
        <v>61</v>
      </c>
      <c r="AG297" s="33" t="s">
        <v>55</v>
      </c>
      <c r="AH297" s="33" t="s">
        <v>833</v>
      </c>
      <c r="AI297" s="33" t="s">
        <v>57</v>
      </c>
      <c r="AJ297" s="33" t="s">
        <v>833</v>
      </c>
      <c r="AK297" s="33" t="s">
        <v>56</v>
      </c>
      <c r="AL297" s="27"/>
      <c r="AM297" s="34" t="s">
        <v>57</v>
      </c>
      <c r="AN297" s="35" t="str">
        <f t="shared" si="23"/>
        <v>✓ OK</v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5189</v>
      </c>
      <c r="C298" s="41" t="s">
        <v>5190</v>
      </c>
      <c r="D298" s="39" t="s">
        <v>4603</v>
      </c>
      <c r="E298" s="42">
        <v>46128</v>
      </c>
      <c r="F298" s="26" t="s">
        <v>55</v>
      </c>
      <c r="G298" s="44" t="s">
        <v>833</v>
      </c>
      <c r="H298" s="26" t="s">
        <v>57</v>
      </c>
      <c r="I298" s="44" t="s">
        <v>833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42">
        <v>46196</v>
      </c>
      <c r="O298" s="26" t="s">
        <v>55</v>
      </c>
      <c r="P298" s="44" t="s">
        <v>833</v>
      </c>
      <c r="Q298" s="26" t="s">
        <v>57</v>
      </c>
      <c r="R298" s="44" t="s">
        <v>833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70">
        <v>46248</v>
      </c>
      <c r="X298" s="30" t="s">
        <v>55</v>
      </c>
      <c r="Y298" s="30" t="s">
        <v>833</v>
      </c>
      <c r="Z298" s="30" t="s">
        <v>57</v>
      </c>
      <c r="AA298" s="30" t="s">
        <v>833</v>
      </c>
      <c r="AB298" s="30" t="s">
        <v>56</v>
      </c>
      <c r="AC298" s="27"/>
      <c r="AD298" s="31" t="s">
        <v>57</v>
      </c>
      <c r="AE298" s="32" t="str">
        <f t="shared" si="22"/>
        <v>✓ OK</v>
      </c>
      <c r="AF298" s="33" t="s">
        <v>61</v>
      </c>
      <c r="AG298" s="33" t="s">
        <v>55</v>
      </c>
      <c r="AH298" s="33" t="s">
        <v>833</v>
      </c>
      <c r="AI298" s="33" t="s">
        <v>57</v>
      </c>
      <c r="AJ298" s="33" t="s">
        <v>833</v>
      </c>
      <c r="AK298" s="33" t="s">
        <v>56</v>
      </c>
      <c r="AL298" s="27"/>
      <c r="AM298" s="34" t="s">
        <v>57</v>
      </c>
      <c r="AN298" s="35" t="str">
        <f t="shared" si="23"/>
        <v>✓ OK</v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5191</v>
      </c>
      <c r="C299" s="25" t="s">
        <v>5192</v>
      </c>
      <c r="D299" s="23" t="s">
        <v>4603</v>
      </c>
      <c r="E299" s="42">
        <v>46128</v>
      </c>
      <c r="F299" s="26" t="s">
        <v>55</v>
      </c>
      <c r="G299" s="44" t="s">
        <v>833</v>
      </c>
      <c r="H299" s="26" t="s">
        <v>57</v>
      </c>
      <c r="I299" s="44" t="s">
        <v>833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42">
        <v>46196</v>
      </c>
      <c r="O299" s="26" t="s">
        <v>55</v>
      </c>
      <c r="P299" s="44" t="s">
        <v>833</v>
      </c>
      <c r="Q299" s="26" t="s">
        <v>57</v>
      </c>
      <c r="R299" s="44" t="s">
        <v>833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70">
        <v>46248</v>
      </c>
      <c r="X299" s="30" t="s">
        <v>55</v>
      </c>
      <c r="Y299" s="30" t="s">
        <v>833</v>
      </c>
      <c r="Z299" s="30" t="s">
        <v>57</v>
      </c>
      <c r="AA299" s="30" t="s">
        <v>833</v>
      </c>
      <c r="AB299" s="30" t="s">
        <v>56</v>
      </c>
      <c r="AC299" s="27"/>
      <c r="AD299" s="31" t="s">
        <v>57</v>
      </c>
      <c r="AE299" s="32" t="str">
        <f t="shared" si="22"/>
        <v>✓ OK</v>
      </c>
      <c r="AF299" s="33" t="s">
        <v>61</v>
      </c>
      <c r="AG299" s="33" t="s">
        <v>55</v>
      </c>
      <c r="AH299" s="33" t="s">
        <v>833</v>
      </c>
      <c r="AI299" s="33" t="s">
        <v>57</v>
      </c>
      <c r="AJ299" s="33" t="s">
        <v>833</v>
      </c>
      <c r="AK299" s="33" t="s">
        <v>56</v>
      </c>
      <c r="AL299" s="27"/>
      <c r="AM299" s="34" t="s">
        <v>57</v>
      </c>
      <c r="AN299" s="35" t="str">
        <f t="shared" si="23"/>
        <v>✓ OK</v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5193</v>
      </c>
      <c r="C300" s="41" t="s">
        <v>5194</v>
      </c>
      <c r="D300" s="39" t="s">
        <v>4603</v>
      </c>
      <c r="E300" s="42">
        <v>46128</v>
      </c>
      <c r="F300" s="26" t="s">
        <v>55</v>
      </c>
      <c r="G300" s="44" t="s">
        <v>833</v>
      </c>
      <c r="H300" s="26" t="s">
        <v>57</v>
      </c>
      <c r="I300" s="44" t="s">
        <v>833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42">
        <v>46196</v>
      </c>
      <c r="O300" s="26" t="s">
        <v>55</v>
      </c>
      <c r="P300" s="44" t="s">
        <v>833</v>
      </c>
      <c r="Q300" s="26" t="s">
        <v>57</v>
      </c>
      <c r="R300" s="44" t="s">
        <v>833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70">
        <v>46248</v>
      </c>
      <c r="X300" s="30" t="s">
        <v>55</v>
      </c>
      <c r="Y300" s="30" t="s">
        <v>833</v>
      </c>
      <c r="Z300" s="30" t="s">
        <v>57</v>
      </c>
      <c r="AA300" s="30" t="s">
        <v>833</v>
      </c>
      <c r="AB300" s="30" t="s">
        <v>56</v>
      </c>
      <c r="AC300" s="27"/>
      <c r="AD300" s="31" t="s">
        <v>57</v>
      </c>
      <c r="AE300" s="32" t="str">
        <f t="shared" si="22"/>
        <v>✓ OK</v>
      </c>
      <c r="AF300" s="33" t="s">
        <v>61</v>
      </c>
      <c r="AG300" s="33" t="s">
        <v>55</v>
      </c>
      <c r="AH300" s="33" t="s">
        <v>833</v>
      </c>
      <c r="AI300" s="33" t="s">
        <v>57</v>
      </c>
      <c r="AJ300" s="33" t="s">
        <v>833</v>
      </c>
      <c r="AK300" s="33" t="s">
        <v>56</v>
      </c>
      <c r="AL300" s="27"/>
      <c r="AM300" s="34" t="s">
        <v>57</v>
      </c>
      <c r="AN300" s="35" t="str">
        <f t="shared" si="23"/>
        <v>✓ OK</v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5195</v>
      </c>
      <c r="C301" s="25" t="s">
        <v>5196</v>
      </c>
      <c r="D301" s="23" t="s">
        <v>4603</v>
      </c>
      <c r="E301" s="42">
        <v>46128</v>
      </c>
      <c r="F301" s="26" t="s">
        <v>55</v>
      </c>
      <c r="G301" s="44" t="s">
        <v>56</v>
      </c>
      <c r="H301" s="26" t="s">
        <v>57</v>
      </c>
      <c r="I301" s="44" t="s">
        <v>278</v>
      </c>
      <c r="J301" s="26" t="s">
        <v>57</v>
      </c>
      <c r="K301" s="27" t="s">
        <v>5018</v>
      </c>
      <c r="L301" s="28" t="s">
        <v>56</v>
      </c>
      <c r="M301" s="29" t="str">
        <f t="shared" si="20"/>
        <v>⚠ Check</v>
      </c>
      <c r="N301" s="42">
        <v>46196</v>
      </c>
      <c r="O301" s="26" t="s">
        <v>55</v>
      </c>
      <c r="P301" s="44" t="s">
        <v>56</v>
      </c>
      <c r="Q301" s="26" t="s">
        <v>57</v>
      </c>
      <c r="R301" s="44" t="s">
        <v>278</v>
      </c>
      <c r="S301" s="26" t="s">
        <v>57</v>
      </c>
      <c r="T301" s="27" t="s">
        <v>5018</v>
      </c>
      <c r="U301" s="28" t="s">
        <v>56</v>
      </c>
      <c r="V301" s="29" t="str">
        <f t="shared" si="21"/>
        <v>⚠ Check</v>
      </c>
      <c r="W301" s="70">
        <v>46248</v>
      </c>
      <c r="X301" s="30" t="s">
        <v>55</v>
      </c>
      <c r="Y301" s="30" t="s">
        <v>56</v>
      </c>
      <c r="Z301" s="30" t="s">
        <v>57</v>
      </c>
      <c r="AA301" s="30" t="s">
        <v>278</v>
      </c>
      <c r="AB301" s="30" t="s">
        <v>57</v>
      </c>
      <c r="AC301" s="27" t="s">
        <v>5018</v>
      </c>
      <c r="AD301" s="31" t="s">
        <v>56</v>
      </c>
      <c r="AE301" s="32" t="str">
        <f t="shared" si="22"/>
        <v>⚠ Check</v>
      </c>
      <c r="AF301" s="33" t="s">
        <v>61</v>
      </c>
      <c r="AG301" s="33" t="s">
        <v>55</v>
      </c>
      <c r="AH301" s="33" t="s">
        <v>56</v>
      </c>
      <c r="AI301" s="33" t="s">
        <v>57</v>
      </c>
      <c r="AJ301" s="33" t="s">
        <v>58</v>
      </c>
      <c r="AK301" s="33" t="s">
        <v>56</v>
      </c>
      <c r="AL301" s="27" t="s">
        <v>5018</v>
      </c>
      <c r="AM301" s="34" t="s">
        <v>57</v>
      </c>
      <c r="AN301" s="35" t="str">
        <f t="shared" si="23"/>
        <v>✓ OK</v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5197</v>
      </c>
      <c r="C302" s="41" t="s">
        <v>5198</v>
      </c>
      <c r="D302" s="39" t="s">
        <v>4603</v>
      </c>
      <c r="E302" s="42">
        <v>46128</v>
      </c>
      <c r="F302" s="26" t="s">
        <v>55</v>
      </c>
      <c r="G302" s="44" t="s">
        <v>833</v>
      </c>
      <c r="H302" s="26" t="s">
        <v>57</v>
      </c>
      <c r="I302" s="44" t="s">
        <v>833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42">
        <v>46196</v>
      </c>
      <c r="O302" s="26" t="s">
        <v>55</v>
      </c>
      <c r="P302" s="44" t="s">
        <v>833</v>
      </c>
      <c r="Q302" s="26" t="s">
        <v>57</v>
      </c>
      <c r="R302" s="44" t="s">
        <v>833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70">
        <v>46248</v>
      </c>
      <c r="X302" s="30" t="s">
        <v>55</v>
      </c>
      <c r="Y302" s="30" t="s">
        <v>833</v>
      </c>
      <c r="Z302" s="30" t="s">
        <v>57</v>
      </c>
      <c r="AA302" s="30" t="s">
        <v>833</v>
      </c>
      <c r="AB302" s="30" t="s">
        <v>56</v>
      </c>
      <c r="AC302" s="27"/>
      <c r="AD302" s="31" t="s">
        <v>57</v>
      </c>
      <c r="AE302" s="32" t="str">
        <f t="shared" si="22"/>
        <v>✓ OK</v>
      </c>
      <c r="AF302" s="33" t="s">
        <v>61</v>
      </c>
      <c r="AG302" s="33" t="s">
        <v>55</v>
      </c>
      <c r="AH302" s="33" t="s">
        <v>833</v>
      </c>
      <c r="AI302" s="33" t="s">
        <v>57</v>
      </c>
      <c r="AJ302" s="33" t="s">
        <v>833</v>
      </c>
      <c r="AK302" s="33" t="s">
        <v>56</v>
      </c>
      <c r="AL302" s="27"/>
      <c r="AM302" s="34" t="s">
        <v>57</v>
      </c>
      <c r="AN302" s="35" t="str">
        <f t="shared" si="23"/>
        <v>✓ OK</v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5199</v>
      </c>
      <c r="C303" s="25" t="s">
        <v>5200</v>
      </c>
      <c r="D303" s="23" t="s">
        <v>4603</v>
      </c>
      <c r="E303" s="42">
        <v>46128</v>
      </c>
      <c r="F303" s="26" t="s">
        <v>55</v>
      </c>
      <c r="G303" s="44" t="s">
        <v>833</v>
      </c>
      <c r="H303" s="26" t="s">
        <v>57</v>
      </c>
      <c r="I303" s="44" t="s">
        <v>833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42">
        <v>46196</v>
      </c>
      <c r="O303" s="26" t="s">
        <v>55</v>
      </c>
      <c r="P303" s="44" t="s">
        <v>833</v>
      </c>
      <c r="Q303" s="26" t="s">
        <v>57</v>
      </c>
      <c r="R303" s="44" t="s">
        <v>833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70">
        <v>46248</v>
      </c>
      <c r="X303" s="30" t="s">
        <v>55</v>
      </c>
      <c r="Y303" s="30" t="s">
        <v>833</v>
      </c>
      <c r="Z303" s="30" t="s">
        <v>57</v>
      </c>
      <c r="AA303" s="30" t="s">
        <v>833</v>
      </c>
      <c r="AB303" s="30" t="s">
        <v>56</v>
      </c>
      <c r="AC303" s="27"/>
      <c r="AD303" s="31" t="s">
        <v>57</v>
      </c>
      <c r="AE303" s="32" t="str">
        <f t="shared" si="22"/>
        <v>✓ OK</v>
      </c>
      <c r="AF303" s="33" t="s">
        <v>61</v>
      </c>
      <c r="AG303" s="33" t="s">
        <v>55</v>
      </c>
      <c r="AH303" s="33" t="s">
        <v>833</v>
      </c>
      <c r="AI303" s="33" t="s">
        <v>57</v>
      </c>
      <c r="AJ303" s="33" t="s">
        <v>833</v>
      </c>
      <c r="AK303" s="33" t="s">
        <v>56</v>
      </c>
      <c r="AL303" s="27"/>
      <c r="AM303" s="34" t="s">
        <v>57</v>
      </c>
      <c r="AN303" s="35" t="str">
        <f t="shared" si="23"/>
        <v>✓ OK</v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5201</v>
      </c>
      <c r="C304" s="41" t="s">
        <v>5202</v>
      </c>
      <c r="D304" s="39" t="s">
        <v>4603</v>
      </c>
      <c r="E304" s="42">
        <v>46128</v>
      </c>
      <c r="F304" s="26" t="s">
        <v>55</v>
      </c>
      <c r="G304" s="44" t="s">
        <v>833</v>
      </c>
      <c r="H304" s="26" t="s">
        <v>57</v>
      </c>
      <c r="I304" s="44" t="s">
        <v>833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42">
        <v>46196</v>
      </c>
      <c r="O304" s="26" t="s">
        <v>55</v>
      </c>
      <c r="P304" s="44" t="s">
        <v>833</v>
      </c>
      <c r="Q304" s="26" t="s">
        <v>57</v>
      </c>
      <c r="R304" s="44" t="s">
        <v>833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70">
        <v>46248</v>
      </c>
      <c r="X304" s="30" t="s">
        <v>55</v>
      </c>
      <c r="Y304" s="30" t="s">
        <v>833</v>
      </c>
      <c r="Z304" s="30" t="s">
        <v>57</v>
      </c>
      <c r="AA304" s="30" t="s">
        <v>833</v>
      </c>
      <c r="AB304" s="30" t="s">
        <v>56</v>
      </c>
      <c r="AC304" s="27"/>
      <c r="AD304" s="31" t="s">
        <v>57</v>
      </c>
      <c r="AE304" s="32" t="str">
        <f t="shared" si="22"/>
        <v>✓ OK</v>
      </c>
      <c r="AF304" s="33" t="s">
        <v>61</v>
      </c>
      <c r="AG304" s="33" t="s">
        <v>55</v>
      </c>
      <c r="AH304" s="33" t="s">
        <v>833</v>
      </c>
      <c r="AI304" s="33" t="s">
        <v>57</v>
      </c>
      <c r="AJ304" s="33" t="s">
        <v>833</v>
      </c>
      <c r="AK304" s="33" t="s">
        <v>56</v>
      </c>
      <c r="AL304" s="27"/>
      <c r="AM304" s="34" t="s">
        <v>57</v>
      </c>
      <c r="AN304" s="35" t="str">
        <f t="shared" si="23"/>
        <v>✓ OK</v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5203</v>
      </c>
      <c r="C305" s="25" t="s">
        <v>5204</v>
      </c>
      <c r="D305" s="23" t="s">
        <v>4603</v>
      </c>
      <c r="E305" s="42">
        <v>46128</v>
      </c>
      <c r="F305" s="26" t="s">
        <v>55</v>
      </c>
      <c r="G305" s="44" t="s">
        <v>56</v>
      </c>
      <c r="H305" s="26" t="s">
        <v>57</v>
      </c>
      <c r="I305" s="44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42">
        <v>46196</v>
      </c>
      <c r="O305" s="26" t="s">
        <v>55</v>
      </c>
      <c r="P305" s="44" t="s">
        <v>56</v>
      </c>
      <c r="Q305" s="26" t="s">
        <v>57</v>
      </c>
      <c r="R305" s="44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70">
        <v>46248</v>
      </c>
      <c r="X305" s="30" t="s">
        <v>55</v>
      </c>
      <c r="Y305" s="30" t="s">
        <v>56</v>
      </c>
      <c r="Z305" s="30" t="s">
        <v>57</v>
      </c>
      <c r="AA305" s="30" t="s">
        <v>58</v>
      </c>
      <c r="AB305" s="30" t="s">
        <v>56</v>
      </c>
      <c r="AC305" s="27"/>
      <c r="AD305" s="31" t="s">
        <v>57</v>
      </c>
      <c r="AE305" s="32" t="str">
        <f t="shared" si="22"/>
        <v>✓ OK</v>
      </c>
      <c r="AF305" s="33" t="s">
        <v>61</v>
      </c>
      <c r="AG305" s="33" t="s">
        <v>55</v>
      </c>
      <c r="AH305" s="33" t="s">
        <v>56</v>
      </c>
      <c r="AI305" s="33" t="s">
        <v>57</v>
      </c>
      <c r="AJ305" s="33" t="s">
        <v>58</v>
      </c>
      <c r="AK305" s="33" t="s">
        <v>56</v>
      </c>
      <c r="AL305" s="27"/>
      <c r="AM305" s="34" t="s">
        <v>57</v>
      </c>
      <c r="AN305" s="35" t="str">
        <f t="shared" si="23"/>
        <v>✓ OK</v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5205</v>
      </c>
      <c r="C306" s="41" t="s">
        <v>5206</v>
      </c>
      <c r="D306" s="39" t="s">
        <v>4603</v>
      </c>
      <c r="E306" s="42">
        <v>46128</v>
      </c>
      <c r="F306" s="26" t="s">
        <v>55</v>
      </c>
      <c r="G306" s="44" t="s">
        <v>56</v>
      </c>
      <c r="H306" s="26" t="s">
        <v>57</v>
      </c>
      <c r="I306" s="44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42">
        <v>46196</v>
      </c>
      <c r="O306" s="26" t="s">
        <v>55</v>
      </c>
      <c r="P306" s="44" t="s">
        <v>56</v>
      </c>
      <c r="Q306" s="26" t="s">
        <v>57</v>
      </c>
      <c r="R306" s="44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70">
        <v>46248</v>
      </c>
      <c r="X306" s="30" t="s">
        <v>55</v>
      </c>
      <c r="Y306" s="30" t="s">
        <v>56</v>
      </c>
      <c r="Z306" s="30" t="s">
        <v>57</v>
      </c>
      <c r="AA306" s="30" t="s">
        <v>58</v>
      </c>
      <c r="AB306" s="30" t="s">
        <v>56</v>
      </c>
      <c r="AC306" s="27"/>
      <c r="AD306" s="31" t="s">
        <v>57</v>
      </c>
      <c r="AE306" s="32" t="str">
        <f t="shared" si="22"/>
        <v>✓ OK</v>
      </c>
      <c r="AF306" s="33" t="s">
        <v>61</v>
      </c>
      <c r="AG306" s="33" t="s">
        <v>55</v>
      </c>
      <c r="AH306" s="33" t="s">
        <v>56</v>
      </c>
      <c r="AI306" s="33" t="s">
        <v>57</v>
      </c>
      <c r="AJ306" s="33" t="s">
        <v>58</v>
      </c>
      <c r="AK306" s="33" t="s">
        <v>56</v>
      </c>
      <c r="AL306" s="27"/>
      <c r="AM306" s="34" t="s">
        <v>57</v>
      </c>
      <c r="AN306" s="35" t="str">
        <f t="shared" si="23"/>
        <v>✓ OK</v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5207</v>
      </c>
      <c r="C307" s="25" t="s">
        <v>5208</v>
      </c>
      <c r="D307" s="23" t="s">
        <v>4603</v>
      </c>
      <c r="E307" s="42">
        <v>46128</v>
      </c>
      <c r="F307" s="26" t="s">
        <v>55</v>
      </c>
      <c r="G307" s="44" t="s">
        <v>833</v>
      </c>
      <c r="H307" s="26" t="s">
        <v>57</v>
      </c>
      <c r="I307" s="44" t="s">
        <v>833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42">
        <v>46196</v>
      </c>
      <c r="O307" s="26" t="s">
        <v>55</v>
      </c>
      <c r="P307" s="44" t="s">
        <v>833</v>
      </c>
      <c r="Q307" s="26" t="s">
        <v>57</v>
      </c>
      <c r="R307" s="44" t="s">
        <v>833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70">
        <v>46248</v>
      </c>
      <c r="X307" s="30" t="s">
        <v>55</v>
      </c>
      <c r="Y307" s="30" t="s">
        <v>833</v>
      </c>
      <c r="Z307" s="30" t="s">
        <v>57</v>
      </c>
      <c r="AA307" s="30" t="s">
        <v>833</v>
      </c>
      <c r="AB307" s="30" t="s">
        <v>56</v>
      </c>
      <c r="AC307" s="27"/>
      <c r="AD307" s="31" t="s">
        <v>57</v>
      </c>
      <c r="AE307" s="32" t="str">
        <f t="shared" si="22"/>
        <v>✓ OK</v>
      </c>
      <c r="AF307" s="33" t="s">
        <v>61</v>
      </c>
      <c r="AG307" s="33" t="s">
        <v>55</v>
      </c>
      <c r="AH307" s="33" t="s">
        <v>833</v>
      </c>
      <c r="AI307" s="33" t="s">
        <v>57</v>
      </c>
      <c r="AJ307" s="33" t="s">
        <v>833</v>
      </c>
      <c r="AK307" s="33" t="s">
        <v>56</v>
      </c>
      <c r="AL307" s="27"/>
      <c r="AM307" s="34" t="s">
        <v>57</v>
      </c>
      <c r="AN307" s="35" t="str">
        <f t="shared" si="23"/>
        <v>✓ OK</v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5209</v>
      </c>
      <c r="C308" s="41" t="s">
        <v>5210</v>
      </c>
      <c r="D308" s="39" t="s">
        <v>4603</v>
      </c>
      <c r="E308" s="42">
        <v>46128</v>
      </c>
      <c r="F308" s="26" t="s">
        <v>55</v>
      </c>
      <c r="G308" s="44" t="s">
        <v>833</v>
      </c>
      <c r="H308" s="26" t="s">
        <v>57</v>
      </c>
      <c r="I308" s="44" t="s">
        <v>833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42">
        <v>46196</v>
      </c>
      <c r="O308" s="26" t="s">
        <v>55</v>
      </c>
      <c r="P308" s="44" t="s">
        <v>833</v>
      </c>
      <c r="Q308" s="26" t="s">
        <v>57</v>
      </c>
      <c r="R308" s="44" t="s">
        <v>833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70">
        <v>46248</v>
      </c>
      <c r="X308" s="30" t="s">
        <v>55</v>
      </c>
      <c r="Y308" s="30" t="s">
        <v>833</v>
      </c>
      <c r="Z308" s="30" t="s">
        <v>57</v>
      </c>
      <c r="AA308" s="30" t="s">
        <v>833</v>
      </c>
      <c r="AB308" s="30" t="s">
        <v>56</v>
      </c>
      <c r="AC308" s="27"/>
      <c r="AD308" s="31" t="s">
        <v>57</v>
      </c>
      <c r="AE308" s="32" t="str">
        <f t="shared" si="22"/>
        <v>✓ OK</v>
      </c>
      <c r="AF308" s="33" t="s">
        <v>61</v>
      </c>
      <c r="AG308" s="33" t="s">
        <v>55</v>
      </c>
      <c r="AH308" s="33" t="s">
        <v>833</v>
      </c>
      <c r="AI308" s="33" t="s">
        <v>57</v>
      </c>
      <c r="AJ308" s="33" t="s">
        <v>833</v>
      </c>
      <c r="AK308" s="33" t="s">
        <v>56</v>
      </c>
      <c r="AL308" s="27"/>
      <c r="AM308" s="34" t="s">
        <v>57</v>
      </c>
      <c r="AN308" s="35" t="str">
        <f t="shared" si="23"/>
        <v>✓ OK</v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5211</v>
      </c>
      <c r="C309" s="25" t="s">
        <v>5212</v>
      </c>
      <c r="D309" s="23" t="s">
        <v>4603</v>
      </c>
      <c r="E309" s="42">
        <v>46128</v>
      </c>
      <c r="F309" s="26" t="s">
        <v>55</v>
      </c>
      <c r="G309" s="44" t="s">
        <v>833</v>
      </c>
      <c r="H309" s="26" t="s">
        <v>57</v>
      </c>
      <c r="I309" s="44" t="s">
        <v>833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42">
        <v>46196</v>
      </c>
      <c r="O309" s="26" t="s">
        <v>55</v>
      </c>
      <c r="P309" s="44" t="s">
        <v>833</v>
      </c>
      <c r="Q309" s="26" t="s">
        <v>57</v>
      </c>
      <c r="R309" s="44" t="s">
        <v>833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70">
        <v>46248</v>
      </c>
      <c r="X309" s="30" t="s">
        <v>55</v>
      </c>
      <c r="Y309" s="30" t="s">
        <v>833</v>
      </c>
      <c r="Z309" s="30" t="s">
        <v>57</v>
      </c>
      <c r="AA309" s="30" t="s">
        <v>833</v>
      </c>
      <c r="AB309" s="30" t="s">
        <v>56</v>
      </c>
      <c r="AC309" s="27"/>
      <c r="AD309" s="31" t="s">
        <v>57</v>
      </c>
      <c r="AE309" s="32" t="str">
        <f t="shared" si="22"/>
        <v>✓ OK</v>
      </c>
      <c r="AF309" s="33" t="s">
        <v>61</v>
      </c>
      <c r="AG309" s="33" t="s">
        <v>55</v>
      </c>
      <c r="AH309" s="33" t="s">
        <v>833</v>
      </c>
      <c r="AI309" s="33" t="s">
        <v>57</v>
      </c>
      <c r="AJ309" s="33" t="s">
        <v>833</v>
      </c>
      <c r="AK309" s="33" t="s">
        <v>56</v>
      </c>
      <c r="AL309" s="27"/>
      <c r="AM309" s="34" t="s">
        <v>57</v>
      </c>
      <c r="AN309" s="35" t="str">
        <f t="shared" si="23"/>
        <v>✓ OK</v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5213</v>
      </c>
      <c r="C310" s="41" t="s">
        <v>5214</v>
      </c>
      <c r="D310" s="39" t="s">
        <v>4603</v>
      </c>
      <c r="E310" s="42">
        <v>46128</v>
      </c>
      <c r="F310" s="26" t="s">
        <v>55</v>
      </c>
      <c r="G310" s="44" t="s">
        <v>56</v>
      </c>
      <c r="H310" s="26" t="s">
        <v>57</v>
      </c>
      <c r="I310" s="44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42">
        <v>46196</v>
      </c>
      <c r="O310" s="26" t="s">
        <v>55</v>
      </c>
      <c r="P310" s="44" t="s">
        <v>56</v>
      </c>
      <c r="Q310" s="26" t="s">
        <v>57</v>
      </c>
      <c r="R310" s="44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70">
        <v>46248</v>
      </c>
      <c r="X310" s="30" t="s">
        <v>55</v>
      </c>
      <c r="Y310" s="30" t="s">
        <v>56</v>
      </c>
      <c r="Z310" s="30" t="s">
        <v>57</v>
      </c>
      <c r="AA310" s="30" t="s">
        <v>58</v>
      </c>
      <c r="AB310" s="30" t="s">
        <v>56</v>
      </c>
      <c r="AC310" s="27"/>
      <c r="AD310" s="31" t="s">
        <v>57</v>
      </c>
      <c r="AE310" s="32" t="str">
        <f t="shared" si="22"/>
        <v>✓ OK</v>
      </c>
      <c r="AF310" s="33" t="s">
        <v>61</v>
      </c>
      <c r="AG310" s="33" t="s">
        <v>55</v>
      </c>
      <c r="AH310" s="33" t="s">
        <v>56</v>
      </c>
      <c r="AI310" s="33" t="s">
        <v>57</v>
      </c>
      <c r="AJ310" s="33" t="s">
        <v>58</v>
      </c>
      <c r="AK310" s="33" t="s">
        <v>56</v>
      </c>
      <c r="AL310" s="27"/>
      <c r="AM310" s="34" t="s">
        <v>57</v>
      </c>
      <c r="AN310" s="35" t="str">
        <f t="shared" si="23"/>
        <v>✓ OK</v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5215</v>
      </c>
      <c r="C311" s="25" t="s">
        <v>5216</v>
      </c>
      <c r="D311" s="23" t="s">
        <v>4603</v>
      </c>
      <c r="E311" s="42">
        <v>46128</v>
      </c>
      <c r="F311" s="26" t="s">
        <v>55</v>
      </c>
      <c r="G311" s="44" t="s">
        <v>833</v>
      </c>
      <c r="H311" s="26" t="s">
        <v>57</v>
      </c>
      <c r="I311" s="44" t="s">
        <v>833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42">
        <v>46196</v>
      </c>
      <c r="O311" s="26" t="s">
        <v>55</v>
      </c>
      <c r="P311" s="44" t="s">
        <v>833</v>
      </c>
      <c r="Q311" s="26" t="s">
        <v>57</v>
      </c>
      <c r="R311" s="44" t="s">
        <v>833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70">
        <v>46248</v>
      </c>
      <c r="X311" s="30" t="s">
        <v>55</v>
      </c>
      <c r="Y311" s="30" t="s">
        <v>833</v>
      </c>
      <c r="Z311" s="30" t="s">
        <v>57</v>
      </c>
      <c r="AA311" s="30" t="s">
        <v>833</v>
      </c>
      <c r="AB311" s="30" t="s">
        <v>56</v>
      </c>
      <c r="AC311" s="27"/>
      <c r="AD311" s="31" t="s">
        <v>57</v>
      </c>
      <c r="AE311" s="32" t="str">
        <f t="shared" si="22"/>
        <v>✓ OK</v>
      </c>
      <c r="AF311" s="33" t="s">
        <v>61</v>
      </c>
      <c r="AG311" s="33" t="s">
        <v>55</v>
      </c>
      <c r="AH311" s="33" t="s">
        <v>833</v>
      </c>
      <c r="AI311" s="33" t="s">
        <v>57</v>
      </c>
      <c r="AJ311" s="33" t="s">
        <v>833</v>
      </c>
      <c r="AK311" s="33" t="s">
        <v>56</v>
      </c>
      <c r="AL311" s="27"/>
      <c r="AM311" s="34" t="s">
        <v>57</v>
      </c>
      <c r="AN311" s="35" t="str">
        <f t="shared" si="23"/>
        <v>✓ OK</v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5217</v>
      </c>
      <c r="C312" s="41" t="s">
        <v>5218</v>
      </c>
      <c r="D312" s="39" t="s">
        <v>4603</v>
      </c>
      <c r="E312" s="42">
        <v>46128</v>
      </c>
      <c r="F312" s="26" t="s">
        <v>55</v>
      </c>
      <c r="G312" s="44" t="s">
        <v>833</v>
      </c>
      <c r="H312" s="26" t="s">
        <v>57</v>
      </c>
      <c r="I312" s="44" t="s">
        <v>833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42">
        <v>46196</v>
      </c>
      <c r="O312" s="26" t="s">
        <v>55</v>
      </c>
      <c r="P312" s="44" t="s">
        <v>833</v>
      </c>
      <c r="Q312" s="26" t="s">
        <v>57</v>
      </c>
      <c r="R312" s="44" t="s">
        <v>833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70">
        <v>46248</v>
      </c>
      <c r="X312" s="30" t="s">
        <v>55</v>
      </c>
      <c r="Y312" s="30" t="s">
        <v>833</v>
      </c>
      <c r="Z312" s="30" t="s">
        <v>57</v>
      </c>
      <c r="AA312" s="30" t="s">
        <v>833</v>
      </c>
      <c r="AB312" s="30" t="s">
        <v>56</v>
      </c>
      <c r="AC312" s="27"/>
      <c r="AD312" s="31" t="s">
        <v>57</v>
      </c>
      <c r="AE312" s="32" t="str">
        <f t="shared" si="22"/>
        <v>✓ OK</v>
      </c>
      <c r="AF312" s="33" t="s">
        <v>61</v>
      </c>
      <c r="AG312" s="33" t="s">
        <v>55</v>
      </c>
      <c r="AH312" s="33" t="s">
        <v>833</v>
      </c>
      <c r="AI312" s="33" t="s">
        <v>57</v>
      </c>
      <c r="AJ312" s="33" t="s">
        <v>833</v>
      </c>
      <c r="AK312" s="33" t="s">
        <v>56</v>
      </c>
      <c r="AL312" s="27"/>
      <c r="AM312" s="34" t="s">
        <v>57</v>
      </c>
      <c r="AN312" s="35" t="str">
        <f t="shared" si="23"/>
        <v>✓ OK</v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5219</v>
      </c>
      <c r="C313" s="25" t="s">
        <v>5220</v>
      </c>
      <c r="D313" s="23" t="s">
        <v>4603</v>
      </c>
      <c r="E313" s="42">
        <v>46128</v>
      </c>
      <c r="F313" s="26" t="s">
        <v>55</v>
      </c>
      <c r="G313" s="44" t="s">
        <v>56</v>
      </c>
      <c r="H313" s="26" t="s">
        <v>57</v>
      </c>
      <c r="I313" s="44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42">
        <v>46196</v>
      </c>
      <c r="O313" s="26" t="s">
        <v>55</v>
      </c>
      <c r="P313" s="44" t="s">
        <v>56</v>
      </c>
      <c r="Q313" s="26" t="s">
        <v>57</v>
      </c>
      <c r="R313" s="44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70">
        <v>46248</v>
      </c>
      <c r="X313" s="30" t="s">
        <v>55</v>
      </c>
      <c r="Y313" s="30" t="s">
        <v>56</v>
      </c>
      <c r="Z313" s="30" t="s">
        <v>57</v>
      </c>
      <c r="AA313" s="30" t="s">
        <v>58</v>
      </c>
      <c r="AB313" s="30" t="s">
        <v>56</v>
      </c>
      <c r="AC313" s="27"/>
      <c r="AD313" s="31" t="s">
        <v>57</v>
      </c>
      <c r="AE313" s="32" t="str">
        <f t="shared" si="22"/>
        <v>✓ OK</v>
      </c>
      <c r="AF313" s="33" t="s">
        <v>61</v>
      </c>
      <c r="AG313" s="33" t="s">
        <v>55</v>
      </c>
      <c r="AH313" s="33" t="s">
        <v>56</v>
      </c>
      <c r="AI313" s="33" t="s">
        <v>57</v>
      </c>
      <c r="AJ313" s="33" t="s">
        <v>58</v>
      </c>
      <c r="AK313" s="33" t="s">
        <v>56</v>
      </c>
      <c r="AL313" s="27"/>
      <c r="AM313" s="34" t="s">
        <v>57</v>
      </c>
      <c r="AN313" s="35" t="str">
        <f t="shared" si="23"/>
        <v>✓ OK</v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5221</v>
      </c>
      <c r="C314" s="41" t="s">
        <v>5222</v>
      </c>
      <c r="D314" s="39" t="s">
        <v>4603</v>
      </c>
      <c r="E314" s="42">
        <v>46128</v>
      </c>
      <c r="F314" s="26" t="s">
        <v>55</v>
      </c>
      <c r="G314" s="44" t="s">
        <v>833</v>
      </c>
      <c r="H314" s="26" t="s">
        <v>57</v>
      </c>
      <c r="I314" s="44" t="s">
        <v>833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42">
        <v>46196</v>
      </c>
      <c r="O314" s="26" t="s">
        <v>55</v>
      </c>
      <c r="P314" s="44" t="s">
        <v>833</v>
      </c>
      <c r="Q314" s="26" t="s">
        <v>57</v>
      </c>
      <c r="R314" s="44" t="s">
        <v>833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70">
        <v>46248</v>
      </c>
      <c r="X314" s="30" t="s">
        <v>55</v>
      </c>
      <c r="Y314" s="30" t="s">
        <v>833</v>
      </c>
      <c r="Z314" s="30" t="s">
        <v>57</v>
      </c>
      <c r="AA314" s="30" t="s">
        <v>833</v>
      </c>
      <c r="AB314" s="30" t="s">
        <v>56</v>
      </c>
      <c r="AC314" s="27"/>
      <c r="AD314" s="31" t="s">
        <v>57</v>
      </c>
      <c r="AE314" s="32" t="str">
        <f t="shared" si="22"/>
        <v>✓ OK</v>
      </c>
      <c r="AF314" s="33" t="s">
        <v>61</v>
      </c>
      <c r="AG314" s="33" t="s">
        <v>55</v>
      </c>
      <c r="AH314" s="33" t="s">
        <v>833</v>
      </c>
      <c r="AI314" s="33" t="s">
        <v>57</v>
      </c>
      <c r="AJ314" s="33" t="s">
        <v>833</v>
      </c>
      <c r="AK314" s="33" t="s">
        <v>56</v>
      </c>
      <c r="AL314" s="27"/>
      <c r="AM314" s="34" t="s">
        <v>57</v>
      </c>
      <c r="AN314" s="35" t="str">
        <f t="shared" si="23"/>
        <v>✓ OK</v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5223</v>
      </c>
      <c r="C315" s="25" t="s">
        <v>5224</v>
      </c>
      <c r="D315" s="23" t="s">
        <v>4603</v>
      </c>
      <c r="E315" s="42">
        <v>46128</v>
      </c>
      <c r="F315" s="26" t="s">
        <v>55</v>
      </c>
      <c r="G315" s="44" t="s">
        <v>57</v>
      </c>
      <c r="H315" s="26" t="s">
        <v>57</v>
      </c>
      <c r="I315" s="44" t="s">
        <v>90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42">
        <v>46196</v>
      </c>
      <c r="O315" s="26" t="s">
        <v>55</v>
      </c>
      <c r="P315" s="44" t="s">
        <v>57</v>
      </c>
      <c r="Q315" s="26" t="s">
        <v>57</v>
      </c>
      <c r="R315" s="44" t="s">
        <v>90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70">
        <v>46248</v>
      </c>
      <c r="X315" s="30" t="s">
        <v>55</v>
      </c>
      <c r="Y315" s="30" t="s">
        <v>57</v>
      </c>
      <c r="Z315" s="30" t="s">
        <v>57</v>
      </c>
      <c r="AA315" s="30" t="s">
        <v>90</v>
      </c>
      <c r="AB315" s="30" t="s">
        <v>57</v>
      </c>
      <c r="AC315" s="27"/>
      <c r="AD315" s="31" t="s">
        <v>56</v>
      </c>
      <c r="AE315" s="32" t="str">
        <f t="shared" si="22"/>
        <v>⚠ Missing</v>
      </c>
      <c r="AF315" s="33" t="s">
        <v>61</v>
      </c>
      <c r="AG315" s="33" t="s">
        <v>62</v>
      </c>
      <c r="AH315" s="33" t="s">
        <v>57</v>
      </c>
      <c r="AI315" s="33" t="s">
        <v>56</v>
      </c>
      <c r="AJ315" s="33" t="s">
        <v>60</v>
      </c>
      <c r="AK315" s="33" t="s">
        <v>57</v>
      </c>
      <c r="AL315" s="27"/>
      <c r="AM315" s="34" t="s">
        <v>57</v>
      </c>
      <c r="AN315" s="35" t="str">
        <f t="shared" si="23"/>
        <v>❌ Disc</v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5225</v>
      </c>
      <c r="C316" s="41" t="s">
        <v>5226</v>
      </c>
      <c r="D316" s="39" t="s">
        <v>4603</v>
      </c>
      <c r="E316" s="42">
        <v>46128</v>
      </c>
      <c r="F316" s="26" t="s">
        <v>55</v>
      </c>
      <c r="G316" s="44" t="s">
        <v>57</v>
      </c>
      <c r="H316" s="26" t="s">
        <v>57</v>
      </c>
      <c r="I316" s="44" t="s">
        <v>90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42">
        <v>46196</v>
      </c>
      <c r="O316" s="26" t="s">
        <v>55</v>
      </c>
      <c r="P316" s="44" t="s">
        <v>57</v>
      </c>
      <c r="Q316" s="26" t="s">
        <v>57</v>
      </c>
      <c r="R316" s="44" t="s">
        <v>90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70">
        <v>46248</v>
      </c>
      <c r="X316" s="30" t="s">
        <v>55</v>
      </c>
      <c r="Y316" s="30" t="s">
        <v>57</v>
      </c>
      <c r="Z316" s="30" t="s">
        <v>57</v>
      </c>
      <c r="AA316" s="30" t="s">
        <v>90</v>
      </c>
      <c r="AB316" s="30" t="s">
        <v>57</v>
      </c>
      <c r="AC316" s="27"/>
      <c r="AD316" s="31" t="s">
        <v>56</v>
      </c>
      <c r="AE316" s="32" t="str">
        <f t="shared" si="22"/>
        <v>⚠ Missing</v>
      </c>
      <c r="AF316" s="33" t="s">
        <v>61</v>
      </c>
      <c r="AG316" s="33" t="s">
        <v>62</v>
      </c>
      <c r="AH316" s="33" t="s">
        <v>57</v>
      </c>
      <c r="AI316" s="33" t="s">
        <v>56</v>
      </c>
      <c r="AJ316" s="33" t="s">
        <v>60</v>
      </c>
      <c r="AK316" s="33" t="s">
        <v>57</v>
      </c>
      <c r="AL316" s="27"/>
      <c r="AM316" s="34" t="s">
        <v>57</v>
      </c>
      <c r="AN316" s="35" t="str">
        <f t="shared" si="23"/>
        <v>❌ Disc</v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5227</v>
      </c>
      <c r="C317" s="25" t="s">
        <v>5228</v>
      </c>
      <c r="D317" s="23" t="s">
        <v>4603</v>
      </c>
      <c r="E317" s="42">
        <v>46128</v>
      </c>
      <c r="F317" s="26" t="s">
        <v>55</v>
      </c>
      <c r="G317" s="44" t="s">
        <v>57</v>
      </c>
      <c r="H317" s="26" t="s">
        <v>57</v>
      </c>
      <c r="I317" s="44" t="s">
        <v>90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42">
        <v>46196</v>
      </c>
      <c r="O317" s="26" t="s">
        <v>55</v>
      </c>
      <c r="P317" s="44" t="s">
        <v>57</v>
      </c>
      <c r="Q317" s="26" t="s">
        <v>57</v>
      </c>
      <c r="R317" s="44" t="s">
        <v>90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70">
        <v>46248</v>
      </c>
      <c r="X317" s="30" t="s">
        <v>55</v>
      </c>
      <c r="Y317" s="30" t="s">
        <v>57</v>
      </c>
      <c r="Z317" s="30" t="s">
        <v>57</v>
      </c>
      <c r="AA317" s="30" t="s">
        <v>90</v>
      </c>
      <c r="AB317" s="30" t="s">
        <v>57</v>
      </c>
      <c r="AC317" s="27"/>
      <c r="AD317" s="31" t="s">
        <v>56</v>
      </c>
      <c r="AE317" s="32" t="str">
        <f t="shared" si="22"/>
        <v>⚠ Missing</v>
      </c>
      <c r="AF317" s="33" t="s">
        <v>61</v>
      </c>
      <c r="AG317" s="33" t="s">
        <v>62</v>
      </c>
      <c r="AH317" s="33" t="s">
        <v>57</v>
      </c>
      <c r="AI317" s="33" t="s">
        <v>56</v>
      </c>
      <c r="AJ317" s="33" t="s">
        <v>60</v>
      </c>
      <c r="AK317" s="33" t="s">
        <v>57</v>
      </c>
      <c r="AL317" s="27"/>
      <c r="AM317" s="34" t="s">
        <v>57</v>
      </c>
      <c r="AN317" s="35" t="str">
        <f t="shared" si="23"/>
        <v>❌ Disc</v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5229</v>
      </c>
      <c r="C318" s="41" t="s">
        <v>5230</v>
      </c>
      <c r="D318" s="39" t="s">
        <v>4603</v>
      </c>
      <c r="E318" s="42">
        <v>46128</v>
      </c>
      <c r="F318" s="26" t="s">
        <v>55</v>
      </c>
      <c r="G318" s="44" t="s">
        <v>56</v>
      </c>
      <c r="H318" s="26" t="s">
        <v>57</v>
      </c>
      <c r="I318" s="44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42">
        <v>46196</v>
      </c>
      <c r="O318" s="26" t="s">
        <v>55</v>
      </c>
      <c r="P318" s="44" t="s">
        <v>56</v>
      </c>
      <c r="Q318" s="26" t="s">
        <v>57</v>
      </c>
      <c r="R318" s="44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70">
        <v>46248</v>
      </c>
      <c r="X318" s="30" t="s">
        <v>55</v>
      </c>
      <c r="Y318" s="30" t="s">
        <v>56</v>
      </c>
      <c r="Z318" s="30" t="s">
        <v>57</v>
      </c>
      <c r="AA318" s="30" t="s">
        <v>58</v>
      </c>
      <c r="AB318" s="30" t="s">
        <v>56</v>
      </c>
      <c r="AC318" s="27"/>
      <c r="AD318" s="31" t="s">
        <v>57</v>
      </c>
      <c r="AE318" s="32" t="str">
        <f t="shared" si="22"/>
        <v>✓ OK</v>
      </c>
      <c r="AF318" s="33" t="s">
        <v>61</v>
      </c>
      <c r="AG318" s="33" t="s">
        <v>55</v>
      </c>
      <c r="AH318" s="33" t="s">
        <v>56</v>
      </c>
      <c r="AI318" s="33" t="s">
        <v>57</v>
      </c>
      <c r="AJ318" s="33" t="s">
        <v>58</v>
      </c>
      <c r="AK318" s="33" t="s">
        <v>56</v>
      </c>
      <c r="AL318" s="27"/>
      <c r="AM318" s="34" t="s">
        <v>57</v>
      </c>
      <c r="AN318" s="35" t="str">
        <f t="shared" si="23"/>
        <v>✓ OK</v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5231</v>
      </c>
      <c r="C319" s="25" t="s">
        <v>5232</v>
      </c>
      <c r="D319" s="23" t="s">
        <v>4603</v>
      </c>
      <c r="E319" s="42">
        <v>46128</v>
      </c>
      <c r="F319" s="26" t="s">
        <v>55</v>
      </c>
      <c r="G319" s="44" t="s">
        <v>833</v>
      </c>
      <c r="H319" s="26" t="s">
        <v>57</v>
      </c>
      <c r="I319" s="44" t="s">
        <v>833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42">
        <v>46196</v>
      </c>
      <c r="O319" s="26" t="s">
        <v>55</v>
      </c>
      <c r="P319" s="44" t="s">
        <v>833</v>
      </c>
      <c r="Q319" s="26" t="s">
        <v>57</v>
      </c>
      <c r="R319" s="44" t="s">
        <v>833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70">
        <v>46248</v>
      </c>
      <c r="X319" s="30" t="s">
        <v>55</v>
      </c>
      <c r="Y319" s="30" t="s">
        <v>833</v>
      </c>
      <c r="Z319" s="30" t="s">
        <v>57</v>
      </c>
      <c r="AA319" s="30" t="s">
        <v>833</v>
      </c>
      <c r="AB319" s="30" t="s">
        <v>56</v>
      </c>
      <c r="AC319" s="27"/>
      <c r="AD319" s="31" t="s">
        <v>57</v>
      </c>
      <c r="AE319" s="32" t="str">
        <f t="shared" si="22"/>
        <v>✓ OK</v>
      </c>
      <c r="AF319" s="33" t="s">
        <v>61</v>
      </c>
      <c r="AG319" s="33" t="s">
        <v>55</v>
      </c>
      <c r="AH319" s="33" t="s">
        <v>833</v>
      </c>
      <c r="AI319" s="33" t="s">
        <v>57</v>
      </c>
      <c r="AJ319" s="33" t="s">
        <v>833</v>
      </c>
      <c r="AK319" s="33" t="s">
        <v>56</v>
      </c>
      <c r="AL319" s="27"/>
      <c r="AM319" s="34" t="s">
        <v>57</v>
      </c>
      <c r="AN319" s="35" t="str">
        <f t="shared" si="23"/>
        <v>✓ OK</v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5233</v>
      </c>
      <c r="C320" s="41" t="s">
        <v>5234</v>
      </c>
      <c r="D320" s="39" t="s">
        <v>4603</v>
      </c>
      <c r="E320" s="42">
        <v>46128</v>
      </c>
      <c r="F320" s="26" t="s">
        <v>55</v>
      </c>
      <c r="G320" s="44" t="s">
        <v>833</v>
      </c>
      <c r="H320" s="26" t="s">
        <v>57</v>
      </c>
      <c r="I320" s="44" t="s">
        <v>833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42">
        <v>46196</v>
      </c>
      <c r="O320" s="26" t="s">
        <v>55</v>
      </c>
      <c r="P320" s="44" t="s">
        <v>833</v>
      </c>
      <c r="Q320" s="26" t="s">
        <v>57</v>
      </c>
      <c r="R320" s="44" t="s">
        <v>833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70">
        <v>46248</v>
      </c>
      <c r="X320" s="30" t="s">
        <v>55</v>
      </c>
      <c r="Y320" s="30" t="s">
        <v>833</v>
      </c>
      <c r="Z320" s="30" t="s">
        <v>57</v>
      </c>
      <c r="AA320" s="30" t="s">
        <v>833</v>
      </c>
      <c r="AB320" s="30" t="s">
        <v>56</v>
      </c>
      <c r="AC320" s="27"/>
      <c r="AD320" s="31" t="s">
        <v>57</v>
      </c>
      <c r="AE320" s="32" t="str">
        <f t="shared" si="22"/>
        <v>✓ OK</v>
      </c>
      <c r="AF320" s="33" t="s">
        <v>61</v>
      </c>
      <c r="AG320" s="33" t="s">
        <v>55</v>
      </c>
      <c r="AH320" s="33" t="s">
        <v>833</v>
      </c>
      <c r="AI320" s="33" t="s">
        <v>57</v>
      </c>
      <c r="AJ320" s="33" t="s">
        <v>833</v>
      </c>
      <c r="AK320" s="33" t="s">
        <v>56</v>
      </c>
      <c r="AL320" s="27"/>
      <c r="AM320" s="34" t="s">
        <v>57</v>
      </c>
      <c r="AN320" s="35" t="str">
        <f t="shared" si="23"/>
        <v>✓ OK</v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5235</v>
      </c>
      <c r="C321" s="25" t="s">
        <v>5236</v>
      </c>
      <c r="D321" s="23" t="s">
        <v>4603</v>
      </c>
      <c r="E321" s="42">
        <v>46128</v>
      </c>
      <c r="F321" s="26" t="s">
        <v>55</v>
      </c>
      <c r="G321" s="44" t="s">
        <v>833</v>
      </c>
      <c r="H321" s="26" t="s">
        <v>57</v>
      </c>
      <c r="I321" s="44" t="s">
        <v>833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42">
        <v>46196</v>
      </c>
      <c r="O321" s="26" t="s">
        <v>55</v>
      </c>
      <c r="P321" s="44" t="s">
        <v>833</v>
      </c>
      <c r="Q321" s="26" t="s">
        <v>57</v>
      </c>
      <c r="R321" s="44" t="s">
        <v>833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70">
        <v>46248</v>
      </c>
      <c r="X321" s="30" t="s">
        <v>55</v>
      </c>
      <c r="Y321" s="30" t="s">
        <v>833</v>
      </c>
      <c r="Z321" s="30" t="s">
        <v>57</v>
      </c>
      <c r="AA321" s="30" t="s">
        <v>833</v>
      </c>
      <c r="AB321" s="30" t="s">
        <v>56</v>
      </c>
      <c r="AC321" s="27"/>
      <c r="AD321" s="31" t="s">
        <v>57</v>
      </c>
      <c r="AE321" s="32" t="str">
        <f t="shared" si="22"/>
        <v>✓ OK</v>
      </c>
      <c r="AF321" s="33" t="s">
        <v>61</v>
      </c>
      <c r="AG321" s="33" t="s">
        <v>55</v>
      </c>
      <c r="AH321" s="33" t="s">
        <v>833</v>
      </c>
      <c r="AI321" s="33" t="s">
        <v>57</v>
      </c>
      <c r="AJ321" s="33" t="s">
        <v>833</v>
      </c>
      <c r="AK321" s="33" t="s">
        <v>56</v>
      </c>
      <c r="AL321" s="27"/>
      <c r="AM321" s="34" t="s">
        <v>57</v>
      </c>
      <c r="AN321" s="35" t="str">
        <f t="shared" si="23"/>
        <v>✓ OK</v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5237</v>
      </c>
      <c r="C322" s="41" t="s">
        <v>5238</v>
      </c>
      <c r="D322" s="39" t="s">
        <v>4603</v>
      </c>
      <c r="E322" s="42">
        <v>46128</v>
      </c>
      <c r="F322" s="26" t="s">
        <v>55</v>
      </c>
      <c r="G322" s="44" t="s">
        <v>833</v>
      </c>
      <c r="H322" s="26" t="s">
        <v>57</v>
      </c>
      <c r="I322" s="44" t="s">
        <v>833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42">
        <v>46196</v>
      </c>
      <c r="O322" s="26" t="s">
        <v>55</v>
      </c>
      <c r="P322" s="44" t="s">
        <v>833</v>
      </c>
      <c r="Q322" s="26" t="s">
        <v>57</v>
      </c>
      <c r="R322" s="44" t="s">
        <v>833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70">
        <v>46248</v>
      </c>
      <c r="X322" s="30" t="s">
        <v>55</v>
      </c>
      <c r="Y322" s="30" t="s">
        <v>833</v>
      </c>
      <c r="Z322" s="30" t="s">
        <v>57</v>
      </c>
      <c r="AA322" s="30" t="s">
        <v>833</v>
      </c>
      <c r="AB322" s="30" t="s">
        <v>56</v>
      </c>
      <c r="AC322" s="27"/>
      <c r="AD322" s="31" t="s">
        <v>57</v>
      </c>
      <c r="AE322" s="32" t="str">
        <f t="shared" si="22"/>
        <v>✓ OK</v>
      </c>
      <c r="AF322" s="33" t="s">
        <v>61</v>
      </c>
      <c r="AG322" s="33" t="s">
        <v>55</v>
      </c>
      <c r="AH322" s="33" t="s">
        <v>833</v>
      </c>
      <c r="AI322" s="33" t="s">
        <v>57</v>
      </c>
      <c r="AJ322" s="33" t="s">
        <v>833</v>
      </c>
      <c r="AK322" s="33" t="s">
        <v>56</v>
      </c>
      <c r="AL322" s="27"/>
      <c r="AM322" s="34" t="s">
        <v>57</v>
      </c>
      <c r="AN322" s="35" t="str">
        <f t="shared" si="23"/>
        <v>✓ OK</v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5239</v>
      </c>
      <c r="C323" s="25" t="s">
        <v>5240</v>
      </c>
      <c r="D323" s="23" t="s">
        <v>4603</v>
      </c>
      <c r="E323" s="42">
        <v>46128</v>
      </c>
      <c r="F323" s="26" t="s">
        <v>55</v>
      </c>
      <c r="G323" s="44" t="s">
        <v>833</v>
      </c>
      <c r="H323" s="26" t="s">
        <v>57</v>
      </c>
      <c r="I323" s="44" t="s">
        <v>833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42">
        <v>46196</v>
      </c>
      <c r="O323" s="26" t="s">
        <v>55</v>
      </c>
      <c r="P323" s="44" t="s">
        <v>833</v>
      </c>
      <c r="Q323" s="26" t="s">
        <v>57</v>
      </c>
      <c r="R323" s="44" t="s">
        <v>833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70">
        <v>46248</v>
      </c>
      <c r="X323" s="30" t="s">
        <v>55</v>
      </c>
      <c r="Y323" s="30" t="s">
        <v>833</v>
      </c>
      <c r="Z323" s="30" t="s">
        <v>57</v>
      </c>
      <c r="AA323" s="30" t="s">
        <v>833</v>
      </c>
      <c r="AB323" s="30" t="s">
        <v>56</v>
      </c>
      <c r="AC323" s="27"/>
      <c r="AD323" s="31" t="s">
        <v>57</v>
      </c>
      <c r="AE323" s="32" t="str">
        <f t="shared" si="22"/>
        <v>✓ OK</v>
      </c>
      <c r="AF323" s="33" t="s">
        <v>61</v>
      </c>
      <c r="AG323" s="33" t="s">
        <v>55</v>
      </c>
      <c r="AH323" s="33" t="s">
        <v>833</v>
      </c>
      <c r="AI323" s="33" t="s">
        <v>57</v>
      </c>
      <c r="AJ323" s="33" t="s">
        <v>833</v>
      </c>
      <c r="AK323" s="33" t="s">
        <v>56</v>
      </c>
      <c r="AL323" s="27"/>
      <c r="AM323" s="34" t="s">
        <v>57</v>
      </c>
      <c r="AN323" s="35" t="str">
        <f t="shared" si="23"/>
        <v>✓ OK</v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5241</v>
      </c>
      <c r="C324" s="41" t="s">
        <v>5242</v>
      </c>
      <c r="D324" s="39" t="s">
        <v>4603</v>
      </c>
      <c r="E324" s="42">
        <v>46128</v>
      </c>
      <c r="F324" s="26" t="s">
        <v>55</v>
      </c>
      <c r="G324" s="44" t="s">
        <v>56</v>
      </c>
      <c r="H324" s="26" t="s">
        <v>57</v>
      </c>
      <c r="I324" s="44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42">
        <v>46196</v>
      </c>
      <c r="O324" s="26" t="s">
        <v>55</v>
      </c>
      <c r="P324" s="44" t="s">
        <v>56</v>
      </c>
      <c r="Q324" s="26" t="s">
        <v>57</v>
      </c>
      <c r="R324" s="44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70">
        <v>46248</v>
      </c>
      <c r="X324" s="30" t="s">
        <v>55</v>
      </c>
      <c r="Y324" s="30" t="s">
        <v>56</v>
      </c>
      <c r="Z324" s="30" t="s">
        <v>57</v>
      </c>
      <c r="AA324" s="30" t="s">
        <v>58</v>
      </c>
      <c r="AB324" s="30" t="s">
        <v>56</v>
      </c>
      <c r="AC324" s="27"/>
      <c r="AD324" s="31" t="s">
        <v>57</v>
      </c>
      <c r="AE324" s="32" t="str">
        <f t="shared" si="22"/>
        <v>✓ OK</v>
      </c>
      <c r="AF324" s="33" t="s">
        <v>61</v>
      </c>
      <c r="AG324" s="33" t="s">
        <v>55</v>
      </c>
      <c r="AH324" s="33" t="s">
        <v>56</v>
      </c>
      <c r="AI324" s="33" t="s">
        <v>57</v>
      </c>
      <c r="AJ324" s="33" t="s">
        <v>58</v>
      </c>
      <c r="AK324" s="33" t="s">
        <v>56</v>
      </c>
      <c r="AL324" s="27"/>
      <c r="AM324" s="34" t="s">
        <v>57</v>
      </c>
      <c r="AN324" s="35" t="str">
        <f t="shared" si="23"/>
        <v>✓ OK</v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5243</v>
      </c>
      <c r="C325" s="25" t="s">
        <v>5244</v>
      </c>
      <c r="D325" s="23" t="s">
        <v>4603</v>
      </c>
      <c r="E325" s="42">
        <v>46128</v>
      </c>
      <c r="F325" s="26" t="s">
        <v>55</v>
      </c>
      <c r="G325" s="44" t="s">
        <v>833</v>
      </c>
      <c r="H325" s="26" t="s">
        <v>57</v>
      </c>
      <c r="I325" s="44" t="s">
        <v>833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42">
        <v>46196</v>
      </c>
      <c r="O325" s="26" t="s">
        <v>55</v>
      </c>
      <c r="P325" s="44" t="s">
        <v>833</v>
      </c>
      <c r="Q325" s="26" t="s">
        <v>57</v>
      </c>
      <c r="R325" s="44" t="s">
        <v>833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70">
        <v>46248</v>
      </c>
      <c r="X325" s="30" t="s">
        <v>55</v>
      </c>
      <c r="Y325" s="30" t="s">
        <v>833</v>
      </c>
      <c r="Z325" s="30" t="s">
        <v>57</v>
      </c>
      <c r="AA325" s="30" t="s">
        <v>833</v>
      </c>
      <c r="AB325" s="30" t="s">
        <v>56</v>
      </c>
      <c r="AC325" s="27"/>
      <c r="AD325" s="31" t="s">
        <v>57</v>
      </c>
      <c r="AE325" s="32" t="str">
        <f t="shared" ref="AE325:AE388" si="27">IF(W325="","",IF(Z325="Yes","❌ Disc",IF(Y325="No","⚠ Missing",IF(AB325="Yes","✓ OK","⚠ Check"))))</f>
        <v>✓ OK</v>
      </c>
      <c r="AF325" s="33" t="s">
        <v>61</v>
      </c>
      <c r="AG325" s="33" t="s">
        <v>55</v>
      </c>
      <c r="AH325" s="33" t="s">
        <v>833</v>
      </c>
      <c r="AI325" s="33" t="s">
        <v>57</v>
      </c>
      <c r="AJ325" s="33" t="s">
        <v>833</v>
      </c>
      <c r="AK325" s="33" t="s">
        <v>56</v>
      </c>
      <c r="AL325" s="27"/>
      <c r="AM325" s="34" t="s">
        <v>57</v>
      </c>
      <c r="AN325" s="35" t="str">
        <f t="shared" ref="AN325:AN388" si="28">IF(AF325="","",IF(AI325="Yes","❌ Disc",IF(AH325="No","⚠ Missing",IF(AK325="Yes","✓ OK","⚠ Check"))))</f>
        <v>✓ OK</v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5245</v>
      </c>
      <c r="C326" s="41" t="s">
        <v>5246</v>
      </c>
      <c r="D326" s="39" t="s">
        <v>4603</v>
      </c>
      <c r="E326" s="42">
        <v>46128</v>
      </c>
      <c r="F326" s="26" t="s">
        <v>55</v>
      </c>
      <c r="G326" s="44" t="s">
        <v>833</v>
      </c>
      <c r="H326" s="26" t="s">
        <v>57</v>
      </c>
      <c r="I326" s="44" t="s">
        <v>833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42">
        <v>46196</v>
      </c>
      <c r="O326" s="26" t="s">
        <v>55</v>
      </c>
      <c r="P326" s="44" t="s">
        <v>833</v>
      </c>
      <c r="Q326" s="26" t="s">
        <v>57</v>
      </c>
      <c r="R326" s="44" t="s">
        <v>833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70">
        <v>46248</v>
      </c>
      <c r="X326" s="30" t="s">
        <v>55</v>
      </c>
      <c r="Y326" s="30" t="s">
        <v>833</v>
      </c>
      <c r="Z326" s="30" t="s">
        <v>57</v>
      </c>
      <c r="AA326" s="30" t="s">
        <v>833</v>
      </c>
      <c r="AB326" s="30" t="s">
        <v>56</v>
      </c>
      <c r="AC326" s="27"/>
      <c r="AD326" s="31" t="s">
        <v>57</v>
      </c>
      <c r="AE326" s="32" t="str">
        <f t="shared" si="27"/>
        <v>✓ OK</v>
      </c>
      <c r="AF326" s="33" t="s">
        <v>61</v>
      </c>
      <c r="AG326" s="33" t="s">
        <v>55</v>
      </c>
      <c r="AH326" s="33" t="s">
        <v>833</v>
      </c>
      <c r="AI326" s="33" t="s">
        <v>57</v>
      </c>
      <c r="AJ326" s="33" t="s">
        <v>833</v>
      </c>
      <c r="AK326" s="33" t="s">
        <v>56</v>
      </c>
      <c r="AL326" s="27"/>
      <c r="AM326" s="34" t="s">
        <v>57</v>
      </c>
      <c r="AN326" s="35" t="str">
        <f t="shared" si="28"/>
        <v>✓ OK</v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5247</v>
      </c>
      <c r="C327" s="25" t="s">
        <v>5248</v>
      </c>
      <c r="D327" s="23" t="s">
        <v>4603</v>
      </c>
      <c r="E327" s="42">
        <v>46128</v>
      </c>
      <c r="F327" s="26" t="s">
        <v>55</v>
      </c>
      <c r="G327" s="44" t="s">
        <v>833</v>
      </c>
      <c r="H327" s="26" t="s">
        <v>57</v>
      </c>
      <c r="I327" s="44" t="s">
        <v>833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42">
        <v>46196</v>
      </c>
      <c r="O327" s="26" t="s">
        <v>55</v>
      </c>
      <c r="P327" s="44" t="s">
        <v>833</v>
      </c>
      <c r="Q327" s="26" t="s">
        <v>57</v>
      </c>
      <c r="R327" s="44" t="s">
        <v>833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70">
        <v>46248</v>
      </c>
      <c r="X327" s="30" t="s">
        <v>55</v>
      </c>
      <c r="Y327" s="30" t="s">
        <v>833</v>
      </c>
      <c r="Z327" s="30" t="s">
        <v>57</v>
      </c>
      <c r="AA327" s="30" t="s">
        <v>833</v>
      </c>
      <c r="AB327" s="30" t="s">
        <v>56</v>
      </c>
      <c r="AC327" s="27"/>
      <c r="AD327" s="31" t="s">
        <v>57</v>
      </c>
      <c r="AE327" s="32" t="str">
        <f t="shared" si="27"/>
        <v>✓ OK</v>
      </c>
      <c r="AF327" s="33" t="s">
        <v>61</v>
      </c>
      <c r="AG327" s="33" t="s">
        <v>55</v>
      </c>
      <c r="AH327" s="33" t="s">
        <v>833</v>
      </c>
      <c r="AI327" s="33" t="s">
        <v>57</v>
      </c>
      <c r="AJ327" s="33" t="s">
        <v>833</v>
      </c>
      <c r="AK327" s="33" t="s">
        <v>56</v>
      </c>
      <c r="AL327" s="27"/>
      <c r="AM327" s="34" t="s">
        <v>57</v>
      </c>
      <c r="AN327" s="35" t="str">
        <f t="shared" si="28"/>
        <v>✓ OK</v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5249</v>
      </c>
      <c r="C328" s="41" t="s">
        <v>5250</v>
      </c>
      <c r="D328" s="39" t="s">
        <v>4603</v>
      </c>
      <c r="E328" s="42">
        <v>46128</v>
      </c>
      <c r="F328" s="26" t="s">
        <v>55</v>
      </c>
      <c r="G328" s="44" t="s">
        <v>833</v>
      </c>
      <c r="H328" s="26" t="s">
        <v>57</v>
      </c>
      <c r="I328" s="44" t="s">
        <v>833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42">
        <v>46196</v>
      </c>
      <c r="O328" s="26" t="s">
        <v>55</v>
      </c>
      <c r="P328" s="44" t="s">
        <v>833</v>
      </c>
      <c r="Q328" s="26" t="s">
        <v>57</v>
      </c>
      <c r="R328" s="44" t="s">
        <v>833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70">
        <v>46248</v>
      </c>
      <c r="X328" s="30" t="s">
        <v>55</v>
      </c>
      <c r="Y328" s="30" t="s">
        <v>833</v>
      </c>
      <c r="Z328" s="30" t="s">
        <v>57</v>
      </c>
      <c r="AA328" s="30" t="s">
        <v>833</v>
      </c>
      <c r="AB328" s="30" t="s">
        <v>56</v>
      </c>
      <c r="AC328" s="27"/>
      <c r="AD328" s="31" t="s">
        <v>57</v>
      </c>
      <c r="AE328" s="32" t="str">
        <f t="shared" si="27"/>
        <v>✓ OK</v>
      </c>
      <c r="AF328" s="33" t="s">
        <v>61</v>
      </c>
      <c r="AG328" s="33" t="s">
        <v>55</v>
      </c>
      <c r="AH328" s="33" t="s">
        <v>833</v>
      </c>
      <c r="AI328" s="33" t="s">
        <v>57</v>
      </c>
      <c r="AJ328" s="33" t="s">
        <v>833</v>
      </c>
      <c r="AK328" s="33" t="s">
        <v>56</v>
      </c>
      <c r="AL328" s="27"/>
      <c r="AM328" s="34" t="s">
        <v>57</v>
      </c>
      <c r="AN328" s="35" t="str">
        <f t="shared" si="28"/>
        <v>✓ OK</v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5251</v>
      </c>
      <c r="C329" s="25" t="s">
        <v>5252</v>
      </c>
      <c r="D329" s="23" t="s">
        <v>4603</v>
      </c>
      <c r="E329" s="42">
        <v>46128</v>
      </c>
      <c r="F329" s="26" t="s">
        <v>55</v>
      </c>
      <c r="G329" s="44" t="s">
        <v>56</v>
      </c>
      <c r="H329" s="26" t="s">
        <v>57</v>
      </c>
      <c r="I329" s="44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42">
        <v>46196</v>
      </c>
      <c r="O329" s="26" t="s">
        <v>55</v>
      </c>
      <c r="P329" s="44" t="s">
        <v>56</v>
      </c>
      <c r="Q329" s="26" t="s">
        <v>57</v>
      </c>
      <c r="R329" s="44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70">
        <v>46248</v>
      </c>
      <c r="X329" s="30" t="s">
        <v>55</v>
      </c>
      <c r="Y329" s="30" t="s">
        <v>56</v>
      </c>
      <c r="Z329" s="30" t="s">
        <v>57</v>
      </c>
      <c r="AA329" s="30" t="s">
        <v>58</v>
      </c>
      <c r="AB329" s="30" t="s">
        <v>56</v>
      </c>
      <c r="AC329" s="27"/>
      <c r="AD329" s="31" t="s">
        <v>57</v>
      </c>
      <c r="AE329" s="32" t="str">
        <f t="shared" si="27"/>
        <v>✓ OK</v>
      </c>
      <c r="AF329" s="33" t="s">
        <v>61</v>
      </c>
      <c r="AG329" s="33" t="s">
        <v>55</v>
      </c>
      <c r="AH329" s="33" t="s">
        <v>56</v>
      </c>
      <c r="AI329" s="33" t="s">
        <v>57</v>
      </c>
      <c r="AJ329" s="33" t="s">
        <v>58</v>
      </c>
      <c r="AK329" s="33" t="s">
        <v>56</v>
      </c>
      <c r="AL329" s="27"/>
      <c r="AM329" s="34" t="s">
        <v>57</v>
      </c>
      <c r="AN329" s="35" t="str">
        <f t="shared" si="28"/>
        <v>✓ OK</v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5253</v>
      </c>
      <c r="C330" s="41" t="s">
        <v>5254</v>
      </c>
      <c r="D330" s="39" t="s">
        <v>4603</v>
      </c>
      <c r="E330" s="42">
        <v>46128</v>
      </c>
      <c r="F330" s="26" t="s">
        <v>55</v>
      </c>
      <c r="G330" s="44" t="s">
        <v>833</v>
      </c>
      <c r="H330" s="26" t="s">
        <v>57</v>
      </c>
      <c r="I330" s="44" t="s">
        <v>833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42">
        <v>46196</v>
      </c>
      <c r="O330" s="26" t="s">
        <v>55</v>
      </c>
      <c r="P330" s="44" t="s">
        <v>833</v>
      </c>
      <c r="Q330" s="26" t="s">
        <v>57</v>
      </c>
      <c r="R330" s="44" t="s">
        <v>833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70">
        <v>46248</v>
      </c>
      <c r="X330" s="30" t="s">
        <v>55</v>
      </c>
      <c r="Y330" s="30" t="s">
        <v>833</v>
      </c>
      <c r="Z330" s="30" t="s">
        <v>57</v>
      </c>
      <c r="AA330" s="30" t="s">
        <v>833</v>
      </c>
      <c r="AB330" s="30" t="s">
        <v>56</v>
      </c>
      <c r="AC330" s="27"/>
      <c r="AD330" s="31" t="s">
        <v>57</v>
      </c>
      <c r="AE330" s="32" t="str">
        <f t="shared" si="27"/>
        <v>✓ OK</v>
      </c>
      <c r="AF330" s="33" t="s">
        <v>61</v>
      </c>
      <c r="AG330" s="33" t="s">
        <v>55</v>
      </c>
      <c r="AH330" s="33" t="s">
        <v>833</v>
      </c>
      <c r="AI330" s="33" t="s">
        <v>57</v>
      </c>
      <c r="AJ330" s="33" t="s">
        <v>833</v>
      </c>
      <c r="AK330" s="33" t="s">
        <v>56</v>
      </c>
      <c r="AL330" s="27"/>
      <c r="AM330" s="34" t="s">
        <v>57</v>
      </c>
      <c r="AN330" s="35" t="str">
        <f t="shared" si="28"/>
        <v>✓ OK</v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5255</v>
      </c>
      <c r="C331" s="25" t="s">
        <v>5256</v>
      </c>
      <c r="D331" s="23" t="s">
        <v>4603</v>
      </c>
      <c r="E331" s="42">
        <v>46128</v>
      </c>
      <c r="F331" s="26" t="s">
        <v>55</v>
      </c>
      <c r="G331" s="44" t="s">
        <v>833</v>
      </c>
      <c r="H331" s="26" t="s">
        <v>57</v>
      </c>
      <c r="I331" s="44" t="s">
        <v>833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42">
        <v>46196</v>
      </c>
      <c r="O331" s="26" t="s">
        <v>55</v>
      </c>
      <c r="P331" s="44" t="s">
        <v>833</v>
      </c>
      <c r="Q331" s="26" t="s">
        <v>57</v>
      </c>
      <c r="R331" s="44" t="s">
        <v>833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70">
        <v>46248</v>
      </c>
      <c r="X331" s="30" t="s">
        <v>55</v>
      </c>
      <c r="Y331" s="30" t="s">
        <v>833</v>
      </c>
      <c r="Z331" s="30" t="s">
        <v>57</v>
      </c>
      <c r="AA331" s="30" t="s">
        <v>833</v>
      </c>
      <c r="AB331" s="30" t="s">
        <v>56</v>
      </c>
      <c r="AC331" s="27"/>
      <c r="AD331" s="31" t="s">
        <v>57</v>
      </c>
      <c r="AE331" s="32" t="str">
        <f t="shared" si="27"/>
        <v>✓ OK</v>
      </c>
      <c r="AF331" s="33" t="s">
        <v>61</v>
      </c>
      <c r="AG331" s="33" t="s">
        <v>55</v>
      </c>
      <c r="AH331" s="33" t="s">
        <v>833</v>
      </c>
      <c r="AI331" s="33" t="s">
        <v>57</v>
      </c>
      <c r="AJ331" s="33" t="s">
        <v>833</v>
      </c>
      <c r="AK331" s="33" t="s">
        <v>56</v>
      </c>
      <c r="AL331" s="27"/>
      <c r="AM331" s="34" t="s">
        <v>57</v>
      </c>
      <c r="AN331" s="35" t="str">
        <f t="shared" si="28"/>
        <v>✓ OK</v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5257</v>
      </c>
      <c r="C332" s="41" t="s">
        <v>5258</v>
      </c>
      <c r="D332" s="39" t="s">
        <v>4603</v>
      </c>
      <c r="E332" s="42">
        <v>46128</v>
      </c>
      <c r="F332" s="26" t="s">
        <v>55</v>
      </c>
      <c r="G332" s="44" t="s">
        <v>56</v>
      </c>
      <c r="H332" s="26" t="s">
        <v>57</v>
      </c>
      <c r="I332" s="44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42">
        <v>46196</v>
      </c>
      <c r="O332" s="26" t="s">
        <v>55</v>
      </c>
      <c r="P332" s="44" t="s">
        <v>56</v>
      </c>
      <c r="Q332" s="26" t="s">
        <v>57</v>
      </c>
      <c r="R332" s="44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70">
        <v>46248</v>
      </c>
      <c r="X332" s="30" t="s">
        <v>55</v>
      </c>
      <c r="Y332" s="30" t="s">
        <v>56</v>
      </c>
      <c r="Z332" s="30" t="s">
        <v>57</v>
      </c>
      <c r="AA332" s="30" t="s">
        <v>58</v>
      </c>
      <c r="AB332" s="30" t="s">
        <v>56</v>
      </c>
      <c r="AC332" s="27"/>
      <c r="AD332" s="31" t="s">
        <v>57</v>
      </c>
      <c r="AE332" s="32" t="str">
        <f t="shared" si="27"/>
        <v>✓ OK</v>
      </c>
      <c r="AF332" s="33" t="s">
        <v>61</v>
      </c>
      <c r="AG332" s="33" t="s">
        <v>55</v>
      </c>
      <c r="AH332" s="33" t="s">
        <v>56</v>
      </c>
      <c r="AI332" s="33" t="s">
        <v>57</v>
      </c>
      <c r="AJ332" s="33" t="s">
        <v>58</v>
      </c>
      <c r="AK332" s="33" t="s">
        <v>56</v>
      </c>
      <c r="AL332" s="27"/>
      <c r="AM332" s="34" t="s">
        <v>57</v>
      </c>
      <c r="AN332" s="35" t="str">
        <f t="shared" si="28"/>
        <v>✓ OK</v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5259</v>
      </c>
      <c r="C333" s="25" t="s">
        <v>5260</v>
      </c>
      <c r="D333" s="23" t="s">
        <v>4603</v>
      </c>
      <c r="E333" s="42">
        <v>46128</v>
      </c>
      <c r="F333" s="26" t="s">
        <v>55</v>
      </c>
      <c r="G333" s="44" t="s">
        <v>833</v>
      </c>
      <c r="H333" s="26" t="s">
        <v>57</v>
      </c>
      <c r="I333" s="44" t="s">
        <v>833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42">
        <v>46196</v>
      </c>
      <c r="O333" s="26" t="s">
        <v>55</v>
      </c>
      <c r="P333" s="44" t="s">
        <v>833</v>
      </c>
      <c r="Q333" s="26" t="s">
        <v>57</v>
      </c>
      <c r="R333" s="44" t="s">
        <v>833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70">
        <v>46248</v>
      </c>
      <c r="X333" s="30" t="s">
        <v>55</v>
      </c>
      <c r="Y333" s="30" t="s">
        <v>833</v>
      </c>
      <c r="Z333" s="30" t="s">
        <v>57</v>
      </c>
      <c r="AA333" s="30" t="s">
        <v>833</v>
      </c>
      <c r="AB333" s="30" t="s">
        <v>56</v>
      </c>
      <c r="AC333" s="27"/>
      <c r="AD333" s="31" t="s">
        <v>57</v>
      </c>
      <c r="AE333" s="32" t="str">
        <f t="shared" si="27"/>
        <v>✓ OK</v>
      </c>
      <c r="AF333" s="33" t="s">
        <v>61</v>
      </c>
      <c r="AG333" s="33" t="s">
        <v>55</v>
      </c>
      <c r="AH333" s="33" t="s">
        <v>833</v>
      </c>
      <c r="AI333" s="33" t="s">
        <v>57</v>
      </c>
      <c r="AJ333" s="33" t="s">
        <v>833</v>
      </c>
      <c r="AK333" s="33" t="s">
        <v>56</v>
      </c>
      <c r="AL333" s="27"/>
      <c r="AM333" s="34" t="s">
        <v>57</v>
      </c>
      <c r="AN333" s="35" t="str">
        <f t="shared" si="28"/>
        <v>✓ OK</v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5261</v>
      </c>
      <c r="C334" s="41" t="s">
        <v>5262</v>
      </c>
      <c r="D334" s="39" t="s">
        <v>4603</v>
      </c>
      <c r="E334" s="42">
        <v>46128</v>
      </c>
      <c r="F334" s="26" t="s">
        <v>55</v>
      </c>
      <c r="G334" s="44" t="s">
        <v>833</v>
      </c>
      <c r="H334" s="26" t="s">
        <v>57</v>
      </c>
      <c r="I334" s="44" t="s">
        <v>833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42">
        <v>46196</v>
      </c>
      <c r="O334" s="26" t="s">
        <v>55</v>
      </c>
      <c r="P334" s="44" t="s">
        <v>833</v>
      </c>
      <c r="Q334" s="26" t="s">
        <v>57</v>
      </c>
      <c r="R334" s="44" t="s">
        <v>833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70">
        <v>46248</v>
      </c>
      <c r="X334" s="30" t="s">
        <v>55</v>
      </c>
      <c r="Y334" s="30" t="s">
        <v>833</v>
      </c>
      <c r="Z334" s="30" t="s">
        <v>57</v>
      </c>
      <c r="AA334" s="30" t="s">
        <v>833</v>
      </c>
      <c r="AB334" s="30" t="s">
        <v>56</v>
      </c>
      <c r="AC334" s="27"/>
      <c r="AD334" s="31" t="s">
        <v>57</v>
      </c>
      <c r="AE334" s="32" t="str">
        <f t="shared" si="27"/>
        <v>✓ OK</v>
      </c>
      <c r="AF334" s="33" t="s">
        <v>61</v>
      </c>
      <c r="AG334" s="33" t="s">
        <v>55</v>
      </c>
      <c r="AH334" s="33" t="s">
        <v>833</v>
      </c>
      <c r="AI334" s="33" t="s">
        <v>57</v>
      </c>
      <c r="AJ334" s="33" t="s">
        <v>833</v>
      </c>
      <c r="AK334" s="33" t="s">
        <v>56</v>
      </c>
      <c r="AL334" s="27"/>
      <c r="AM334" s="34" t="s">
        <v>57</v>
      </c>
      <c r="AN334" s="35" t="str">
        <f t="shared" si="28"/>
        <v>✓ OK</v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5263</v>
      </c>
      <c r="C335" s="25" t="s">
        <v>5264</v>
      </c>
      <c r="D335" s="23" t="s">
        <v>4603</v>
      </c>
      <c r="E335" s="42">
        <v>46128</v>
      </c>
      <c r="F335" s="26" t="s">
        <v>55</v>
      </c>
      <c r="G335" s="44" t="s">
        <v>833</v>
      </c>
      <c r="H335" s="26" t="s">
        <v>57</v>
      </c>
      <c r="I335" s="44" t="s">
        <v>833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42">
        <v>46196</v>
      </c>
      <c r="O335" s="26" t="s">
        <v>55</v>
      </c>
      <c r="P335" s="44" t="s">
        <v>833</v>
      </c>
      <c r="Q335" s="26" t="s">
        <v>57</v>
      </c>
      <c r="R335" s="44" t="s">
        <v>833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70">
        <v>46248</v>
      </c>
      <c r="X335" s="30" t="s">
        <v>55</v>
      </c>
      <c r="Y335" s="30" t="s">
        <v>833</v>
      </c>
      <c r="Z335" s="30" t="s">
        <v>57</v>
      </c>
      <c r="AA335" s="30" t="s">
        <v>833</v>
      </c>
      <c r="AB335" s="30" t="s">
        <v>56</v>
      </c>
      <c r="AC335" s="27"/>
      <c r="AD335" s="31" t="s">
        <v>57</v>
      </c>
      <c r="AE335" s="32" t="str">
        <f t="shared" si="27"/>
        <v>✓ OK</v>
      </c>
      <c r="AF335" s="33" t="s">
        <v>61</v>
      </c>
      <c r="AG335" s="33" t="s">
        <v>55</v>
      </c>
      <c r="AH335" s="33" t="s">
        <v>833</v>
      </c>
      <c r="AI335" s="33" t="s">
        <v>57</v>
      </c>
      <c r="AJ335" s="33" t="s">
        <v>833</v>
      </c>
      <c r="AK335" s="33" t="s">
        <v>56</v>
      </c>
      <c r="AL335" s="27"/>
      <c r="AM335" s="34" t="s">
        <v>57</v>
      </c>
      <c r="AN335" s="35" t="str">
        <f t="shared" si="28"/>
        <v>✓ OK</v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5265</v>
      </c>
      <c r="C336" s="41" t="s">
        <v>5266</v>
      </c>
      <c r="D336" s="39" t="s">
        <v>4603</v>
      </c>
      <c r="E336" s="42">
        <v>46128</v>
      </c>
      <c r="F336" s="26" t="s">
        <v>55</v>
      </c>
      <c r="G336" s="44" t="s">
        <v>833</v>
      </c>
      <c r="H336" s="26" t="s">
        <v>57</v>
      </c>
      <c r="I336" s="44" t="s">
        <v>833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42">
        <v>46196</v>
      </c>
      <c r="O336" s="26" t="s">
        <v>55</v>
      </c>
      <c r="P336" s="44" t="s">
        <v>833</v>
      </c>
      <c r="Q336" s="26" t="s">
        <v>57</v>
      </c>
      <c r="R336" s="44" t="s">
        <v>833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70">
        <v>46248</v>
      </c>
      <c r="X336" s="30" t="s">
        <v>55</v>
      </c>
      <c r="Y336" s="30" t="s">
        <v>833</v>
      </c>
      <c r="Z336" s="30" t="s">
        <v>57</v>
      </c>
      <c r="AA336" s="30" t="s">
        <v>833</v>
      </c>
      <c r="AB336" s="30" t="s">
        <v>56</v>
      </c>
      <c r="AC336" s="27"/>
      <c r="AD336" s="31" t="s">
        <v>57</v>
      </c>
      <c r="AE336" s="32" t="str">
        <f t="shared" si="27"/>
        <v>✓ OK</v>
      </c>
      <c r="AF336" s="33" t="s">
        <v>61</v>
      </c>
      <c r="AG336" s="33" t="s">
        <v>55</v>
      </c>
      <c r="AH336" s="33" t="s">
        <v>833</v>
      </c>
      <c r="AI336" s="33" t="s">
        <v>57</v>
      </c>
      <c r="AJ336" s="33" t="s">
        <v>833</v>
      </c>
      <c r="AK336" s="33" t="s">
        <v>56</v>
      </c>
      <c r="AL336" s="27"/>
      <c r="AM336" s="34" t="s">
        <v>57</v>
      </c>
      <c r="AN336" s="35" t="str">
        <f t="shared" si="28"/>
        <v>✓ OK</v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5267</v>
      </c>
      <c r="C337" s="25" t="s">
        <v>5268</v>
      </c>
      <c r="D337" s="23" t="s">
        <v>4603</v>
      </c>
      <c r="E337" s="42">
        <v>46128</v>
      </c>
      <c r="F337" s="26" t="s">
        <v>55</v>
      </c>
      <c r="G337" s="44" t="s">
        <v>56</v>
      </c>
      <c r="H337" s="26" t="s">
        <v>57</v>
      </c>
      <c r="I337" s="44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42">
        <v>46196</v>
      </c>
      <c r="O337" s="26" t="s">
        <v>55</v>
      </c>
      <c r="P337" s="44" t="s">
        <v>56</v>
      </c>
      <c r="Q337" s="26" t="s">
        <v>57</v>
      </c>
      <c r="R337" s="44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70">
        <v>46248</v>
      </c>
      <c r="X337" s="30" t="s">
        <v>55</v>
      </c>
      <c r="Y337" s="30" t="s">
        <v>56</v>
      </c>
      <c r="Z337" s="30" t="s">
        <v>57</v>
      </c>
      <c r="AA337" s="30" t="s">
        <v>58</v>
      </c>
      <c r="AB337" s="30" t="s">
        <v>56</v>
      </c>
      <c r="AC337" s="27"/>
      <c r="AD337" s="31" t="s">
        <v>57</v>
      </c>
      <c r="AE337" s="32" t="str">
        <f t="shared" si="27"/>
        <v>✓ OK</v>
      </c>
      <c r="AF337" s="33" t="s">
        <v>61</v>
      </c>
      <c r="AG337" s="33" t="s">
        <v>55</v>
      </c>
      <c r="AH337" s="33" t="s">
        <v>56</v>
      </c>
      <c r="AI337" s="33" t="s">
        <v>57</v>
      </c>
      <c r="AJ337" s="33" t="s">
        <v>58</v>
      </c>
      <c r="AK337" s="33" t="s">
        <v>56</v>
      </c>
      <c r="AL337" s="27"/>
      <c r="AM337" s="34" t="s">
        <v>57</v>
      </c>
      <c r="AN337" s="35" t="str">
        <f t="shared" si="28"/>
        <v>✓ OK</v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5269</v>
      </c>
      <c r="C338" s="41" t="s">
        <v>5270</v>
      </c>
      <c r="D338" s="39" t="s">
        <v>4603</v>
      </c>
      <c r="E338" s="42">
        <v>46128</v>
      </c>
      <c r="F338" s="26" t="s">
        <v>55</v>
      </c>
      <c r="G338" s="44" t="s">
        <v>833</v>
      </c>
      <c r="H338" s="26" t="s">
        <v>57</v>
      </c>
      <c r="I338" s="44" t="s">
        <v>833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42">
        <v>46196</v>
      </c>
      <c r="O338" s="26" t="s">
        <v>55</v>
      </c>
      <c r="P338" s="44" t="s">
        <v>833</v>
      </c>
      <c r="Q338" s="26" t="s">
        <v>57</v>
      </c>
      <c r="R338" s="44" t="s">
        <v>833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70">
        <v>46248</v>
      </c>
      <c r="X338" s="30" t="s">
        <v>55</v>
      </c>
      <c r="Y338" s="30" t="s">
        <v>833</v>
      </c>
      <c r="Z338" s="30" t="s">
        <v>57</v>
      </c>
      <c r="AA338" s="30" t="s">
        <v>833</v>
      </c>
      <c r="AB338" s="30" t="s">
        <v>56</v>
      </c>
      <c r="AC338" s="27"/>
      <c r="AD338" s="31" t="s">
        <v>57</v>
      </c>
      <c r="AE338" s="32" t="str">
        <f t="shared" si="27"/>
        <v>✓ OK</v>
      </c>
      <c r="AF338" s="33" t="s">
        <v>61</v>
      </c>
      <c r="AG338" s="33" t="s">
        <v>55</v>
      </c>
      <c r="AH338" s="33" t="s">
        <v>833</v>
      </c>
      <c r="AI338" s="33" t="s">
        <v>57</v>
      </c>
      <c r="AJ338" s="33" t="s">
        <v>833</v>
      </c>
      <c r="AK338" s="33" t="s">
        <v>56</v>
      </c>
      <c r="AL338" s="27"/>
      <c r="AM338" s="34" t="s">
        <v>57</v>
      </c>
      <c r="AN338" s="35" t="str">
        <f t="shared" si="28"/>
        <v>✓ OK</v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5271</v>
      </c>
      <c r="C339" s="25" t="s">
        <v>5272</v>
      </c>
      <c r="D339" s="23" t="s">
        <v>4603</v>
      </c>
      <c r="E339" s="42">
        <v>46128</v>
      </c>
      <c r="F339" s="26" t="s">
        <v>55</v>
      </c>
      <c r="G339" s="44" t="s">
        <v>833</v>
      </c>
      <c r="H339" s="26" t="s">
        <v>57</v>
      </c>
      <c r="I339" s="44" t="s">
        <v>833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42">
        <v>46196</v>
      </c>
      <c r="O339" s="26" t="s">
        <v>55</v>
      </c>
      <c r="P339" s="44" t="s">
        <v>833</v>
      </c>
      <c r="Q339" s="26" t="s">
        <v>57</v>
      </c>
      <c r="R339" s="44" t="s">
        <v>833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70">
        <v>46248</v>
      </c>
      <c r="X339" s="30" t="s">
        <v>55</v>
      </c>
      <c r="Y339" s="30" t="s">
        <v>833</v>
      </c>
      <c r="Z339" s="30" t="s">
        <v>57</v>
      </c>
      <c r="AA339" s="30" t="s">
        <v>833</v>
      </c>
      <c r="AB339" s="30" t="s">
        <v>56</v>
      </c>
      <c r="AC339" s="27"/>
      <c r="AD339" s="31" t="s">
        <v>57</v>
      </c>
      <c r="AE339" s="32" t="str">
        <f t="shared" si="27"/>
        <v>✓ OK</v>
      </c>
      <c r="AF339" s="33" t="s">
        <v>61</v>
      </c>
      <c r="AG339" s="33" t="s">
        <v>55</v>
      </c>
      <c r="AH339" s="33" t="s">
        <v>833</v>
      </c>
      <c r="AI339" s="33" t="s">
        <v>57</v>
      </c>
      <c r="AJ339" s="33" t="s">
        <v>833</v>
      </c>
      <c r="AK339" s="33" t="s">
        <v>56</v>
      </c>
      <c r="AL339" s="27"/>
      <c r="AM339" s="34" t="s">
        <v>57</v>
      </c>
      <c r="AN339" s="35" t="str">
        <f t="shared" si="28"/>
        <v>✓ OK</v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5273</v>
      </c>
      <c r="C340" s="41" t="s">
        <v>5274</v>
      </c>
      <c r="D340" s="39" t="s">
        <v>4603</v>
      </c>
      <c r="E340" s="42">
        <v>46128</v>
      </c>
      <c r="F340" s="26" t="s">
        <v>55</v>
      </c>
      <c r="G340" s="44" t="s">
        <v>833</v>
      </c>
      <c r="H340" s="26" t="s">
        <v>57</v>
      </c>
      <c r="I340" s="44" t="s">
        <v>833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42">
        <v>46196</v>
      </c>
      <c r="O340" s="26" t="s">
        <v>55</v>
      </c>
      <c r="P340" s="44" t="s">
        <v>833</v>
      </c>
      <c r="Q340" s="26" t="s">
        <v>57</v>
      </c>
      <c r="R340" s="44" t="s">
        <v>833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70">
        <v>46248</v>
      </c>
      <c r="X340" s="30" t="s">
        <v>55</v>
      </c>
      <c r="Y340" s="30" t="s">
        <v>833</v>
      </c>
      <c r="Z340" s="30" t="s">
        <v>57</v>
      </c>
      <c r="AA340" s="30" t="s">
        <v>833</v>
      </c>
      <c r="AB340" s="30" t="s">
        <v>56</v>
      </c>
      <c r="AC340" s="27"/>
      <c r="AD340" s="31" t="s">
        <v>57</v>
      </c>
      <c r="AE340" s="32" t="str">
        <f t="shared" si="27"/>
        <v>✓ OK</v>
      </c>
      <c r="AF340" s="33" t="s">
        <v>61</v>
      </c>
      <c r="AG340" s="33" t="s">
        <v>55</v>
      </c>
      <c r="AH340" s="33" t="s">
        <v>833</v>
      </c>
      <c r="AI340" s="33" t="s">
        <v>57</v>
      </c>
      <c r="AJ340" s="33" t="s">
        <v>833</v>
      </c>
      <c r="AK340" s="33" t="s">
        <v>56</v>
      </c>
      <c r="AL340" s="27"/>
      <c r="AM340" s="34" t="s">
        <v>57</v>
      </c>
      <c r="AN340" s="35" t="str">
        <f t="shared" si="28"/>
        <v>✓ OK</v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5275</v>
      </c>
      <c r="C341" s="25" t="s">
        <v>5276</v>
      </c>
      <c r="D341" s="23" t="s">
        <v>4603</v>
      </c>
      <c r="E341" s="42">
        <v>46128</v>
      </c>
      <c r="F341" s="26" t="s">
        <v>55</v>
      </c>
      <c r="G341" s="44" t="s">
        <v>833</v>
      </c>
      <c r="H341" s="26" t="s">
        <v>57</v>
      </c>
      <c r="I341" s="44" t="s">
        <v>833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42">
        <v>46196</v>
      </c>
      <c r="O341" s="26" t="s">
        <v>55</v>
      </c>
      <c r="P341" s="44" t="s">
        <v>833</v>
      </c>
      <c r="Q341" s="26" t="s">
        <v>57</v>
      </c>
      <c r="R341" s="44" t="s">
        <v>833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70">
        <v>46248</v>
      </c>
      <c r="X341" s="30" t="s">
        <v>55</v>
      </c>
      <c r="Y341" s="30" t="s">
        <v>833</v>
      </c>
      <c r="Z341" s="30" t="s">
        <v>57</v>
      </c>
      <c r="AA341" s="30" t="s">
        <v>833</v>
      </c>
      <c r="AB341" s="30" t="s">
        <v>56</v>
      </c>
      <c r="AC341" s="27"/>
      <c r="AD341" s="31" t="s">
        <v>57</v>
      </c>
      <c r="AE341" s="32" t="str">
        <f t="shared" si="27"/>
        <v>✓ OK</v>
      </c>
      <c r="AF341" s="33" t="s">
        <v>61</v>
      </c>
      <c r="AG341" s="33" t="s">
        <v>55</v>
      </c>
      <c r="AH341" s="33" t="s">
        <v>833</v>
      </c>
      <c r="AI341" s="33" t="s">
        <v>57</v>
      </c>
      <c r="AJ341" s="33" t="s">
        <v>833</v>
      </c>
      <c r="AK341" s="33" t="s">
        <v>56</v>
      </c>
      <c r="AL341" s="27"/>
      <c r="AM341" s="34" t="s">
        <v>57</v>
      </c>
      <c r="AN341" s="35" t="str">
        <f t="shared" si="28"/>
        <v>✓ OK</v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5277</v>
      </c>
      <c r="C342" s="41" t="s">
        <v>5278</v>
      </c>
      <c r="D342" s="39" t="s">
        <v>4603</v>
      </c>
      <c r="E342" s="42">
        <v>46128</v>
      </c>
      <c r="F342" s="26" t="s">
        <v>55</v>
      </c>
      <c r="G342" s="44" t="s">
        <v>833</v>
      </c>
      <c r="H342" s="26" t="s">
        <v>57</v>
      </c>
      <c r="I342" s="44" t="s">
        <v>833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42">
        <v>46196</v>
      </c>
      <c r="O342" s="26" t="s">
        <v>55</v>
      </c>
      <c r="P342" s="44" t="s">
        <v>833</v>
      </c>
      <c r="Q342" s="26" t="s">
        <v>57</v>
      </c>
      <c r="R342" s="44" t="s">
        <v>833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70">
        <v>46248</v>
      </c>
      <c r="X342" s="30" t="s">
        <v>55</v>
      </c>
      <c r="Y342" s="30" t="s">
        <v>833</v>
      </c>
      <c r="Z342" s="30" t="s">
        <v>57</v>
      </c>
      <c r="AA342" s="30" t="s">
        <v>833</v>
      </c>
      <c r="AB342" s="30" t="s">
        <v>56</v>
      </c>
      <c r="AC342" s="27"/>
      <c r="AD342" s="31" t="s">
        <v>57</v>
      </c>
      <c r="AE342" s="32" t="str">
        <f t="shared" si="27"/>
        <v>✓ OK</v>
      </c>
      <c r="AF342" s="33" t="s">
        <v>61</v>
      </c>
      <c r="AG342" s="33" t="s">
        <v>55</v>
      </c>
      <c r="AH342" s="33" t="s">
        <v>833</v>
      </c>
      <c r="AI342" s="33" t="s">
        <v>57</v>
      </c>
      <c r="AJ342" s="33" t="s">
        <v>833</v>
      </c>
      <c r="AK342" s="33" t="s">
        <v>56</v>
      </c>
      <c r="AL342" s="27"/>
      <c r="AM342" s="34" t="s">
        <v>57</v>
      </c>
      <c r="AN342" s="35" t="str">
        <f t="shared" si="28"/>
        <v>✓ OK</v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5279</v>
      </c>
      <c r="C343" s="25" t="s">
        <v>5280</v>
      </c>
      <c r="D343" s="23" t="s">
        <v>4603</v>
      </c>
      <c r="E343" s="42">
        <v>46128</v>
      </c>
      <c r="F343" s="26" t="s">
        <v>55</v>
      </c>
      <c r="G343" s="44" t="s">
        <v>833</v>
      </c>
      <c r="H343" s="26" t="s">
        <v>57</v>
      </c>
      <c r="I343" s="44" t="s">
        <v>833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42">
        <v>46196</v>
      </c>
      <c r="O343" s="26" t="s">
        <v>55</v>
      </c>
      <c r="P343" s="44" t="s">
        <v>833</v>
      </c>
      <c r="Q343" s="26" t="s">
        <v>57</v>
      </c>
      <c r="R343" s="44" t="s">
        <v>833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70">
        <v>46248</v>
      </c>
      <c r="X343" s="30" t="s">
        <v>55</v>
      </c>
      <c r="Y343" s="30" t="s">
        <v>833</v>
      </c>
      <c r="Z343" s="30" t="s">
        <v>57</v>
      </c>
      <c r="AA343" s="30" t="s">
        <v>833</v>
      </c>
      <c r="AB343" s="30" t="s">
        <v>56</v>
      </c>
      <c r="AC343" s="27"/>
      <c r="AD343" s="31" t="s">
        <v>57</v>
      </c>
      <c r="AE343" s="32" t="str">
        <f t="shared" si="27"/>
        <v>✓ OK</v>
      </c>
      <c r="AF343" s="33" t="s">
        <v>61</v>
      </c>
      <c r="AG343" s="33" t="s">
        <v>55</v>
      </c>
      <c r="AH343" s="33" t="s">
        <v>833</v>
      </c>
      <c r="AI343" s="33" t="s">
        <v>57</v>
      </c>
      <c r="AJ343" s="33" t="s">
        <v>833</v>
      </c>
      <c r="AK343" s="33" t="s">
        <v>56</v>
      </c>
      <c r="AL343" s="27"/>
      <c r="AM343" s="34" t="s">
        <v>57</v>
      </c>
      <c r="AN343" s="35" t="str">
        <f t="shared" si="28"/>
        <v>✓ OK</v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5281</v>
      </c>
      <c r="C344" s="41" t="s">
        <v>5282</v>
      </c>
      <c r="D344" s="39" t="s">
        <v>4603</v>
      </c>
      <c r="E344" s="42">
        <v>46128</v>
      </c>
      <c r="F344" s="26" t="s">
        <v>55</v>
      </c>
      <c r="G344" s="44" t="s">
        <v>833</v>
      </c>
      <c r="H344" s="26" t="s">
        <v>57</v>
      </c>
      <c r="I344" s="44" t="s">
        <v>833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42">
        <v>46196</v>
      </c>
      <c r="O344" s="26" t="s">
        <v>55</v>
      </c>
      <c r="P344" s="44" t="s">
        <v>833</v>
      </c>
      <c r="Q344" s="26" t="s">
        <v>57</v>
      </c>
      <c r="R344" s="44" t="s">
        <v>833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70">
        <v>46248</v>
      </c>
      <c r="X344" s="30" t="s">
        <v>55</v>
      </c>
      <c r="Y344" s="30" t="s">
        <v>833</v>
      </c>
      <c r="Z344" s="30" t="s">
        <v>57</v>
      </c>
      <c r="AA344" s="30" t="s">
        <v>833</v>
      </c>
      <c r="AB344" s="30" t="s">
        <v>56</v>
      </c>
      <c r="AC344" s="27"/>
      <c r="AD344" s="31" t="s">
        <v>57</v>
      </c>
      <c r="AE344" s="32" t="str">
        <f t="shared" si="27"/>
        <v>✓ OK</v>
      </c>
      <c r="AF344" s="33" t="s">
        <v>61</v>
      </c>
      <c r="AG344" s="33" t="s">
        <v>55</v>
      </c>
      <c r="AH344" s="33" t="s">
        <v>833</v>
      </c>
      <c r="AI344" s="33" t="s">
        <v>57</v>
      </c>
      <c r="AJ344" s="33" t="s">
        <v>833</v>
      </c>
      <c r="AK344" s="33" t="s">
        <v>56</v>
      </c>
      <c r="AL344" s="27"/>
      <c r="AM344" s="34" t="s">
        <v>57</v>
      </c>
      <c r="AN344" s="35" t="str">
        <f t="shared" si="28"/>
        <v>✓ OK</v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5283</v>
      </c>
      <c r="C345" s="25" t="s">
        <v>5284</v>
      </c>
      <c r="D345" s="23" t="s">
        <v>4603</v>
      </c>
      <c r="E345" s="42">
        <v>46128</v>
      </c>
      <c r="F345" s="26" t="s">
        <v>55</v>
      </c>
      <c r="G345" s="44" t="s">
        <v>833</v>
      </c>
      <c r="H345" s="26" t="s">
        <v>57</v>
      </c>
      <c r="I345" s="44" t="s">
        <v>833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42">
        <v>46196</v>
      </c>
      <c r="O345" s="26" t="s">
        <v>55</v>
      </c>
      <c r="P345" s="44" t="s">
        <v>833</v>
      </c>
      <c r="Q345" s="26" t="s">
        <v>57</v>
      </c>
      <c r="R345" s="44" t="s">
        <v>833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70">
        <v>46248</v>
      </c>
      <c r="X345" s="30" t="s">
        <v>55</v>
      </c>
      <c r="Y345" s="30" t="s">
        <v>833</v>
      </c>
      <c r="Z345" s="30" t="s">
        <v>57</v>
      </c>
      <c r="AA345" s="30" t="s">
        <v>833</v>
      </c>
      <c r="AB345" s="30" t="s">
        <v>56</v>
      </c>
      <c r="AC345" s="27"/>
      <c r="AD345" s="31" t="s">
        <v>57</v>
      </c>
      <c r="AE345" s="32" t="str">
        <f t="shared" si="27"/>
        <v>✓ OK</v>
      </c>
      <c r="AF345" s="33" t="s">
        <v>61</v>
      </c>
      <c r="AG345" s="33" t="s">
        <v>55</v>
      </c>
      <c r="AH345" s="33" t="s">
        <v>833</v>
      </c>
      <c r="AI345" s="33" t="s">
        <v>57</v>
      </c>
      <c r="AJ345" s="33" t="s">
        <v>833</v>
      </c>
      <c r="AK345" s="33" t="s">
        <v>56</v>
      </c>
      <c r="AL345" s="27"/>
      <c r="AM345" s="34" t="s">
        <v>57</v>
      </c>
      <c r="AN345" s="35" t="str">
        <f t="shared" si="28"/>
        <v>✓ OK</v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5285</v>
      </c>
      <c r="C346" s="41" t="s">
        <v>5286</v>
      </c>
      <c r="D346" s="39" t="s">
        <v>4603</v>
      </c>
      <c r="E346" s="42">
        <v>46128</v>
      </c>
      <c r="F346" s="26" t="s">
        <v>55</v>
      </c>
      <c r="G346" s="44" t="s">
        <v>833</v>
      </c>
      <c r="H346" s="26" t="s">
        <v>57</v>
      </c>
      <c r="I346" s="44" t="s">
        <v>833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42">
        <v>46196</v>
      </c>
      <c r="O346" s="26" t="s">
        <v>55</v>
      </c>
      <c r="P346" s="44" t="s">
        <v>833</v>
      </c>
      <c r="Q346" s="26" t="s">
        <v>57</v>
      </c>
      <c r="R346" s="44" t="s">
        <v>833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70">
        <v>46248</v>
      </c>
      <c r="X346" s="30" t="s">
        <v>55</v>
      </c>
      <c r="Y346" s="30" t="s">
        <v>833</v>
      </c>
      <c r="Z346" s="30" t="s">
        <v>57</v>
      </c>
      <c r="AA346" s="30" t="s">
        <v>833</v>
      </c>
      <c r="AB346" s="30" t="s">
        <v>56</v>
      </c>
      <c r="AC346" s="27"/>
      <c r="AD346" s="31" t="s">
        <v>57</v>
      </c>
      <c r="AE346" s="32" t="str">
        <f t="shared" si="27"/>
        <v>✓ OK</v>
      </c>
      <c r="AF346" s="33" t="s">
        <v>61</v>
      </c>
      <c r="AG346" s="33" t="s">
        <v>55</v>
      </c>
      <c r="AH346" s="33" t="s">
        <v>833</v>
      </c>
      <c r="AI346" s="33" t="s">
        <v>57</v>
      </c>
      <c r="AJ346" s="33" t="s">
        <v>833</v>
      </c>
      <c r="AK346" s="33" t="s">
        <v>56</v>
      </c>
      <c r="AL346" s="27"/>
      <c r="AM346" s="34" t="s">
        <v>57</v>
      </c>
      <c r="AN346" s="35" t="str">
        <f t="shared" si="28"/>
        <v>✓ OK</v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5287</v>
      </c>
      <c r="C347" s="25" t="s">
        <v>5288</v>
      </c>
      <c r="D347" s="23" t="s">
        <v>4603</v>
      </c>
      <c r="E347" s="42">
        <v>46128</v>
      </c>
      <c r="F347" s="26" t="s">
        <v>55</v>
      </c>
      <c r="G347" s="44" t="s">
        <v>833</v>
      </c>
      <c r="H347" s="26" t="s">
        <v>57</v>
      </c>
      <c r="I347" s="44" t="s">
        <v>833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42">
        <v>46196</v>
      </c>
      <c r="O347" s="26" t="s">
        <v>55</v>
      </c>
      <c r="P347" s="44" t="s">
        <v>833</v>
      </c>
      <c r="Q347" s="26" t="s">
        <v>57</v>
      </c>
      <c r="R347" s="44" t="s">
        <v>833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70">
        <v>46248</v>
      </c>
      <c r="X347" s="30" t="s">
        <v>55</v>
      </c>
      <c r="Y347" s="30" t="s">
        <v>833</v>
      </c>
      <c r="Z347" s="30" t="s">
        <v>57</v>
      </c>
      <c r="AA347" s="30" t="s">
        <v>833</v>
      </c>
      <c r="AB347" s="30" t="s">
        <v>56</v>
      </c>
      <c r="AC347" s="27"/>
      <c r="AD347" s="31" t="s">
        <v>57</v>
      </c>
      <c r="AE347" s="32" t="str">
        <f t="shared" si="27"/>
        <v>✓ OK</v>
      </c>
      <c r="AF347" s="33" t="s">
        <v>61</v>
      </c>
      <c r="AG347" s="33" t="s">
        <v>55</v>
      </c>
      <c r="AH347" s="33" t="s">
        <v>833</v>
      </c>
      <c r="AI347" s="33" t="s">
        <v>57</v>
      </c>
      <c r="AJ347" s="33" t="s">
        <v>833</v>
      </c>
      <c r="AK347" s="33" t="s">
        <v>56</v>
      </c>
      <c r="AL347" s="27"/>
      <c r="AM347" s="34" t="s">
        <v>57</v>
      </c>
      <c r="AN347" s="35" t="str">
        <f t="shared" si="28"/>
        <v>✓ OK</v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5289</v>
      </c>
      <c r="C348" s="41" t="s">
        <v>5290</v>
      </c>
      <c r="D348" s="39" t="s">
        <v>4603</v>
      </c>
      <c r="E348" s="42">
        <v>46128</v>
      </c>
      <c r="F348" s="26" t="s">
        <v>55</v>
      </c>
      <c r="G348" s="44" t="s">
        <v>56</v>
      </c>
      <c r="H348" s="26" t="s">
        <v>57</v>
      </c>
      <c r="I348" s="44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42">
        <v>46196</v>
      </c>
      <c r="O348" s="26" t="s">
        <v>55</v>
      </c>
      <c r="P348" s="44" t="s">
        <v>56</v>
      </c>
      <c r="Q348" s="26" t="s">
        <v>57</v>
      </c>
      <c r="R348" s="44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70">
        <v>46248</v>
      </c>
      <c r="X348" s="30" t="s">
        <v>55</v>
      </c>
      <c r="Y348" s="30" t="s">
        <v>56</v>
      </c>
      <c r="Z348" s="30" t="s">
        <v>57</v>
      </c>
      <c r="AA348" s="30" t="s">
        <v>58</v>
      </c>
      <c r="AB348" s="30" t="s">
        <v>56</v>
      </c>
      <c r="AC348" s="27"/>
      <c r="AD348" s="31" t="s">
        <v>57</v>
      </c>
      <c r="AE348" s="32" t="str">
        <f t="shared" si="27"/>
        <v>✓ OK</v>
      </c>
      <c r="AF348" s="33" t="s">
        <v>61</v>
      </c>
      <c r="AG348" s="33" t="s">
        <v>55</v>
      </c>
      <c r="AH348" s="33" t="s">
        <v>56</v>
      </c>
      <c r="AI348" s="33" t="s">
        <v>57</v>
      </c>
      <c r="AJ348" s="33" t="s">
        <v>58</v>
      </c>
      <c r="AK348" s="33" t="s">
        <v>56</v>
      </c>
      <c r="AL348" s="27"/>
      <c r="AM348" s="34" t="s">
        <v>57</v>
      </c>
      <c r="AN348" s="35" t="str">
        <f t="shared" si="28"/>
        <v>✓ OK</v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5291</v>
      </c>
      <c r="C349" s="25" t="s">
        <v>5292</v>
      </c>
      <c r="D349" s="23" t="s">
        <v>4603</v>
      </c>
      <c r="E349" s="42">
        <v>46128</v>
      </c>
      <c r="F349" s="26" t="s">
        <v>55</v>
      </c>
      <c r="G349" s="44" t="s">
        <v>833</v>
      </c>
      <c r="H349" s="26" t="s">
        <v>57</v>
      </c>
      <c r="I349" s="44" t="s">
        <v>833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42">
        <v>46196</v>
      </c>
      <c r="O349" s="26" t="s">
        <v>55</v>
      </c>
      <c r="P349" s="44" t="s">
        <v>833</v>
      </c>
      <c r="Q349" s="26" t="s">
        <v>57</v>
      </c>
      <c r="R349" s="44" t="s">
        <v>833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70">
        <v>46248</v>
      </c>
      <c r="X349" s="30" t="s">
        <v>55</v>
      </c>
      <c r="Y349" s="30" t="s">
        <v>833</v>
      </c>
      <c r="Z349" s="30" t="s">
        <v>57</v>
      </c>
      <c r="AA349" s="30" t="s">
        <v>833</v>
      </c>
      <c r="AB349" s="30" t="s">
        <v>56</v>
      </c>
      <c r="AC349" s="27"/>
      <c r="AD349" s="31" t="s">
        <v>57</v>
      </c>
      <c r="AE349" s="32" t="str">
        <f t="shared" si="27"/>
        <v>✓ OK</v>
      </c>
      <c r="AF349" s="33" t="s">
        <v>61</v>
      </c>
      <c r="AG349" s="33" t="s">
        <v>55</v>
      </c>
      <c r="AH349" s="33" t="s">
        <v>833</v>
      </c>
      <c r="AI349" s="33" t="s">
        <v>57</v>
      </c>
      <c r="AJ349" s="33" t="s">
        <v>833</v>
      </c>
      <c r="AK349" s="33" t="s">
        <v>56</v>
      </c>
      <c r="AL349" s="27"/>
      <c r="AM349" s="34" t="s">
        <v>57</v>
      </c>
      <c r="AN349" s="35" t="str">
        <f t="shared" si="28"/>
        <v>✓ OK</v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5293</v>
      </c>
      <c r="C350" s="41" t="s">
        <v>5294</v>
      </c>
      <c r="D350" s="39" t="s">
        <v>4603</v>
      </c>
      <c r="E350" s="42">
        <v>46128</v>
      </c>
      <c r="F350" s="26" t="s">
        <v>55</v>
      </c>
      <c r="G350" s="44" t="s">
        <v>833</v>
      </c>
      <c r="H350" s="26" t="s">
        <v>57</v>
      </c>
      <c r="I350" s="44" t="s">
        <v>833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42">
        <v>46196</v>
      </c>
      <c r="O350" s="26" t="s">
        <v>55</v>
      </c>
      <c r="P350" s="44" t="s">
        <v>833</v>
      </c>
      <c r="Q350" s="26" t="s">
        <v>57</v>
      </c>
      <c r="R350" s="44" t="s">
        <v>833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70">
        <v>46248</v>
      </c>
      <c r="X350" s="30" t="s">
        <v>55</v>
      </c>
      <c r="Y350" s="30" t="s">
        <v>833</v>
      </c>
      <c r="Z350" s="30" t="s">
        <v>57</v>
      </c>
      <c r="AA350" s="30" t="s">
        <v>833</v>
      </c>
      <c r="AB350" s="30" t="s">
        <v>56</v>
      </c>
      <c r="AC350" s="27"/>
      <c r="AD350" s="31" t="s">
        <v>57</v>
      </c>
      <c r="AE350" s="32" t="str">
        <f t="shared" si="27"/>
        <v>✓ OK</v>
      </c>
      <c r="AF350" s="33" t="s">
        <v>61</v>
      </c>
      <c r="AG350" s="33" t="s">
        <v>55</v>
      </c>
      <c r="AH350" s="33" t="s">
        <v>833</v>
      </c>
      <c r="AI350" s="33" t="s">
        <v>57</v>
      </c>
      <c r="AJ350" s="33" t="s">
        <v>833</v>
      </c>
      <c r="AK350" s="33" t="s">
        <v>56</v>
      </c>
      <c r="AL350" s="27"/>
      <c r="AM350" s="34" t="s">
        <v>57</v>
      </c>
      <c r="AN350" s="35" t="str">
        <f t="shared" si="28"/>
        <v>✓ OK</v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5295</v>
      </c>
      <c r="C351" s="25" t="s">
        <v>5296</v>
      </c>
      <c r="D351" s="23" t="s">
        <v>4603</v>
      </c>
      <c r="E351" s="42">
        <v>46128</v>
      </c>
      <c r="F351" s="26" t="s">
        <v>55</v>
      </c>
      <c r="G351" s="44" t="s">
        <v>833</v>
      </c>
      <c r="H351" s="26" t="s">
        <v>57</v>
      </c>
      <c r="I351" s="44" t="s">
        <v>833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42">
        <v>46196</v>
      </c>
      <c r="O351" s="26" t="s">
        <v>55</v>
      </c>
      <c r="P351" s="44" t="s">
        <v>833</v>
      </c>
      <c r="Q351" s="26" t="s">
        <v>57</v>
      </c>
      <c r="R351" s="44" t="s">
        <v>833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70">
        <v>46248</v>
      </c>
      <c r="X351" s="30" t="s">
        <v>55</v>
      </c>
      <c r="Y351" s="30" t="s">
        <v>833</v>
      </c>
      <c r="Z351" s="30" t="s">
        <v>57</v>
      </c>
      <c r="AA351" s="30" t="s">
        <v>833</v>
      </c>
      <c r="AB351" s="30" t="s">
        <v>56</v>
      </c>
      <c r="AC351" s="27"/>
      <c r="AD351" s="31" t="s">
        <v>57</v>
      </c>
      <c r="AE351" s="32" t="str">
        <f t="shared" si="27"/>
        <v>✓ OK</v>
      </c>
      <c r="AF351" s="33" t="s">
        <v>61</v>
      </c>
      <c r="AG351" s="33" t="s">
        <v>55</v>
      </c>
      <c r="AH351" s="33" t="s">
        <v>833</v>
      </c>
      <c r="AI351" s="33" t="s">
        <v>57</v>
      </c>
      <c r="AJ351" s="33" t="s">
        <v>833</v>
      </c>
      <c r="AK351" s="33" t="s">
        <v>56</v>
      </c>
      <c r="AL351" s="27"/>
      <c r="AM351" s="34" t="s">
        <v>57</v>
      </c>
      <c r="AN351" s="35" t="str">
        <f t="shared" si="28"/>
        <v>✓ OK</v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5297</v>
      </c>
      <c r="C352" s="41" t="s">
        <v>5298</v>
      </c>
      <c r="D352" s="39" t="s">
        <v>4603</v>
      </c>
      <c r="E352" s="42">
        <v>46128</v>
      </c>
      <c r="F352" s="26" t="s">
        <v>55</v>
      </c>
      <c r="G352" s="44" t="s">
        <v>833</v>
      </c>
      <c r="H352" s="26" t="s">
        <v>57</v>
      </c>
      <c r="I352" s="44" t="s">
        <v>833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42">
        <v>46196</v>
      </c>
      <c r="O352" s="26" t="s">
        <v>55</v>
      </c>
      <c r="P352" s="44" t="s">
        <v>833</v>
      </c>
      <c r="Q352" s="26" t="s">
        <v>57</v>
      </c>
      <c r="R352" s="44" t="s">
        <v>833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70">
        <v>46248</v>
      </c>
      <c r="X352" s="30" t="s">
        <v>55</v>
      </c>
      <c r="Y352" s="30" t="s">
        <v>833</v>
      </c>
      <c r="Z352" s="30" t="s">
        <v>57</v>
      </c>
      <c r="AA352" s="30" t="s">
        <v>833</v>
      </c>
      <c r="AB352" s="30" t="s">
        <v>56</v>
      </c>
      <c r="AC352" s="27"/>
      <c r="AD352" s="31" t="s">
        <v>57</v>
      </c>
      <c r="AE352" s="32" t="str">
        <f t="shared" si="27"/>
        <v>✓ OK</v>
      </c>
      <c r="AF352" s="33" t="s">
        <v>61</v>
      </c>
      <c r="AG352" s="33" t="s">
        <v>55</v>
      </c>
      <c r="AH352" s="33" t="s">
        <v>833</v>
      </c>
      <c r="AI352" s="33" t="s">
        <v>57</v>
      </c>
      <c r="AJ352" s="33" t="s">
        <v>833</v>
      </c>
      <c r="AK352" s="33" t="s">
        <v>56</v>
      </c>
      <c r="AL352" s="27"/>
      <c r="AM352" s="34" t="s">
        <v>57</v>
      </c>
      <c r="AN352" s="35" t="str">
        <f t="shared" si="28"/>
        <v>✓ OK</v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5299</v>
      </c>
      <c r="C353" s="25" t="s">
        <v>5300</v>
      </c>
      <c r="D353" s="23" t="s">
        <v>4603</v>
      </c>
      <c r="E353" s="42">
        <v>46128</v>
      </c>
      <c r="F353" s="26" t="s">
        <v>55</v>
      </c>
      <c r="G353" s="44" t="s">
        <v>833</v>
      </c>
      <c r="H353" s="26" t="s">
        <v>57</v>
      </c>
      <c r="I353" s="44" t="s">
        <v>833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42">
        <v>46196</v>
      </c>
      <c r="O353" s="26" t="s">
        <v>55</v>
      </c>
      <c r="P353" s="44" t="s">
        <v>833</v>
      </c>
      <c r="Q353" s="26" t="s">
        <v>57</v>
      </c>
      <c r="R353" s="44" t="s">
        <v>833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70">
        <v>46248</v>
      </c>
      <c r="X353" s="30" t="s">
        <v>55</v>
      </c>
      <c r="Y353" s="30" t="s">
        <v>833</v>
      </c>
      <c r="Z353" s="30" t="s">
        <v>57</v>
      </c>
      <c r="AA353" s="30" t="s">
        <v>833</v>
      </c>
      <c r="AB353" s="30" t="s">
        <v>56</v>
      </c>
      <c r="AC353" s="27"/>
      <c r="AD353" s="31" t="s">
        <v>57</v>
      </c>
      <c r="AE353" s="32" t="str">
        <f t="shared" si="27"/>
        <v>✓ OK</v>
      </c>
      <c r="AF353" s="33" t="s">
        <v>61</v>
      </c>
      <c r="AG353" s="33" t="s">
        <v>55</v>
      </c>
      <c r="AH353" s="33" t="s">
        <v>833</v>
      </c>
      <c r="AI353" s="33" t="s">
        <v>57</v>
      </c>
      <c r="AJ353" s="33" t="s">
        <v>833</v>
      </c>
      <c r="AK353" s="33" t="s">
        <v>56</v>
      </c>
      <c r="AL353" s="27"/>
      <c r="AM353" s="34" t="s">
        <v>57</v>
      </c>
      <c r="AN353" s="35" t="str">
        <f t="shared" si="28"/>
        <v>✓ OK</v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5301</v>
      </c>
      <c r="C354" s="41" t="s">
        <v>5302</v>
      </c>
      <c r="D354" s="39" t="s">
        <v>4603</v>
      </c>
      <c r="E354" s="42">
        <v>46128</v>
      </c>
      <c r="F354" s="26" t="s">
        <v>55</v>
      </c>
      <c r="G354" s="44" t="s">
        <v>833</v>
      </c>
      <c r="H354" s="26" t="s">
        <v>57</v>
      </c>
      <c r="I354" s="44" t="s">
        <v>833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42">
        <v>46196</v>
      </c>
      <c r="O354" s="26" t="s">
        <v>55</v>
      </c>
      <c r="P354" s="44" t="s">
        <v>833</v>
      </c>
      <c r="Q354" s="26" t="s">
        <v>57</v>
      </c>
      <c r="R354" s="44" t="s">
        <v>833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70">
        <v>46248</v>
      </c>
      <c r="X354" s="30" t="s">
        <v>55</v>
      </c>
      <c r="Y354" s="30" t="s">
        <v>833</v>
      </c>
      <c r="Z354" s="30" t="s">
        <v>57</v>
      </c>
      <c r="AA354" s="30" t="s">
        <v>833</v>
      </c>
      <c r="AB354" s="30" t="s">
        <v>56</v>
      </c>
      <c r="AC354" s="27"/>
      <c r="AD354" s="31" t="s">
        <v>57</v>
      </c>
      <c r="AE354" s="32" t="str">
        <f t="shared" si="27"/>
        <v>✓ OK</v>
      </c>
      <c r="AF354" s="33" t="s">
        <v>61</v>
      </c>
      <c r="AG354" s="33" t="s">
        <v>55</v>
      </c>
      <c r="AH354" s="33" t="s">
        <v>833</v>
      </c>
      <c r="AI354" s="33" t="s">
        <v>57</v>
      </c>
      <c r="AJ354" s="33" t="s">
        <v>833</v>
      </c>
      <c r="AK354" s="33" t="s">
        <v>56</v>
      </c>
      <c r="AL354" s="27"/>
      <c r="AM354" s="34" t="s">
        <v>57</v>
      </c>
      <c r="AN354" s="35" t="str">
        <f t="shared" si="28"/>
        <v>✓ OK</v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5303</v>
      </c>
      <c r="C355" s="25" t="s">
        <v>5304</v>
      </c>
      <c r="D355" s="23" t="s">
        <v>4603</v>
      </c>
      <c r="E355" s="42">
        <v>46128</v>
      </c>
      <c r="F355" s="26" t="s">
        <v>55</v>
      </c>
      <c r="G355" s="44" t="s">
        <v>833</v>
      </c>
      <c r="H355" s="26" t="s">
        <v>57</v>
      </c>
      <c r="I355" s="44" t="s">
        <v>833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42">
        <v>46196</v>
      </c>
      <c r="O355" s="26" t="s">
        <v>55</v>
      </c>
      <c r="P355" s="44" t="s">
        <v>833</v>
      </c>
      <c r="Q355" s="26" t="s">
        <v>57</v>
      </c>
      <c r="R355" s="44" t="s">
        <v>833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70">
        <v>46248</v>
      </c>
      <c r="X355" s="30" t="s">
        <v>55</v>
      </c>
      <c r="Y355" s="30" t="s">
        <v>833</v>
      </c>
      <c r="Z355" s="30" t="s">
        <v>57</v>
      </c>
      <c r="AA355" s="30" t="s">
        <v>833</v>
      </c>
      <c r="AB355" s="30" t="s">
        <v>56</v>
      </c>
      <c r="AC355" s="27"/>
      <c r="AD355" s="31" t="s">
        <v>57</v>
      </c>
      <c r="AE355" s="32" t="str">
        <f t="shared" si="27"/>
        <v>✓ OK</v>
      </c>
      <c r="AF355" s="33" t="s">
        <v>61</v>
      </c>
      <c r="AG355" s="33" t="s">
        <v>55</v>
      </c>
      <c r="AH355" s="33" t="s">
        <v>833</v>
      </c>
      <c r="AI355" s="33" t="s">
        <v>57</v>
      </c>
      <c r="AJ355" s="33" t="s">
        <v>833</v>
      </c>
      <c r="AK355" s="33" t="s">
        <v>56</v>
      </c>
      <c r="AL355" s="27"/>
      <c r="AM355" s="34" t="s">
        <v>57</v>
      </c>
      <c r="AN355" s="35" t="str">
        <f t="shared" si="28"/>
        <v>✓ OK</v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5305</v>
      </c>
      <c r="C356" s="41" t="s">
        <v>5306</v>
      </c>
      <c r="D356" s="39" t="s">
        <v>4603</v>
      </c>
      <c r="E356" s="42">
        <v>46128</v>
      </c>
      <c r="F356" s="26" t="s">
        <v>55</v>
      </c>
      <c r="G356" s="44" t="s">
        <v>833</v>
      </c>
      <c r="H356" s="26" t="s">
        <v>57</v>
      </c>
      <c r="I356" s="44" t="s">
        <v>833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42">
        <v>46196</v>
      </c>
      <c r="O356" s="26" t="s">
        <v>55</v>
      </c>
      <c r="P356" s="44" t="s">
        <v>833</v>
      </c>
      <c r="Q356" s="26" t="s">
        <v>57</v>
      </c>
      <c r="R356" s="44" t="s">
        <v>833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70">
        <v>46248</v>
      </c>
      <c r="X356" s="30" t="s">
        <v>55</v>
      </c>
      <c r="Y356" s="30" t="s">
        <v>833</v>
      </c>
      <c r="Z356" s="30" t="s">
        <v>57</v>
      </c>
      <c r="AA356" s="30" t="s">
        <v>833</v>
      </c>
      <c r="AB356" s="30" t="s">
        <v>56</v>
      </c>
      <c r="AC356" s="27"/>
      <c r="AD356" s="31" t="s">
        <v>57</v>
      </c>
      <c r="AE356" s="32" t="str">
        <f t="shared" si="27"/>
        <v>✓ OK</v>
      </c>
      <c r="AF356" s="33" t="s">
        <v>61</v>
      </c>
      <c r="AG356" s="33" t="s">
        <v>55</v>
      </c>
      <c r="AH356" s="33" t="s">
        <v>833</v>
      </c>
      <c r="AI356" s="33" t="s">
        <v>57</v>
      </c>
      <c r="AJ356" s="33" t="s">
        <v>833</v>
      </c>
      <c r="AK356" s="33" t="s">
        <v>56</v>
      </c>
      <c r="AL356" s="27"/>
      <c r="AM356" s="34" t="s">
        <v>57</v>
      </c>
      <c r="AN356" s="35" t="str">
        <f t="shared" si="28"/>
        <v>✓ OK</v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5307</v>
      </c>
      <c r="C357" s="25" t="s">
        <v>5308</v>
      </c>
      <c r="D357" s="23" t="s">
        <v>4603</v>
      </c>
      <c r="E357" s="42">
        <v>46128</v>
      </c>
      <c r="F357" s="26" t="s">
        <v>55</v>
      </c>
      <c r="G357" s="44" t="s">
        <v>833</v>
      </c>
      <c r="H357" s="26" t="s">
        <v>57</v>
      </c>
      <c r="I357" s="44" t="s">
        <v>833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42">
        <v>46196</v>
      </c>
      <c r="O357" s="26" t="s">
        <v>55</v>
      </c>
      <c r="P357" s="44" t="s">
        <v>833</v>
      </c>
      <c r="Q357" s="26" t="s">
        <v>57</v>
      </c>
      <c r="R357" s="44" t="s">
        <v>833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70">
        <v>46248</v>
      </c>
      <c r="X357" s="30" t="s">
        <v>55</v>
      </c>
      <c r="Y357" s="30" t="s">
        <v>833</v>
      </c>
      <c r="Z357" s="30" t="s">
        <v>57</v>
      </c>
      <c r="AA357" s="30" t="s">
        <v>833</v>
      </c>
      <c r="AB357" s="30" t="s">
        <v>56</v>
      </c>
      <c r="AC357" s="27"/>
      <c r="AD357" s="31" t="s">
        <v>57</v>
      </c>
      <c r="AE357" s="32" t="str">
        <f t="shared" si="27"/>
        <v>✓ OK</v>
      </c>
      <c r="AF357" s="33" t="s">
        <v>61</v>
      </c>
      <c r="AG357" s="33" t="s">
        <v>55</v>
      </c>
      <c r="AH357" s="33" t="s">
        <v>833</v>
      </c>
      <c r="AI357" s="33" t="s">
        <v>57</v>
      </c>
      <c r="AJ357" s="33" t="s">
        <v>833</v>
      </c>
      <c r="AK357" s="33" t="s">
        <v>56</v>
      </c>
      <c r="AL357" s="27"/>
      <c r="AM357" s="34" t="s">
        <v>57</v>
      </c>
      <c r="AN357" s="35" t="str">
        <f t="shared" si="28"/>
        <v>✓ OK</v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5309</v>
      </c>
      <c r="C358" s="41" t="s">
        <v>5310</v>
      </c>
      <c r="D358" s="39" t="s">
        <v>4603</v>
      </c>
      <c r="E358" s="42">
        <v>46128</v>
      </c>
      <c r="F358" s="26" t="s">
        <v>55</v>
      </c>
      <c r="G358" s="44" t="s">
        <v>833</v>
      </c>
      <c r="H358" s="26" t="s">
        <v>57</v>
      </c>
      <c r="I358" s="44" t="s">
        <v>833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42">
        <v>46196</v>
      </c>
      <c r="O358" s="26" t="s">
        <v>55</v>
      </c>
      <c r="P358" s="44" t="s">
        <v>833</v>
      </c>
      <c r="Q358" s="26" t="s">
        <v>57</v>
      </c>
      <c r="R358" s="44" t="s">
        <v>833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70">
        <v>46248</v>
      </c>
      <c r="X358" s="30" t="s">
        <v>55</v>
      </c>
      <c r="Y358" s="30" t="s">
        <v>833</v>
      </c>
      <c r="Z358" s="30" t="s">
        <v>57</v>
      </c>
      <c r="AA358" s="30" t="s">
        <v>833</v>
      </c>
      <c r="AB358" s="30" t="s">
        <v>56</v>
      </c>
      <c r="AC358" s="27"/>
      <c r="AD358" s="31" t="s">
        <v>57</v>
      </c>
      <c r="AE358" s="32" t="str">
        <f t="shared" si="27"/>
        <v>✓ OK</v>
      </c>
      <c r="AF358" s="33" t="s">
        <v>61</v>
      </c>
      <c r="AG358" s="33" t="s">
        <v>55</v>
      </c>
      <c r="AH358" s="33" t="s">
        <v>833</v>
      </c>
      <c r="AI358" s="33" t="s">
        <v>57</v>
      </c>
      <c r="AJ358" s="33" t="s">
        <v>833</v>
      </c>
      <c r="AK358" s="33" t="s">
        <v>56</v>
      </c>
      <c r="AL358" s="27"/>
      <c r="AM358" s="34" t="s">
        <v>57</v>
      </c>
      <c r="AN358" s="35" t="str">
        <f t="shared" si="28"/>
        <v>✓ OK</v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5311</v>
      </c>
      <c r="C359" s="25" t="s">
        <v>5312</v>
      </c>
      <c r="D359" s="23" t="s">
        <v>4603</v>
      </c>
      <c r="E359" s="42">
        <v>46128</v>
      </c>
      <c r="F359" s="26" t="s">
        <v>55</v>
      </c>
      <c r="G359" s="44" t="s">
        <v>833</v>
      </c>
      <c r="H359" s="26" t="s">
        <v>57</v>
      </c>
      <c r="I359" s="44" t="s">
        <v>833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42">
        <v>46196</v>
      </c>
      <c r="O359" s="26" t="s">
        <v>55</v>
      </c>
      <c r="P359" s="44" t="s">
        <v>833</v>
      </c>
      <c r="Q359" s="26" t="s">
        <v>57</v>
      </c>
      <c r="R359" s="44" t="s">
        <v>833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70">
        <v>46248</v>
      </c>
      <c r="X359" s="30" t="s">
        <v>55</v>
      </c>
      <c r="Y359" s="30" t="s">
        <v>833</v>
      </c>
      <c r="Z359" s="30" t="s">
        <v>57</v>
      </c>
      <c r="AA359" s="30" t="s">
        <v>833</v>
      </c>
      <c r="AB359" s="30" t="s">
        <v>56</v>
      </c>
      <c r="AC359" s="27"/>
      <c r="AD359" s="31" t="s">
        <v>57</v>
      </c>
      <c r="AE359" s="32" t="str">
        <f t="shared" si="27"/>
        <v>✓ OK</v>
      </c>
      <c r="AF359" s="33" t="s">
        <v>61</v>
      </c>
      <c r="AG359" s="33" t="s">
        <v>55</v>
      </c>
      <c r="AH359" s="33" t="s">
        <v>833</v>
      </c>
      <c r="AI359" s="33" t="s">
        <v>57</v>
      </c>
      <c r="AJ359" s="33" t="s">
        <v>833</v>
      </c>
      <c r="AK359" s="33" t="s">
        <v>56</v>
      </c>
      <c r="AL359" s="27"/>
      <c r="AM359" s="34" t="s">
        <v>57</v>
      </c>
      <c r="AN359" s="35" t="str">
        <f t="shared" si="28"/>
        <v>✓ OK</v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5313</v>
      </c>
      <c r="C360" s="41" t="s">
        <v>5314</v>
      </c>
      <c r="D360" s="39" t="s">
        <v>4603</v>
      </c>
      <c r="E360" s="42">
        <v>46128</v>
      </c>
      <c r="F360" s="26" t="s">
        <v>55</v>
      </c>
      <c r="G360" s="44" t="s">
        <v>833</v>
      </c>
      <c r="H360" s="26" t="s">
        <v>57</v>
      </c>
      <c r="I360" s="44" t="s">
        <v>833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42">
        <v>46196</v>
      </c>
      <c r="O360" s="26" t="s">
        <v>55</v>
      </c>
      <c r="P360" s="44" t="s">
        <v>833</v>
      </c>
      <c r="Q360" s="26" t="s">
        <v>57</v>
      </c>
      <c r="R360" s="44" t="s">
        <v>833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70">
        <v>46248</v>
      </c>
      <c r="X360" s="30" t="s">
        <v>55</v>
      </c>
      <c r="Y360" s="30" t="s">
        <v>833</v>
      </c>
      <c r="Z360" s="30" t="s">
        <v>57</v>
      </c>
      <c r="AA360" s="30" t="s">
        <v>833</v>
      </c>
      <c r="AB360" s="30" t="s">
        <v>56</v>
      </c>
      <c r="AC360" s="27"/>
      <c r="AD360" s="31" t="s">
        <v>57</v>
      </c>
      <c r="AE360" s="32" t="str">
        <f t="shared" si="27"/>
        <v>✓ OK</v>
      </c>
      <c r="AF360" s="33" t="s">
        <v>61</v>
      </c>
      <c r="AG360" s="33" t="s">
        <v>55</v>
      </c>
      <c r="AH360" s="33" t="s">
        <v>833</v>
      </c>
      <c r="AI360" s="33" t="s">
        <v>57</v>
      </c>
      <c r="AJ360" s="33" t="s">
        <v>833</v>
      </c>
      <c r="AK360" s="33" t="s">
        <v>56</v>
      </c>
      <c r="AL360" s="27"/>
      <c r="AM360" s="34" t="s">
        <v>57</v>
      </c>
      <c r="AN360" s="35" t="str">
        <f t="shared" si="28"/>
        <v>✓ OK</v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5315</v>
      </c>
      <c r="C361" s="25" t="s">
        <v>5316</v>
      </c>
      <c r="D361" s="23" t="s">
        <v>4603</v>
      </c>
      <c r="E361" s="42">
        <v>46128</v>
      </c>
      <c r="F361" s="26" t="s">
        <v>55</v>
      </c>
      <c r="G361" s="44" t="s">
        <v>833</v>
      </c>
      <c r="H361" s="26" t="s">
        <v>57</v>
      </c>
      <c r="I361" s="44" t="s">
        <v>833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42">
        <v>46196</v>
      </c>
      <c r="O361" s="26" t="s">
        <v>55</v>
      </c>
      <c r="P361" s="44" t="s">
        <v>833</v>
      </c>
      <c r="Q361" s="26" t="s">
        <v>57</v>
      </c>
      <c r="R361" s="44" t="s">
        <v>833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70">
        <v>46248</v>
      </c>
      <c r="X361" s="30" t="s">
        <v>55</v>
      </c>
      <c r="Y361" s="30" t="s">
        <v>833</v>
      </c>
      <c r="Z361" s="30" t="s">
        <v>57</v>
      </c>
      <c r="AA361" s="30" t="s">
        <v>833</v>
      </c>
      <c r="AB361" s="30" t="s">
        <v>56</v>
      </c>
      <c r="AC361" s="27"/>
      <c r="AD361" s="31" t="s">
        <v>57</v>
      </c>
      <c r="AE361" s="32" t="str">
        <f t="shared" si="27"/>
        <v>✓ OK</v>
      </c>
      <c r="AF361" s="33" t="s">
        <v>61</v>
      </c>
      <c r="AG361" s="33" t="s">
        <v>55</v>
      </c>
      <c r="AH361" s="33" t="s">
        <v>833</v>
      </c>
      <c r="AI361" s="33" t="s">
        <v>57</v>
      </c>
      <c r="AJ361" s="33" t="s">
        <v>833</v>
      </c>
      <c r="AK361" s="33" t="s">
        <v>56</v>
      </c>
      <c r="AL361" s="27"/>
      <c r="AM361" s="34" t="s">
        <v>57</v>
      </c>
      <c r="AN361" s="35" t="str">
        <f t="shared" si="28"/>
        <v>✓ OK</v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5317</v>
      </c>
      <c r="C362" s="41" t="s">
        <v>5318</v>
      </c>
      <c r="D362" s="39" t="s">
        <v>4603</v>
      </c>
      <c r="E362" s="42">
        <v>46128</v>
      </c>
      <c r="F362" s="26" t="s">
        <v>55</v>
      </c>
      <c r="G362" s="44" t="s">
        <v>56</v>
      </c>
      <c r="H362" s="26" t="s">
        <v>57</v>
      </c>
      <c r="I362" s="44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42">
        <v>46196</v>
      </c>
      <c r="O362" s="26" t="s">
        <v>55</v>
      </c>
      <c r="P362" s="44" t="s">
        <v>56</v>
      </c>
      <c r="Q362" s="26" t="s">
        <v>57</v>
      </c>
      <c r="R362" s="44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70">
        <v>46248</v>
      </c>
      <c r="X362" s="30" t="s">
        <v>55</v>
      </c>
      <c r="Y362" s="30" t="s">
        <v>56</v>
      </c>
      <c r="Z362" s="30" t="s">
        <v>57</v>
      </c>
      <c r="AA362" s="30" t="s">
        <v>58</v>
      </c>
      <c r="AB362" s="30" t="s">
        <v>56</v>
      </c>
      <c r="AC362" s="27"/>
      <c r="AD362" s="31" t="s">
        <v>57</v>
      </c>
      <c r="AE362" s="32" t="str">
        <f t="shared" si="27"/>
        <v>✓ OK</v>
      </c>
      <c r="AF362" s="33" t="s">
        <v>61</v>
      </c>
      <c r="AG362" s="33" t="s">
        <v>55</v>
      </c>
      <c r="AH362" s="33" t="s">
        <v>56</v>
      </c>
      <c r="AI362" s="33" t="s">
        <v>57</v>
      </c>
      <c r="AJ362" s="33" t="s">
        <v>58</v>
      </c>
      <c r="AK362" s="33" t="s">
        <v>56</v>
      </c>
      <c r="AL362" s="27"/>
      <c r="AM362" s="34" t="s">
        <v>57</v>
      </c>
      <c r="AN362" s="35" t="str">
        <f t="shared" si="28"/>
        <v>✓ OK</v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5319</v>
      </c>
      <c r="C363" s="25" t="s">
        <v>5320</v>
      </c>
      <c r="D363" s="23" t="s">
        <v>5321</v>
      </c>
      <c r="E363" s="42">
        <v>46128</v>
      </c>
      <c r="F363" s="26" t="s">
        <v>55</v>
      </c>
      <c r="G363" s="44" t="s">
        <v>57</v>
      </c>
      <c r="H363" s="26" t="s">
        <v>57</v>
      </c>
      <c r="I363" s="44" t="s">
        <v>90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42">
        <v>46196</v>
      </c>
      <c r="O363" s="26" t="s">
        <v>55</v>
      </c>
      <c r="P363" s="44" t="s">
        <v>57</v>
      </c>
      <c r="Q363" s="26" t="s">
        <v>57</v>
      </c>
      <c r="R363" s="44" t="s">
        <v>90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70">
        <v>46248</v>
      </c>
      <c r="X363" s="30" t="s">
        <v>55</v>
      </c>
      <c r="Y363" s="30" t="s">
        <v>57</v>
      </c>
      <c r="Z363" s="30" t="s">
        <v>57</v>
      </c>
      <c r="AA363" s="30" t="s">
        <v>90</v>
      </c>
      <c r="AB363" s="30" t="s">
        <v>57</v>
      </c>
      <c r="AC363" s="27"/>
      <c r="AD363" s="31" t="s">
        <v>56</v>
      </c>
      <c r="AE363" s="32" t="str">
        <f t="shared" si="27"/>
        <v>⚠ Missing</v>
      </c>
      <c r="AF363" s="33" t="s">
        <v>61</v>
      </c>
      <c r="AG363" s="33" t="s">
        <v>62</v>
      </c>
      <c r="AH363" s="33" t="s">
        <v>57</v>
      </c>
      <c r="AI363" s="33" t="s">
        <v>56</v>
      </c>
      <c r="AJ363" s="33" t="s">
        <v>60</v>
      </c>
      <c r="AK363" s="33" t="s">
        <v>57</v>
      </c>
      <c r="AL363" s="27"/>
      <c r="AM363" s="34" t="s">
        <v>57</v>
      </c>
      <c r="AN363" s="35" t="str">
        <f t="shared" si="28"/>
        <v>❌ Disc</v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5322</v>
      </c>
      <c r="C364" s="41" t="s">
        <v>5323</v>
      </c>
      <c r="D364" s="39" t="s">
        <v>5321</v>
      </c>
      <c r="E364" s="42">
        <v>46128</v>
      </c>
      <c r="F364" s="26" t="s">
        <v>55</v>
      </c>
      <c r="G364" s="44" t="s">
        <v>57</v>
      </c>
      <c r="H364" s="26" t="s">
        <v>57</v>
      </c>
      <c r="I364" s="44" t="s">
        <v>90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42">
        <v>46196</v>
      </c>
      <c r="O364" s="26" t="s">
        <v>55</v>
      </c>
      <c r="P364" s="44" t="s">
        <v>57</v>
      </c>
      <c r="Q364" s="26" t="s">
        <v>57</v>
      </c>
      <c r="R364" s="44" t="s">
        <v>90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70">
        <v>46248</v>
      </c>
      <c r="X364" s="30" t="s">
        <v>55</v>
      </c>
      <c r="Y364" s="30" t="s">
        <v>57</v>
      </c>
      <c r="Z364" s="30" t="s">
        <v>57</v>
      </c>
      <c r="AA364" s="30" t="s">
        <v>90</v>
      </c>
      <c r="AB364" s="30" t="s">
        <v>57</v>
      </c>
      <c r="AC364" s="27"/>
      <c r="AD364" s="31" t="s">
        <v>56</v>
      </c>
      <c r="AE364" s="32" t="str">
        <f t="shared" si="27"/>
        <v>⚠ Missing</v>
      </c>
      <c r="AF364" s="33" t="s">
        <v>61</v>
      </c>
      <c r="AG364" s="33" t="s">
        <v>62</v>
      </c>
      <c r="AH364" s="33" t="s">
        <v>57</v>
      </c>
      <c r="AI364" s="33" t="s">
        <v>56</v>
      </c>
      <c r="AJ364" s="33" t="s">
        <v>60</v>
      </c>
      <c r="AK364" s="33" t="s">
        <v>57</v>
      </c>
      <c r="AL364" s="27"/>
      <c r="AM364" s="34" t="s">
        <v>57</v>
      </c>
      <c r="AN364" s="35" t="str">
        <f t="shared" si="28"/>
        <v>❌ Disc</v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5324</v>
      </c>
      <c r="C365" s="25" t="s">
        <v>5325</v>
      </c>
      <c r="D365" s="23" t="s">
        <v>5321</v>
      </c>
      <c r="E365" s="42">
        <v>46128</v>
      </c>
      <c r="F365" s="26" t="s">
        <v>55</v>
      </c>
      <c r="G365" s="44" t="s">
        <v>57</v>
      </c>
      <c r="H365" s="26" t="s">
        <v>57</v>
      </c>
      <c r="I365" s="44" t="s">
        <v>90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42">
        <v>46196</v>
      </c>
      <c r="O365" s="26" t="s">
        <v>55</v>
      </c>
      <c r="P365" s="44" t="s">
        <v>57</v>
      </c>
      <c r="Q365" s="26" t="s">
        <v>57</v>
      </c>
      <c r="R365" s="44" t="s">
        <v>90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70">
        <v>46248</v>
      </c>
      <c r="X365" s="30" t="s">
        <v>55</v>
      </c>
      <c r="Y365" s="30" t="s">
        <v>57</v>
      </c>
      <c r="Z365" s="30" t="s">
        <v>57</v>
      </c>
      <c r="AA365" s="30" t="s">
        <v>90</v>
      </c>
      <c r="AB365" s="30" t="s">
        <v>57</v>
      </c>
      <c r="AC365" s="27"/>
      <c r="AD365" s="31" t="s">
        <v>56</v>
      </c>
      <c r="AE365" s="32" t="str">
        <f t="shared" si="27"/>
        <v>⚠ Missing</v>
      </c>
      <c r="AF365" s="33" t="s">
        <v>61</v>
      </c>
      <c r="AG365" s="33" t="s">
        <v>62</v>
      </c>
      <c r="AH365" s="33" t="s">
        <v>57</v>
      </c>
      <c r="AI365" s="33" t="s">
        <v>56</v>
      </c>
      <c r="AJ365" s="33" t="s">
        <v>60</v>
      </c>
      <c r="AK365" s="33" t="s">
        <v>57</v>
      </c>
      <c r="AL365" s="27"/>
      <c r="AM365" s="34" t="s">
        <v>57</v>
      </c>
      <c r="AN365" s="35" t="str">
        <f t="shared" si="28"/>
        <v>❌ Disc</v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5326</v>
      </c>
      <c r="C366" s="41" t="s">
        <v>5327</v>
      </c>
      <c r="D366" s="39" t="s">
        <v>5321</v>
      </c>
      <c r="E366" s="42">
        <v>46128</v>
      </c>
      <c r="F366" s="26" t="s">
        <v>55</v>
      </c>
      <c r="G366" s="44" t="s">
        <v>57</v>
      </c>
      <c r="H366" s="26" t="s">
        <v>57</v>
      </c>
      <c r="I366" s="44" t="s">
        <v>90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42">
        <v>46196</v>
      </c>
      <c r="O366" s="26" t="s">
        <v>55</v>
      </c>
      <c r="P366" s="44" t="s">
        <v>57</v>
      </c>
      <c r="Q366" s="26" t="s">
        <v>57</v>
      </c>
      <c r="R366" s="44" t="s">
        <v>90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70">
        <v>46248</v>
      </c>
      <c r="X366" s="30" t="s">
        <v>55</v>
      </c>
      <c r="Y366" s="30" t="s">
        <v>57</v>
      </c>
      <c r="Z366" s="30" t="s">
        <v>57</v>
      </c>
      <c r="AA366" s="30" t="s">
        <v>90</v>
      </c>
      <c r="AB366" s="30" t="s">
        <v>57</v>
      </c>
      <c r="AC366" s="27"/>
      <c r="AD366" s="31" t="s">
        <v>56</v>
      </c>
      <c r="AE366" s="32" t="str">
        <f t="shared" si="27"/>
        <v>⚠ Missing</v>
      </c>
      <c r="AF366" s="33" t="s">
        <v>61</v>
      </c>
      <c r="AG366" s="33" t="s">
        <v>55</v>
      </c>
      <c r="AH366" s="33" t="s">
        <v>57</v>
      </c>
      <c r="AI366" s="33" t="s">
        <v>57</v>
      </c>
      <c r="AJ366" s="33" t="s">
        <v>90</v>
      </c>
      <c r="AK366" s="33" t="s">
        <v>57</v>
      </c>
      <c r="AL366" s="27"/>
      <c r="AM366" s="34" t="s">
        <v>56</v>
      </c>
      <c r="AN366" s="35" t="str">
        <f t="shared" si="28"/>
        <v>⚠ Missing</v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5328</v>
      </c>
      <c r="C367" s="25" t="s">
        <v>5329</v>
      </c>
      <c r="D367" s="23" t="s">
        <v>5321</v>
      </c>
      <c r="E367" s="42">
        <v>46128</v>
      </c>
      <c r="F367" s="26" t="s">
        <v>55</v>
      </c>
      <c r="G367" s="44" t="s">
        <v>57</v>
      </c>
      <c r="H367" s="26" t="s">
        <v>57</v>
      </c>
      <c r="I367" s="44" t="s">
        <v>90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42">
        <v>46196</v>
      </c>
      <c r="O367" s="26" t="s">
        <v>55</v>
      </c>
      <c r="P367" s="44" t="s">
        <v>57</v>
      </c>
      <c r="Q367" s="26" t="s">
        <v>57</v>
      </c>
      <c r="R367" s="44" t="s">
        <v>90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70">
        <v>46248</v>
      </c>
      <c r="X367" s="30" t="s">
        <v>55</v>
      </c>
      <c r="Y367" s="30" t="s">
        <v>57</v>
      </c>
      <c r="Z367" s="30" t="s">
        <v>57</v>
      </c>
      <c r="AA367" s="30" t="s">
        <v>90</v>
      </c>
      <c r="AB367" s="30" t="s">
        <v>57</v>
      </c>
      <c r="AC367" s="27"/>
      <c r="AD367" s="31" t="s">
        <v>56</v>
      </c>
      <c r="AE367" s="32" t="str">
        <f t="shared" si="27"/>
        <v>⚠ Missing</v>
      </c>
      <c r="AF367" s="33" t="s">
        <v>61</v>
      </c>
      <c r="AG367" s="33" t="s">
        <v>62</v>
      </c>
      <c r="AH367" s="33" t="s">
        <v>57</v>
      </c>
      <c r="AI367" s="33" t="s">
        <v>56</v>
      </c>
      <c r="AJ367" s="33" t="s">
        <v>60</v>
      </c>
      <c r="AK367" s="33" t="s">
        <v>57</v>
      </c>
      <c r="AL367" s="27"/>
      <c r="AM367" s="34" t="s">
        <v>57</v>
      </c>
      <c r="AN367" s="35" t="str">
        <f t="shared" si="28"/>
        <v>❌ Disc</v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5330</v>
      </c>
      <c r="C368" s="41" t="s">
        <v>5331</v>
      </c>
      <c r="D368" s="39" t="s">
        <v>5321</v>
      </c>
      <c r="E368" s="42">
        <v>46128</v>
      </c>
      <c r="F368" s="26" t="s">
        <v>55</v>
      </c>
      <c r="G368" s="44" t="s">
        <v>57</v>
      </c>
      <c r="H368" s="26" t="s">
        <v>57</v>
      </c>
      <c r="I368" s="44" t="s">
        <v>90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42">
        <v>46196</v>
      </c>
      <c r="O368" s="26" t="s">
        <v>55</v>
      </c>
      <c r="P368" s="44" t="s">
        <v>57</v>
      </c>
      <c r="Q368" s="26" t="s">
        <v>57</v>
      </c>
      <c r="R368" s="44" t="s">
        <v>90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70">
        <v>46248</v>
      </c>
      <c r="X368" s="30" t="s">
        <v>55</v>
      </c>
      <c r="Y368" s="30" t="s">
        <v>57</v>
      </c>
      <c r="Z368" s="30" t="s">
        <v>57</v>
      </c>
      <c r="AA368" s="30" t="s">
        <v>90</v>
      </c>
      <c r="AB368" s="30" t="s">
        <v>57</v>
      </c>
      <c r="AC368" s="27"/>
      <c r="AD368" s="31" t="s">
        <v>56</v>
      </c>
      <c r="AE368" s="32" t="str">
        <f t="shared" si="27"/>
        <v>⚠ Missing</v>
      </c>
      <c r="AF368" s="33" t="s">
        <v>61</v>
      </c>
      <c r="AG368" s="33" t="s">
        <v>62</v>
      </c>
      <c r="AH368" s="33" t="s">
        <v>57</v>
      </c>
      <c r="AI368" s="33" t="s">
        <v>56</v>
      </c>
      <c r="AJ368" s="33" t="s">
        <v>60</v>
      </c>
      <c r="AK368" s="33" t="s">
        <v>57</v>
      </c>
      <c r="AL368" s="27"/>
      <c r="AM368" s="34" t="s">
        <v>57</v>
      </c>
      <c r="AN368" s="35" t="str">
        <f t="shared" si="28"/>
        <v>❌ Disc</v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5332</v>
      </c>
      <c r="C369" s="25" t="s">
        <v>5333</v>
      </c>
      <c r="D369" s="23" t="s">
        <v>5321</v>
      </c>
      <c r="E369" s="42">
        <v>46128</v>
      </c>
      <c r="F369" s="26" t="s">
        <v>55</v>
      </c>
      <c r="G369" s="44" t="s">
        <v>57</v>
      </c>
      <c r="H369" s="26" t="s">
        <v>57</v>
      </c>
      <c r="I369" s="44" t="s">
        <v>90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42">
        <v>46196</v>
      </c>
      <c r="O369" s="26" t="s">
        <v>55</v>
      </c>
      <c r="P369" s="44" t="s">
        <v>57</v>
      </c>
      <c r="Q369" s="26" t="s">
        <v>57</v>
      </c>
      <c r="R369" s="44" t="s">
        <v>90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70">
        <v>46248</v>
      </c>
      <c r="X369" s="30" t="s">
        <v>55</v>
      </c>
      <c r="Y369" s="30" t="s">
        <v>57</v>
      </c>
      <c r="Z369" s="30" t="s">
        <v>57</v>
      </c>
      <c r="AA369" s="30" t="s">
        <v>90</v>
      </c>
      <c r="AB369" s="30" t="s">
        <v>57</v>
      </c>
      <c r="AC369" s="27"/>
      <c r="AD369" s="31" t="s">
        <v>56</v>
      </c>
      <c r="AE369" s="32" t="str">
        <f t="shared" si="27"/>
        <v>⚠ Missing</v>
      </c>
      <c r="AF369" s="33" t="s">
        <v>61</v>
      </c>
      <c r="AG369" s="33" t="s">
        <v>55</v>
      </c>
      <c r="AH369" s="33" t="s">
        <v>56</v>
      </c>
      <c r="AI369" s="33" t="s">
        <v>57</v>
      </c>
      <c r="AJ369" s="33" t="s">
        <v>58</v>
      </c>
      <c r="AK369" s="33" t="s">
        <v>56</v>
      </c>
      <c r="AL369" s="27"/>
      <c r="AM369" s="34" t="s">
        <v>56</v>
      </c>
      <c r="AN369" s="35" t="str">
        <f t="shared" si="28"/>
        <v>✓ OK</v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5334</v>
      </c>
      <c r="C370" s="41" t="s">
        <v>5335</v>
      </c>
      <c r="D370" s="39" t="s">
        <v>5321</v>
      </c>
      <c r="E370" s="42">
        <v>46128</v>
      </c>
      <c r="F370" s="26" t="s">
        <v>55</v>
      </c>
      <c r="G370" s="44" t="s">
        <v>57</v>
      </c>
      <c r="H370" s="26" t="s">
        <v>57</v>
      </c>
      <c r="I370" s="44" t="s">
        <v>90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42">
        <v>46196</v>
      </c>
      <c r="O370" s="26" t="s">
        <v>55</v>
      </c>
      <c r="P370" s="44" t="s">
        <v>57</v>
      </c>
      <c r="Q370" s="26" t="s">
        <v>57</v>
      </c>
      <c r="R370" s="44" t="s">
        <v>90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70">
        <v>46248</v>
      </c>
      <c r="X370" s="30" t="s">
        <v>55</v>
      </c>
      <c r="Y370" s="30" t="s">
        <v>57</v>
      </c>
      <c r="Z370" s="30" t="s">
        <v>57</v>
      </c>
      <c r="AA370" s="30" t="s">
        <v>90</v>
      </c>
      <c r="AB370" s="30" t="s">
        <v>57</v>
      </c>
      <c r="AC370" s="27"/>
      <c r="AD370" s="31" t="s">
        <v>56</v>
      </c>
      <c r="AE370" s="32" t="str">
        <f t="shared" si="27"/>
        <v>⚠ Missing</v>
      </c>
      <c r="AF370" s="33" t="s">
        <v>61</v>
      </c>
      <c r="AG370" s="33" t="s">
        <v>62</v>
      </c>
      <c r="AH370" s="33" t="s">
        <v>57</v>
      </c>
      <c r="AI370" s="33" t="s">
        <v>56</v>
      </c>
      <c r="AJ370" s="33" t="s">
        <v>60</v>
      </c>
      <c r="AK370" s="33" t="s">
        <v>57</v>
      </c>
      <c r="AL370" s="27"/>
      <c r="AM370" s="34" t="s">
        <v>57</v>
      </c>
      <c r="AN370" s="35" t="str">
        <f t="shared" si="28"/>
        <v>❌ Disc</v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5336</v>
      </c>
      <c r="C371" s="25" t="s">
        <v>5337</v>
      </c>
      <c r="D371" s="23" t="s">
        <v>5321</v>
      </c>
      <c r="E371" s="42">
        <v>46128</v>
      </c>
      <c r="F371" s="26" t="s">
        <v>55</v>
      </c>
      <c r="G371" s="44" t="s">
        <v>57</v>
      </c>
      <c r="H371" s="26" t="s">
        <v>57</v>
      </c>
      <c r="I371" s="44" t="s">
        <v>90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42">
        <v>46196</v>
      </c>
      <c r="O371" s="26" t="s">
        <v>55</v>
      </c>
      <c r="P371" s="44" t="s">
        <v>57</v>
      </c>
      <c r="Q371" s="26" t="s">
        <v>57</v>
      </c>
      <c r="R371" s="44" t="s">
        <v>90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70">
        <v>46248</v>
      </c>
      <c r="X371" s="30" t="s">
        <v>55</v>
      </c>
      <c r="Y371" s="30" t="s">
        <v>57</v>
      </c>
      <c r="Z371" s="30" t="s">
        <v>57</v>
      </c>
      <c r="AA371" s="30" t="s">
        <v>90</v>
      </c>
      <c r="AB371" s="30" t="s">
        <v>57</v>
      </c>
      <c r="AC371" s="27"/>
      <c r="AD371" s="31" t="s">
        <v>56</v>
      </c>
      <c r="AE371" s="32" t="str">
        <f t="shared" si="27"/>
        <v>⚠ Missing</v>
      </c>
      <c r="AF371" s="33" t="s">
        <v>61</v>
      </c>
      <c r="AG371" s="33" t="s">
        <v>62</v>
      </c>
      <c r="AH371" s="33" t="s">
        <v>57</v>
      </c>
      <c r="AI371" s="33" t="s">
        <v>56</v>
      </c>
      <c r="AJ371" s="33" t="s">
        <v>60</v>
      </c>
      <c r="AK371" s="33" t="s">
        <v>57</v>
      </c>
      <c r="AL371" s="27"/>
      <c r="AM371" s="34" t="s">
        <v>57</v>
      </c>
      <c r="AN371" s="35" t="str">
        <f t="shared" si="28"/>
        <v>❌ Disc</v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5338</v>
      </c>
      <c r="C372" s="41" t="s">
        <v>5339</v>
      </c>
      <c r="D372" s="39" t="s">
        <v>5321</v>
      </c>
      <c r="E372" s="42">
        <v>46128</v>
      </c>
      <c r="F372" s="26" t="s">
        <v>55</v>
      </c>
      <c r="G372" s="44" t="s">
        <v>57</v>
      </c>
      <c r="H372" s="26" t="s">
        <v>57</v>
      </c>
      <c r="I372" s="44" t="s">
        <v>90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42">
        <v>46196</v>
      </c>
      <c r="O372" s="26" t="s">
        <v>55</v>
      </c>
      <c r="P372" s="44" t="s">
        <v>57</v>
      </c>
      <c r="Q372" s="26" t="s">
        <v>57</v>
      </c>
      <c r="R372" s="44" t="s">
        <v>90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70">
        <v>46248</v>
      </c>
      <c r="X372" s="30" t="s">
        <v>55</v>
      </c>
      <c r="Y372" s="30" t="s">
        <v>57</v>
      </c>
      <c r="Z372" s="30" t="s">
        <v>57</v>
      </c>
      <c r="AA372" s="30" t="s">
        <v>90</v>
      </c>
      <c r="AB372" s="30" t="s">
        <v>57</v>
      </c>
      <c r="AC372" s="27"/>
      <c r="AD372" s="31" t="s">
        <v>56</v>
      </c>
      <c r="AE372" s="32" t="str">
        <f t="shared" si="27"/>
        <v>⚠ Missing</v>
      </c>
      <c r="AF372" s="33" t="s">
        <v>61</v>
      </c>
      <c r="AG372" s="33" t="s">
        <v>62</v>
      </c>
      <c r="AH372" s="33" t="s">
        <v>57</v>
      </c>
      <c r="AI372" s="33" t="s">
        <v>56</v>
      </c>
      <c r="AJ372" s="33" t="s">
        <v>60</v>
      </c>
      <c r="AK372" s="33" t="s">
        <v>57</v>
      </c>
      <c r="AL372" s="27"/>
      <c r="AM372" s="34" t="s">
        <v>57</v>
      </c>
      <c r="AN372" s="35" t="str">
        <f t="shared" si="28"/>
        <v>❌ Disc</v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5340</v>
      </c>
      <c r="C373" s="25" t="s">
        <v>5341</v>
      </c>
      <c r="D373" s="23" t="s">
        <v>5321</v>
      </c>
      <c r="E373" s="42">
        <v>46128</v>
      </c>
      <c r="F373" s="26" t="s">
        <v>55</v>
      </c>
      <c r="G373" s="44" t="s">
        <v>57</v>
      </c>
      <c r="H373" s="26" t="s">
        <v>57</v>
      </c>
      <c r="I373" s="44" t="s">
        <v>90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42">
        <v>46196</v>
      </c>
      <c r="O373" s="26" t="s">
        <v>55</v>
      </c>
      <c r="P373" s="44" t="s">
        <v>57</v>
      </c>
      <c r="Q373" s="26" t="s">
        <v>57</v>
      </c>
      <c r="R373" s="44" t="s">
        <v>90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70">
        <v>46248</v>
      </c>
      <c r="X373" s="30" t="s">
        <v>55</v>
      </c>
      <c r="Y373" s="30" t="s">
        <v>57</v>
      </c>
      <c r="Z373" s="30" t="s">
        <v>57</v>
      </c>
      <c r="AA373" s="30" t="s">
        <v>90</v>
      </c>
      <c r="AB373" s="30" t="s">
        <v>57</v>
      </c>
      <c r="AC373" s="27"/>
      <c r="AD373" s="31" t="s">
        <v>56</v>
      </c>
      <c r="AE373" s="32" t="str">
        <f t="shared" si="27"/>
        <v>⚠ Missing</v>
      </c>
      <c r="AF373" s="33" t="s">
        <v>61</v>
      </c>
      <c r="AG373" s="33" t="s">
        <v>55</v>
      </c>
      <c r="AH373" s="33" t="s">
        <v>56</v>
      </c>
      <c r="AI373" s="33" t="s">
        <v>57</v>
      </c>
      <c r="AJ373" s="33" t="s">
        <v>58</v>
      </c>
      <c r="AK373" s="33" t="s">
        <v>56</v>
      </c>
      <c r="AL373" s="27"/>
      <c r="AM373" s="34" t="s">
        <v>56</v>
      </c>
      <c r="AN373" s="35" t="str">
        <f t="shared" si="28"/>
        <v>✓ OK</v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5342</v>
      </c>
      <c r="C374" s="41" t="s">
        <v>5343</v>
      </c>
      <c r="D374" s="39" t="s">
        <v>5321</v>
      </c>
      <c r="E374" s="42">
        <v>46128</v>
      </c>
      <c r="F374" s="26" t="s">
        <v>55</v>
      </c>
      <c r="G374" s="44" t="s">
        <v>57</v>
      </c>
      <c r="H374" s="26" t="s">
        <v>57</v>
      </c>
      <c r="I374" s="44" t="s">
        <v>90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42">
        <v>46196</v>
      </c>
      <c r="O374" s="26" t="s">
        <v>55</v>
      </c>
      <c r="P374" s="44" t="s">
        <v>57</v>
      </c>
      <c r="Q374" s="26" t="s">
        <v>57</v>
      </c>
      <c r="R374" s="44" t="s">
        <v>90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70">
        <v>46248</v>
      </c>
      <c r="X374" s="30" t="s">
        <v>55</v>
      </c>
      <c r="Y374" s="30" t="s">
        <v>57</v>
      </c>
      <c r="Z374" s="30" t="s">
        <v>57</v>
      </c>
      <c r="AA374" s="30" t="s">
        <v>90</v>
      </c>
      <c r="AB374" s="30" t="s">
        <v>57</v>
      </c>
      <c r="AC374" s="27"/>
      <c r="AD374" s="31" t="s">
        <v>56</v>
      </c>
      <c r="AE374" s="32" t="str">
        <f t="shared" si="27"/>
        <v>⚠ Missing</v>
      </c>
      <c r="AF374" s="33" t="s">
        <v>61</v>
      </c>
      <c r="AG374" s="33" t="s">
        <v>55</v>
      </c>
      <c r="AH374" s="33" t="s">
        <v>56</v>
      </c>
      <c r="AI374" s="33" t="s">
        <v>57</v>
      </c>
      <c r="AJ374" s="33" t="s">
        <v>58</v>
      </c>
      <c r="AK374" s="33" t="s">
        <v>56</v>
      </c>
      <c r="AL374" s="27"/>
      <c r="AM374" s="34" t="s">
        <v>56</v>
      </c>
      <c r="AN374" s="35" t="str">
        <f t="shared" si="28"/>
        <v>✓ OK</v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5344</v>
      </c>
      <c r="C375" s="25" t="s">
        <v>5345</v>
      </c>
      <c r="D375" s="23" t="s">
        <v>5321</v>
      </c>
      <c r="E375" s="42">
        <v>46128</v>
      </c>
      <c r="F375" s="26" t="s">
        <v>55</v>
      </c>
      <c r="G375" s="44" t="s">
        <v>57</v>
      </c>
      <c r="H375" s="26" t="s">
        <v>57</v>
      </c>
      <c r="I375" s="44" t="s">
        <v>90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42">
        <v>46196</v>
      </c>
      <c r="O375" s="26" t="s">
        <v>55</v>
      </c>
      <c r="P375" s="44" t="s">
        <v>57</v>
      </c>
      <c r="Q375" s="26" t="s">
        <v>57</v>
      </c>
      <c r="R375" s="44" t="s">
        <v>90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70">
        <v>46248</v>
      </c>
      <c r="X375" s="30" t="s">
        <v>55</v>
      </c>
      <c r="Y375" s="30" t="s">
        <v>57</v>
      </c>
      <c r="Z375" s="30" t="s">
        <v>57</v>
      </c>
      <c r="AA375" s="30" t="s">
        <v>90</v>
      </c>
      <c r="AB375" s="30" t="s">
        <v>57</v>
      </c>
      <c r="AC375" s="27"/>
      <c r="AD375" s="31" t="s">
        <v>56</v>
      </c>
      <c r="AE375" s="32" t="str">
        <f t="shared" si="27"/>
        <v>⚠ Missing</v>
      </c>
      <c r="AF375" s="33" t="s">
        <v>61</v>
      </c>
      <c r="AG375" s="33" t="s">
        <v>55</v>
      </c>
      <c r="AH375" s="33" t="s">
        <v>56</v>
      </c>
      <c r="AI375" s="33" t="s">
        <v>57</v>
      </c>
      <c r="AJ375" s="33" t="s">
        <v>58</v>
      </c>
      <c r="AK375" s="33" t="s">
        <v>56</v>
      </c>
      <c r="AL375" s="27"/>
      <c r="AM375" s="34" t="s">
        <v>56</v>
      </c>
      <c r="AN375" s="35" t="str">
        <f t="shared" si="28"/>
        <v>✓ OK</v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5346</v>
      </c>
      <c r="C376" s="41" t="s">
        <v>5347</v>
      </c>
      <c r="D376" s="39" t="s">
        <v>5321</v>
      </c>
      <c r="E376" s="42">
        <v>46128</v>
      </c>
      <c r="F376" s="26" t="s">
        <v>55</v>
      </c>
      <c r="G376" s="44" t="s">
        <v>57</v>
      </c>
      <c r="H376" s="26" t="s">
        <v>57</v>
      </c>
      <c r="I376" s="44" t="s">
        <v>90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42">
        <v>46196</v>
      </c>
      <c r="O376" s="26" t="s">
        <v>55</v>
      </c>
      <c r="P376" s="44" t="s">
        <v>57</v>
      </c>
      <c r="Q376" s="26" t="s">
        <v>57</v>
      </c>
      <c r="R376" s="44" t="s">
        <v>90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70">
        <v>46248</v>
      </c>
      <c r="X376" s="30" t="s">
        <v>55</v>
      </c>
      <c r="Y376" s="30" t="s">
        <v>57</v>
      </c>
      <c r="Z376" s="30" t="s">
        <v>57</v>
      </c>
      <c r="AA376" s="30" t="s">
        <v>90</v>
      </c>
      <c r="AB376" s="30" t="s">
        <v>57</v>
      </c>
      <c r="AC376" s="27"/>
      <c r="AD376" s="31" t="s">
        <v>56</v>
      </c>
      <c r="AE376" s="32" t="str">
        <f t="shared" si="27"/>
        <v>⚠ Missing</v>
      </c>
      <c r="AF376" s="33" t="s">
        <v>61</v>
      </c>
      <c r="AG376" s="33" t="s">
        <v>55</v>
      </c>
      <c r="AH376" s="33" t="s">
        <v>56</v>
      </c>
      <c r="AI376" s="33" t="s">
        <v>57</v>
      </c>
      <c r="AJ376" s="33" t="s">
        <v>58</v>
      </c>
      <c r="AK376" s="33" t="s">
        <v>56</v>
      </c>
      <c r="AL376" s="27"/>
      <c r="AM376" s="34" t="s">
        <v>56</v>
      </c>
      <c r="AN376" s="35" t="str">
        <f t="shared" si="28"/>
        <v>✓ OK</v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5348</v>
      </c>
      <c r="C377" s="25" t="s">
        <v>5349</v>
      </c>
      <c r="D377" s="23" t="s">
        <v>5321</v>
      </c>
      <c r="E377" s="42">
        <v>46128</v>
      </c>
      <c r="F377" s="26" t="s">
        <v>55</v>
      </c>
      <c r="G377" s="44" t="s">
        <v>57</v>
      </c>
      <c r="H377" s="26" t="s">
        <v>57</v>
      </c>
      <c r="I377" s="44" t="s">
        <v>90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42">
        <v>46196</v>
      </c>
      <c r="O377" s="26" t="s">
        <v>55</v>
      </c>
      <c r="P377" s="44" t="s">
        <v>57</v>
      </c>
      <c r="Q377" s="26" t="s">
        <v>57</v>
      </c>
      <c r="R377" s="44" t="s">
        <v>90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70">
        <v>46248</v>
      </c>
      <c r="X377" s="30" t="s">
        <v>55</v>
      </c>
      <c r="Y377" s="30" t="s">
        <v>57</v>
      </c>
      <c r="Z377" s="30" t="s">
        <v>57</v>
      </c>
      <c r="AA377" s="30" t="s">
        <v>90</v>
      </c>
      <c r="AB377" s="30" t="s">
        <v>57</v>
      </c>
      <c r="AC377" s="27"/>
      <c r="AD377" s="31" t="s">
        <v>56</v>
      </c>
      <c r="AE377" s="32" t="str">
        <f t="shared" si="27"/>
        <v>⚠ Missing</v>
      </c>
      <c r="AF377" s="33" t="s">
        <v>61</v>
      </c>
      <c r="AG377" s="33" t="s">
        <v>62</v>
      </c>
      <c r="AH377" s="33" t="s">
        <v>57</v>
      </c>
      <c r="AI377" s="33" t="s">
        <v>56</v>
      </c>
      <c r="AJ377" s="33" t="s">
        <v>60</v>
      </c>
      <c r="AK377" s="33" t="s">
        <v>57</v>
      </c>
      <c r="AL377" s="27"/>
      <c r="AM377" s="34" t="s">
        <v>57</v>
      </c>
      <c r="AN377" s="35" t="str">
        <f t="shared" si="28"/>
        <v>❌ Disc</v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5350</v>
      </c>
      <c r="C378" s="41" t="s">
        <v>5351</v>
      </c>
      <c r="D378" s="39" t="s">
        <v>5321</v>
      </c>
      <c r="E378" s="42">
        <v>46128</v>
      </c>
      <c r="F378" s="26" t="s">
        <v>55</v>
      </c>
      <c r="G378" s="44" t="s">
        <v>57</v>
      </c>
      <c r="H378" s="26" t="s">
        <v>57</v>
      </c>
      <c r="I378" s="44" t="s">
        <v>90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42">
        <v>46196</v>
      </c>
      <c r="O378" s="26" t="s">
        <v>55</v>
      </c>
      <c r="P378" s="44" t="s">
        <v>57</v>
      </c>
      <c r="Q378" s="26" t="s">
        <v>57</v>
      </c>
      <c r="R378" s="44" t="s">
        <v>90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70">
        <v>46248</v>
      </c>
      <c r="X378" s="30" t="s">
        <v>55</v>
      </c>
      <c r="Y378" s="30" t="s">
        <v>57</v>
      </c>
      <c r="Z378" s="30" t="s">
        <v>57</v>
      </c>
      <c r="AA378" s="30" t="s">
        <v>90</v>
      </c>
      <c r="AB378" s="30" t="s">
        <v>57</v>
      </c>
      <c r="AC378" s="27"/>
      <c r="AD378" s="31" t="s">
        <v>56</v>
      </c>
      <c r="AE378" s="32" t="str">
        <f t="shared" si="27"/>
        <v>⚠ Missing</v>
      </c>
      <c r="AF378" s="33" t="s">
        <v>61</v>
      </c>
      <c r="AG378" s="33" t="s">
        <v>62</v>
      </c>
      <c r="AH378" s="33" t="s">
        <v>57</v>
      </c>
      <c r="AI378" s="33" t="s">
        <v>56</v>
      </c>
      <c r="AJ378" s="33" t="s">
        <v>60</v>
      </c>
      <c r="AK378" s="33" t="s">
        <v>57</v>
      </c>
      <c r="AL378" s="27"/>
      <c r="AM378" s="34" t="s">
        <v>57</v>
      </c>
      <c r="AN378" s="35" t="str">
        <f t="shared" si="28"/>
        <v>❌ Disc</v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5352</v>
      </c>
      <c r="C379" s="25" t="s">
        <v>5353</v>
      </c>
      <c r="D379" s="23" t="s">
        <v>5321</v>
      </c>
      <c r="E379" s="42">
        <v>46128</v>
      </c>
      <c r="F379" s="26" t="s">
        <v>55</v>
      </c>
      <c r="G379" s="44" t="s">
        <v>57</v>
      </c>
      <c r="H379" s="26" t="s">
        <v>57</v>
      </c>
      <c r="I379" s="44" t="s">
        <v>90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42">
        <v>46196</v>
      </c>
      <c r="O379" s="26" t="s">
        <v>55</v>
      </c>
      <c r="P379" s="44" t="s">
        <v>57</v>
      </c>
      <c r="Q379" s="26" t="s">
        <v>57</v>
      </c>
      <c r="R379" s="44" t="s">
        <v>90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70">
        <v>46248</v>
      </c>
      <c r="X379" s="30" t="s">
        <v>55</v>
      </c>
      <c r="Y379" s="30" t="s">
        <v>57</v>
      </c>
      <c r="Z379" s="30" t="s">
        <v>57</v>
      </c>
      <c r="AA379" s="30" t="s">
        <v>90</v>
      </c>
      <c r="AB379" s="30" t="s">
        <v>57</v>
      </c>
      <c r="AC379" s="27"/>
      <c r="AD379" s="31" t="s">
        <v>56</v>
      </c>
      <c r="AE379" s="32" t="str">
        <f t="shared" si="27"/>
        <v>⚠ Missing</v>
      </c>
      <c r="AF379" s="33" t="s">
        <v>61</v>
      </c>
      <c r="AG379" s="33" t="s">
        <v>55</v>
      </c>
      <c r="AH379" s="33" t="s">
        <v>56</v>
      </c>
      <c r="AI379" s="33" t="s">
        <v>57</v>
      </c>
      <c r="AJ379" s="33" t="s">
        <v>58</v>
      </c>
      <c r="AK379" s="33" t="s">
        <v>56</v>
      </c>
      <c r="AL379" s="27"/>
      <c r="AM379" s="34" t="s">
        <v>56</v>
      </c>
      <c r="AN379" s="35" t="str">
        <f t="shared" si="28"/>
        <v>✓ OK</v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5354</v>
      </c>
      <c r="C380" s="41" t="s">
        <v>5355</v>
      </c>
      <c r="D380" s="39" t="s">
        <v>4266</v>
      </c>
      <c r="E380" s="42">
        <v>46128</v>
      </c>
      <c r="F380" s="26" t="s">
        <v>55</v>
      </c>
      <c r="G380" s="44" t="s">
        <v>56</v>
      </c>
      <c r="H380" s="26" t="s">
        <v>57</v>
      </c>
      <c r="I380" s="44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42">
        <v>46196</v>
      </c>
      <c r="O380" s="26" t="s">
        <v>55</v>
      </c>
      <c r="P380" s="44" t="s">
        <v>56</v>
      </c>
      <c r="Q380" s="26" t="s">
        <v>57</v>
      </c>
      <c r="R380" s="44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70">
        <v>46248</v>
      </c>
      <c r="X380" s="30" t="s">
        <v>55</v>
      </c>
      <c r="Y380" s="30" t="s">
        <v>56</v>
      </c>
      <c r="Z380" s="30" t="s">
        <v>57</v>
      </c>
      <c r="AA380" s="30" t="s">
        <v>58</v>
      </c>
      <c r="AB380" s="30" t="s">
        <v>56</v>
      </c>
      <c r="AC380" s="27"/>
      <c r="AD380" s="31" t="s">
        <v>57</v>
      </c>
      <c r="AE380" s="32" t="str">
        <f t="shared" si="27"/>
        <v>✓ OK</v>
      </c>
      <c r="AF380" s="33" t="s">
        <v>61</v>
      </c>
      <c r="AG380" s="33" t="s">
        <v>55</v>
      </c>
      <c r="AH380" s="33" t="s">
        <v>56</v>
      </c>
      <c r="AI380" s="33" t="s">
        <v>57</v>
      </c>
      <c r="AJ380" s="33" t="s">
        <v>58</v>
      </c>
      <c r="AK380" s="33" t="s">
        <v>56</v>
      </c>
      <c r="AL380" s="27"/>
      <c r="AM380" s="34" t="s">
        <v>57</v>
      </c>
      <c r="AN380" s="35" t="str">
        <f t="shared" si="28"/>
        <v>✓ OK</v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5356</v>
      </c>
      <c r="C381" s="25" t="s">
        <v>5357</v>
      </c>
      <c r="D381" s="23" t="s">
        <v>4266</v>
      </c>
      <c r="E381" s="42">
        <v>46128</v>
      </c>
      <c r="F381" s="26" t="s">
        <v>55</v>
      </c>
      <c r="G381" s="44" t="s">
        <v>56</v>
      </c>
      <c r="H381" s="26" t="s">
        <v>57</v>
      </c>
      <c r="I381" s="44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42">
        <v>46196</v>
      </c>
      <c r="O381" s="26" t="s">
        <v>55</v>
      </c>
      <c r="P381" s="44" t="s">
        <v>56</v>
      </c>
      <c r="Q381" s="26" t="s">
        <v>57</v>
      </c>
      <c r="R381" s="44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70">
        <v>46248</v>
      </c>
      <c r="X381" s="30" t="s">
        <v>55</v>
      </c>
      <c r="Y381" s="30" t="s">
        <v>56</v>
      </c>
      <c r="Z381" s="30" t="s">
        <v>57</v>
      </c>
      <c r="AA381" s="30" t="s">
        <v>58</v>
      </c>
      <c r="AB381" s="30" t="s">
        <v>56</v>
      </c>
      <c r="AC381" s="27"/>
      <c r="AD381" s="31" t="s">
        <v>57</v>
      </c>
      <c r="AE381" s="32" t="str">
        <f t="shared" si="27"/>
        <v>✓ OK</v>
      </c>
      <c r="AF381" s="33" t="s">
        <v>61</v>
      </c>
      <c r="AG381" s="33" t="s">
        <v>55</v>
      </c>
      <c r="AH381" s="33" t="s">
        <v>56</v>
      </c>
      <c r="AI381" s="33" t="s">
        <v>57</v>
      </c>
      <c r="AJ381" s="33" t="s">
        <v>58</v>
      </c>
      <c r="AK381" s="33" t="s">
        <v>56</v>
      </c>
      <c r="AL381" s="27"/>
      <c r="AM381" s="34" t="s">
        <v>57</v>
      </c>
      <c r="AN381" s="35" t="str">
        <f t="shared" si="28"/>
        <v>✓ OK</v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5358</v>
      </c>
      <c r="C382" s="41" t="s">
        <v>5359</v>
      </c>
      <c r="D382" s="39" t="s">
        <v>4266</v>
      </c>
      <c r="E382" s="42">
        <v>46128</v>
      </c>
      <c r="F382" s="26" t="s">
        <v>55</v>
      </c>
      <c r="G382" s="44" t="s">
        <v>56</v>
      </c>
      <c r="H382" s="26" t="s">
        <v>57</v>
      </c>
      <c r="I382" s="44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42">
        <v>46196</v>
      </c>
      <c r="O382" s="26" t="s">
        <v>55</v>
      </c>
      <c r="P382" s="44" t="s">
        <v>56</v>
      </c>
      <c r="Q382" s="26" t="s">
        <v>57</v>
      </c>
      <c r="R382" s="44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70">
        <v>46248</v>
      </c>
      <c r="X382" s="30" t="s">
        <v>55</v>
      </c>
      <c r="Y382" s="30" t="s">
        <v>56</v>
      </c>
      <c r="Z382" s="30" t="s">
        <v>57</v>
      </c>
      <c r="AA382" s="30" t="s">
        <v>58</v>
      </c>
      <c r="AB382" s="30" t="s">
        <v>56</v>
      </c>
      <c r="AC382" s="27"/>
      <c r="AD382" s="31" t="s">
        <v>57</v>
      </c>
      <c r="AE382" s="32" t="str">
        <f t="shared" si="27"/>
        <v>✓ OK</v>
      </c>
      <c r="AF382" s="33" t="s">
        <v>61</v>
      </c>
      <c r="AG382" s="33" t="s">
        <v>55</v>
      </c>
      <c r="AH382" s="33" t="s">
        <v>56</v>
      </c>
      <c r="AI382" s="33" t="s">
        <v>57</v>
      </c>
      <c r="AJ382" s="33" t="s">
        <v>58</v>
      </c>
      <c r="AK382" s="33" t="s">
        <v>56</v>
      </c>
      <c r="AL382" s="27"/>
      <c r="AM382" s="34" t="s">
        <v>57</v>
      </c>
      <c r="AN382" s="35" t="str">
        <f t="shared" si="28"/>
        <v>✓ OK</v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5360</v>
      </c>
      <c r="C383" s="25" t="s">
        <v>5361</v>
      </c>
      <c r="D383" s="23" t="s">
        <v>4266</v>
      </c>
      <c r="E383" s="42">
        <v>46128</v>
      </c>
      <c r="F383" s="26" t="s">
        <v>55</v>
      </c>
      <c r="G383" s="44" t="s">
        <v>56</v>
      </c>
      <c r="H383" s="26" t="s">
        <v>57</v>
      </c>
      <c r="I383" s="44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42">
        <v>46196</v>
      </c>
      <c r="O383" s="26" t="s">
        <v>55</v>
      </c>
      <c r="P383" s="44" t="s">
        <v>56</v>
      </c>
      <c r="Q383" s="26" t="s">
        <v>57</v>
      </c>
      <c r="R383" s="44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70">
        <v>46248</v>
      </c>
      <c r="X383" s="30" t="s">
        <v>55</v>
      </c>
      <c r="Y383" s="30" t="s">
        <v>56</v>
      </c>
      <c r="Z383" s="30" t="s">
        <v>57</v>
      </c>
      <c r="AA383" s="30" t="s">
        <v>58</v>
      </c>
      <c r="AB383" s="30" t="s">
        <v>56</v>
      </c>
      <c r="AC383" s="27"/>
      <c r="AD383" s="31" t="s">
        <v>57</v>
      </c>
      <c r="AE383" s="32" t="str">
        <f t="shared" si="27"/>
        <v>✓ OK</v>
      </c>
      <c r="AF383" s="33" t="s">
        <v>61</v>
      </c>
      <c r="AG383" s="33" t="s">
        <v>55</v>
      </c>
      <c r="AH383" s="33" t="s">
        <v>56</v>
      </c>
      <c r="AI383" s="33" t="s">
        <v>57</v>
      </c>
      <c r="AJ383" s="33" t="s">
        <v>58</v>
      </c>
      <c r="AK383" s="33" t="s">
        <v>56</v>
      </c>
      <c r="AL383" s="27"/>
      <c r="AM383" s="34" t="s">
        <v>57</v>
      </c>
      <c r="AN383" s="35" t="str">
        <f t="shared" si="28"/>
        <v>✓ OK</v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5362</v>
      </c>
      <c r="C384" s="41" t="s">
        <v>5363</v>
      </c>
      <c r="D384" s="39" t="s">
        <v>4266</v>
      </c>
      <c r="E384" s="42">
        <v>46128</v>
      </c>
      <c r="F384" s="26" t="s">
        <v>55</v>
      </c>
      <c r="G384" s="44" t="s">
        <v>56</v>
      </c>
      <c r="H384" s="26" t="s">
        <v>57</v>
      </c>
      <c r="I384" s="44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42">
        <v>46196</v>
      </c>
      <c r="O384" s="26" t="s">
        <v>55</v>
      </c>
      <c r="P384" s="44" t="s">
        <v>56</v>
      </c>
      <c r="Q384" s="26" t="s">
        <v>57</v>
      </c>
      <c r="R384" s="44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70">
        <v>46248</v>
      </c>
      <c r="X384" s="30" t="s">
        <v>55</v>
      </c>
      <c r="Y384" s="30" t="s">
        <v>56</v>
      </c>
      <c r="Z384" s="30" t="s">
        <v>57</v>
      </c>
      <c r="AA384" s="30" t="s">
        <v>58</v>
      </c>
      <c r="AB384" s="30" t="s">
        <v>56</v>
      </c>
      <c r="AC384" s="27"/>
      <c r="AD384" s="31" t="s">
        <v>57</v>
      </c>
      <c r="AE384" s="32" t="str">
        <f t="shared" si="27"/>
        <v>✓ OK</v>
      </c>
      <c r="AF384" s="33" t="s">
        <v>61</v>
      </c>
      <c r="AG384" s="33" t="s">
        <v>55</v>
      </c>
      <c r="AH384" s="33" t="s">
        <v>56</v>
      </c>
      <c r="AI384" s="33" t="s">
        <v>57</v>
      </c>
      <c r="AJ384" s="33" t="s">
        <v>58</v>
      </c>
      <c r="AK384" s="33" t="s">
        <v>56</v>
      </c>
      <c r="AL384" s="27"/>
      <c r="AM384" s="34" t="s">
        <v>57</v>
      </c>
      <c r="AN384" s="35" t="str">
        <f t="shared" si="28"/>
        <v>✓ OK</v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5364</v>
      </c>
      <c r="C385" s="25" t="s">
        <v>5365</v>
      </c>
      <c r="D385" s="23" t="s">
        <v>4266</v>
      </c>
      <c r="E385" s="42">
        <v>46128</v>
      </c>
      <c r="F385" s="26" t="s">
        <v>55</v>
      </c>
      <c r="G385" s="44" t="s">
        <v>56</v>
      </c>
      <c r="H385" s="26" t="s">
        <v>57</v>
      </c>
      <c r="I385" s="44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42">
        <v>46196</v>
      </c>
      <c r="O385" s="26" t="s">
        <v>55</v>
      </c>
      <c r="P385" s="44" t="s">
        <v>56</v>
      </c>
      <c r="Q385" s="26" t="s">
        <v>57</v>
      </c>
      <c r="R385" s="44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70">
        <v>46248</v>
      </c>
      <c r="X385" s="30" t="s">
        <v>55</v>
      </c>
      <c r="Y385" s="30" t="s">
        <v>56</v>
      </c>
      <c r="Z385" s="30" t="s">
        <v>57</v>
      </c>
      <c r="AA385" s="30" t="s">
        <v>58</v>
      </c>
      <c r="AB385" s="30" t="s">
        <v>56</v>
      </c>
      <c r="AC385" s="27"/>
      <c r="AD385" s="31" t="s">
        <v>57</v>
      </c>
      <c r="AE385" s="32" t="str">
        <f t="shared" si="27"/>
        <v>✓ OK</v>
      </c>
      <c r="AF385" s="33" t="s">
        <v>61</v>
      </c>
      <c r="AG385" s="33" t="s">
        <v>55</v>
      </c>
      <c r="AH385" s="33" t="s">
        <v>56</v>
      </c>
      <c r="AI385" s="33" t="s">
        <v>57</v>
      </c>
      <c r="AJ385" s="33" t="s">
        <v>58</v>
      </c>
      <c r="AK385" s="33" t="s">
        <v>56</v>
      </c>
      <c r="AL385" s="27"/>
      <c r="AM385" s="34" t="s">
        <v>57</v>
      </c>
      <c r="AN385" s="35" t="str">
        <f t="shared" si="28"/>
        <v>✓ OK</v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5366</v>
      </c>
      <c r="C386" s="41" t="s">
        <v>5367</v>
      </c>
      <c r="D386" s="39" t="s">
        <v>4266</v>
      </c>
      <c r="E386" s="42">
        <v>46128</v>
      </c>
      <c r="F386" s="26" t="s">
        <v>55</v>
      </c>
      <c r="G386" s="44" t="s">
        <v>56</v>
      </c>
      <c r="H386" s="26" t="s">
        <v>57</v>
      </c>
      <c r="I386" s="44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42">
        <v>46196</v>
      </c>
      <c r="O386" s="26" t="s">
        <v>55</v>
      </c>
      <c r="P386" s="44" t="s">
        <v>56</v>
      </c>
      <c r="Q386" s="26" t="s">
        <v>57</v>
      </c>
      <c r="R386" s="44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70">
        <v>46248</v>
      </c>
      <c r="X386" s="30" t="s">
        <v>55</v>
      </c>
      <c r="Y386" s="30" t="s">
        <v>56</v>
      </c>
      <c r="Z386" s="30" t="s">
        <v>57</v>
      </c>
      <c r="AA386" s="30" t="s">
        <v>58</v>
      </c>
      <c r="AB386" s="30" t="s">
        <v>56</v>
      </c>
      <c r="AC386" s="27"/>
      <c r="AD386" s="31" t="s">
        <v>57</v>
      </c>
      <c r="AE386" s="32" t="str">
        <f t="shared" si="27"/>
        <v>✓ OK</v>
      </c>
      <c r="AF386" s="33" t="s">
        <v>61</v>
      </c>
      <c r="AG386" s="33" t="s">
        <v>55</v>
      </c>
      <c r="AH386" s="33" t="s">
        <v>56</v>
      </c>
      <c r="AI386" s="33" t="s">
        <v>57</v>
      </c>
      <c r="AJ386" s="33" t="s">
        <v>58</v>
      </c>
      <c r="AK386" s="33" t="s">
        <v>56</v>
      </c>
      <c r="AL386" s="27"/>
      <c r="AM386" s="34" t="s">
        <v>57</v>
      </c>
      <c r="AN386" s="35" t="str">
        <f t="shared" si="28"/>
        <v>✓ OK</v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5368</v>
      </c>
      <c r="C387" s="25" t="s">
        <v>5369</v>
      </c>
      <c r="D387" s="23" t="s">
        <v>4266</v>
      </c>
      <c r="E387" s="42">
        <v>46128</v>
      </c>
      <c r="F387" s="26" t="s">
        <v>55</v>
      </c>
      <c r="G387" s="44" t="s">
        <v>56</v>
      </c>
      <c r="H387" s="26" t="s">
        <v>57</v>
      </c>
      <c r="I387" s="44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42">
        <v>46196</v>
      </c>
      <c r="O387" s="26" t="s">
        <v>55</v>
      </c>
      <c r="P387" s="44" t="s">
        <v>56</v>
      </c>
      <c r="Q387" s="26" t="s">
        <v>57</v>
      </c>
      <c r="R387" s="44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70">
        <v>46248</v>
      </c>
      <c r="X387" s="30" t="s">
        <v>55</v>
      </c>
      <c r="Y387" s="30" t="s">
        <v>56</v>
      </c>
      <c r="Z387" s="30" t="s">
        <v>57</v>
      </c>
      <c r="AA387" s="30" t="s">
        <v>58</v>
      </c>
      <c r="AB387" s="30" t="s">
        <v>56</v>
      </c>
      <c r="AC387" s="27"/>
      <c r="AD387" s="31" t="s">
        <v>57</v>
      </c>
      <c r="AE387" s="32" t="str">
        <f t="shared" si="27"/>
        <v>✓ OK</v>
      </c>
      <c r="AF387" s="33" t="s">
        <v>61</v>
      </c>
      <c r="AG387" s="33" t="s">
        <v>55</v>
      </c>
      <c r="AH387" s="33" t="s">
        <v>56</v>
      </c>
      <c r="AI387" s="33" t="s">
        <v>57</v>
      </c>
      <c r="AJ387" s="33" t="s">
        <v>58</v>
      </c>
      <c r="AK387" s="33" t="s">
        <v>56</v>
      </c>
      <c r="AL387" s="27"/>
      <c r="AM387" s="34" t="s">
        <v>57</v>
      </c>
      <c r="AN387" s="35" t="str">
        <f t="shared" si="28"/>
        <v>✓ OK</v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5370</v>
      </c>
      <c r="C388" s="41" t="s">
        <v>5371</v>
      </c>
      <c r="D388" s="39" t="s">
        <v>4266</v>
      </c>
      <c r="E388" s="42">
        <v>46128</v>
      </c>
      <c r="F388" s="26" t="s">
        <v>55</v>
      </c>
      <c r="G388" s="44" t="s">
        <v>56</v>
      </c>
      <c r="H388" s="26" t="s">
        <v>57</v>
      </c>
      <c r="I388" s="44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42">
        <v>46196</v>
      </c>
      <c r="O388" s="26" t="s">
        <v>55</v>
      </c>
      <c r="P388" s="44" t="s">
        <v>56</v>
      </c>
      <c r="Q388" s="26" t="s">
        <v>57</v>
      </c>
      <c r="R388" s="44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70">
        <v>46248</v>
      </c>
      <c r="X388" s="30" t="s">
        <v>55</v>
      </c>
      <c r="Y388" s="30" t="s">
        <v>56</v>
      </c>
      <c r="Z388" s="30" t="s">
        <v>57</v>
      </c>
      <c r="AA388" s="30" t="s">
        <v>58</v>
      </c>
      <c r="AB388" s="30" t="s">
        <v>56</v>
      </c>
      <c r="AC388" s="27"/>
      <c r="AD388" s="31" t="s">
        <v>57</v>
      </c>
      <c r="AE388" s="32" t="str">
        <f t="shared" si="27"/>
        <v>✓ OK</v>
      </c>
      <c r="AF388" s="33" t="s">
        <v>61</v>
      </c>
      <c r="AG388" s="33" t="s">
        <v>55</v>
      </c>
      <c r="AH388" s="33" t="s">
        <v>56</v>
      </c>
      <c r="AI388" s="33" t="s">
        <v>57</v>
      </c>
      <c r="AJ388" s="33" t="s">
        <v>58</v>
      </c>
      <c r="AK388" s="33" t="s">
        <v>56</v>
      </c>
      <c r="AL388" s="27"/>
      <c r="AM388" s="34" t="s">
        <v>57</v>
      </c>
      <c r="AN388" s="35" t="str">
        <f t="shared" si="28"/>
        <v>✓ OK</v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5372</v>
      </c>
      <c r="C389" s="25" t="s">
        <v>5373</v>
      </c>
      <c r="D389" s="23" t="s">
        <v>4266</v>
      </c>
      <c r="E389" s="42">
        <v>46128</v>
      </c>
      <c r="F389" s="26" t="s">
        <v>55</v>
      </c>
      <c r="G389" s="44" t="s">
        <v>56</v>
      </c>
      <c r="H389" s="26" t="s">
        <v>57</v>
      </c>
      <c r="I389" s="44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42">
        <v>46196</v>
      </c>
      <c r="O389" s="26" t="s">
        <v>55</v>
      </c>
      <c r="P389" s="44" t="s">
        <v>56</v>
      </c>
      <c r="Q389" s="26" t="s">
        <v>57</v>
      </c>
      <c r="R389" s="44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70">
        <v>46248</v>
      </c>
      <c r="X389" s="30" t="s">
        <v>55</v>
      </c>
      <c r="Y389" s="30" t="s">
        <v>56</v>
      </c>
      <c r="Z389" s="30" t="s">
        <v>57</v>
      </c>
      <c r="AA389" s="30" t="s">
        <v>58</v>
      </c>
      <c r="AB389" s="30" t="s">
        <v>56</v>
      </c>
      <c r="AC389" s="27"/>
      <c r="AD389" s="31" t="s">
        <v>57</v>
      </c>
      <c r="AE389" s="32" t="str">
        <f t="shared" ref="AE389:AE452" si="32">IF(W389="","",IF(Z389="Yes","❌ Disc",IF(Y389="No","⚠ Missing",IF(AB389="Yes","✓ OK","⚠ Check"))))</f>
        <v>✓ OK</v>
      </c>
      <c r="AF389" s="33" t="s">
        <v>61</v>
      </c>
      <c r="AG389" s="33" t="s">
        <v>55</v>
      </c>
      <c r="AH389" s="33" t="s">
        <v>56</v>
      </c>
      <c r="AI389" s="33" t="s">
        <v>57</v>
      </c>
      <c r="AJ389" s="33" t="s">
        <v>58</v>
      </c>
      <c r="AK389" s="33" t="s">
        <v>56</v>
      </c>
      <c r="AL389" s="27"/>
      <c r="AM389" s="34" t="s">
        <v>57</v>
      </c>
      <c r="AN389" s="35" t="str">
        <f t="shared" ref="AN389:AN452" si="33">IF(AF389="","",IF(AI389="Yes","❌ Disc",IF(AH389="No","⚠ Missing",IF(AK389="Yes","✓ OK","⚠ Check"))))</f>
        <v>✓ OK</v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5374</v>
      </c>
      <c r="C390" s="41" t="s">
        <v>5375</v>
      </c>
      <c r="D390" s="39" t="s">
        <v>5376</v>
      </c>
      <c r="E390" s="42">
        <v>46128</v>
      </c>
      <c r="F390" s="26" t="s">
        <v>55</v>
      </c>
      <c r="G390" s="44" t="s">
        <v>57</v>
      </c>
      <c r="H390" s="26" t="s">
        <v>57</v>
      </c>
      <c r="I390" s="44" t="s">
        <v>90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42">
        <v>46196</v>
      </c>
      <c r="O390" s="26" t="s">
        <v>55</v>
      </c>
      <c r="P390" s="44" t="s">
        <v>57</v>
      </c>
      <c r="Q390" s="26" t="s">
        <v>57</v>
      </c>
      <c r="R390" s="44" t="s">
        <v>90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70">
        <v>46248</v>
      </c>
      <c r="X390" s="30" t="s">
        <v>55</v>
      </c>
      <c r="Y390" s="30" t="s">
        <v>57</v>
      </c>
      <c r="Z390" s="30" t="s">
        <v>57</v>
      </c>
      <c r="AA390" s="30" t="s">
        <v>90</v>
      </c>
      <c r="AB390" s="30" t="s">
        <v>57</v>
      </c>
      <c r="AC390" s="27"/>
      <c r="AD390" s="31" t="s">
        <v>56</v>
      </c>
      <c r="AE390" s="32" t="str">
        <f t="shared" si="32"/>
        <v>⚠ Missing</v>
      </c>
      <c r="AF390" s="33" t="s">
        <v>61</v>
      </c>
      <c r="AG390" s="33" t="s">
        <v>62</v>
      </c>
      <c r="AH390" s="33" t="s">
        <v>57</v>
      </c>
      <c r="AI390" s="33" t="s">
        <v>56</v>
      </c>
      <c r="AJ390" s="33" t="s">
        <v>60</v>
      </c>
      <c r="AK390" s="33" t="s">
        <v>57</v>
      </c>
      <c r="AL390" s="27"/>
      <c r="AM390" s="34" t="s">
        <v>57</v>
      </c>
      <c r="AN390" s="35" t="str">
        <f t="shared" si="33"/>
        <v>❌ Disc</v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5377</v>
      </c>
      <c r="C391" s="25" t="s">
        <v>5378</v>
      </c>
      <c r="D391" s="23" t="s">
        <v>5376</v>
      </c>
      <c r="E391" s="42">
        <v>46128</v>
      </c>
      <c r="F391" s="26" t="s">
        <v>55</v>
      </c>
      <c r="G391" s="44" t="s">
        <v>57</v>
      </c>
      <c r="H391" s="26" t="s">
        <v>57</v>
      </c>
      <c r="I391" s="44" t="s">
        <v>90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42">
        <v>46196</v>
      </c>
      <c r="O391" s="26" t="s">
        <v>55</v>
      </c>
      <c r="P391" s="44" t="s">
        <v>57</v>
      </c>
      <c r="Q391" s="26" t="s">
        <v>57</v>
      </c>
      <c r="R391" s="44" t="s">
        <v>90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70">
        <v>46248</v>
      </c>
      <c r="X391" s="30" t="s">
        <v>55</v>
      </c>
      <c r="Y391" s="30" t="s">
        <v>57</v>
      </c>
      <c r="Z391" s="30" t="s">
        <v>57</v>
      </c>
      <c r="AA391" s="30" t="s">
        <v>90</v>
      </c>
      <c r="AB391" s="30" t="s">
        <v>57</v>
      </c>
      <c r="AC391" s="27"/>
      <c r="AD391" s="31" t="s">
        <v>56</v>
      </c>
      <c r="AE391" s="32" t="str">
        <f t="shared" si="32"/>
        <v>⚠ Missing</v>
      </c>
      <c r="AF391" s="33" t="s">
        <v>61</v>
      </c>
      <c r="AG391" s="33" t="s">
        <v>55</v>
      </c>
      <c r="AH391" s="33" t="s">
        <v>57</v>
      </c>
      <c r="AI391" s="33" t="s">
        <v>57</v>
      </c>
      <c r="AJ391" s="33" t="s">
        <v>90</v>
      </c>
      <c r="AK391" s="33" t="s">
        <v>57</v>
      </c>
      <c r="AL391" s="27"/>
      <c r="AM391" s="34" t="s">
        <v>56</v>
      </c>
      <c r="AN391" s="35" t="str">
        <f t="shared" si="33"/>
        <v>⚠ Missing</v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5379</v>
      </c>
      <c r="C392" s="41" t="s">
        <v>5380</v>
      </c>
      <c r="D392" s="39" t="s">
        <v>5376</v>
      </c>
      <c r="E392" s="42">
        <v>46128</v>
      </c>
      <c r="F392" s="26" t="s">
        <v>55</v>
      </c>
      <c r="G392" s="44" t="s">
        <v>57</v>
      </c>
      <c r="H392" s="26" t="s">
        <v>57</v>
      </c>
      <c r="I392" s="44" t="s">
        <v>90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42">
        <v>46196</v>
      </c>
      <c r="O392" s="26" t="s">
        <v>55</v>
      </c>
      <c r="P392" s="44" t="s">
        <v>57</v>
      </c>
      <c r="Q392" s="26" t="s">
        <v>57</v>
      </c>
      <c r="R392" s="44" t="s">
        <v>90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70">
        <v>46248</v>
      </c>
      <c r="X392" s="30" t="s">
        <v>55</v>
      </c>
      <c r="Y392" s="30" t="s">
        <v>57</v>
      </c>
      <c r="Z392" s="30" t="s">
        <v>57</v>
      </c>
      <c r="AA392" s="30" t="s">
        <v>90</v>
      </c>
      <c r="AB392" s="30" t="s">
        <v>57</v>
      </c>
      <c r="AC392" s="27"/>
      <c r="AD392" s="31" t="s">
        <v>56</v>
      </c>
      <c r="AE392" s="32" t="str">
        <f t="shared" si="32"/>
        <v>⚠ Missing</v>
      </c>
      <c r="AF392" s="33" t="s">
        <v>61</v>
      </c>
      <c r="AG392" s="33" t="s">
        <v>62</v>
      </c>
      <c r="AH392" s="33" t="s">
        <v>57</v>
      </c>
      <c r="AI392" s="33" t="s">
        <v>56</v>
      </c>
      <c r="AJ392" s="33" t="s">
        <v>60</v>
      </c>
      <c r="AK392" s="33" t="s">
        <v>57</v>
      </c>
      <c r="AL392" s="27"/>
      <c r="AM392" s="34" t="s">
        <v>57</v>
      </c>
      <c r="AN392" s="35" t="str">
        <f t="shared" si="33"/>
        <v>❌ Disc</v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5381</v>
      </c>
      <c r="C393" s="25" t="s">
        <v>5382</v>
      </c>
      <c r="D393" s="23" t="s">
        <v>5376</v>
      </c>
      <c r="E393" s="42">
        <v>46128</v>
      </c>
      <c r="F393" s="26" t="s">
        <v>55</v>
      </c>
      <c r="G393" s="44" t="s">
        <v>57</v>
      </c>
      <c r="H393" s="26" t="s">
        <v>57</v>
      </c>
      <c r="I393" s="44" t="s">
        <v>90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42">
        <v>46196</v>
      </c>
      <c r="O393" s="26" t="s">
        <v>55</v>
      </c>
      <c r="P393" s="44" t="s">
        <v>57</v>
      </c>
      <c r="Q393" s="26" t="s">
        <v>57</v>
      </c>
      <c r="R393" s="44" t="s">
        <v>90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70">
        <v>46248</v>
      </c>
      <c r="X393" s="30" t="s">
        <v>55</v>
      </c>
      <c r="Y393" s="30" t="s">
        <v>57</v>
      </c>
      <c r="Z393" s="30" t="s">
        <v>57</v>
      </c>
      <c r="AA393" s="30" t="s">
        <v>90</v>
      </c>
      <c r="AB393" s="30" t="s">
        <v>57</v>
      </c>
      <c r="AC393" s="27"/>
      <c r="AD393" s="31" t="s">
        <v>56</v>
      </c>
      <c r="AE393" s="32" t="str">
        <f t="shared" si="32"/>
        <v>⚠ Missing</v>
      </c>
      <c r="AF393" s="33" t="s">
        <v>61</v>
      </c>
      <c r="AG393" s="33" t="s">
        <v>62</v>
      </c>
      <c r="AH393" s="33" t="s">
        <v>57</v>
      </c>
      <c r="AI393" s="33" t="s">
        <v>56</v>
      </c>
      <c r="AJ393" s="33" t="s">
        <v>60</v>
      </c>
      <c r="AK393" s="33" t="s">
        <v>57</v>
      </c>
      <c r="AL393" s="27"/>
      <c r="AM393" s="34" t="s">
        <v>57</v>
      </c>
      <c r="AN393" s="35" t="str">
        <f t="shared" si="33"/>
        <v>❌ Disc</v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5383</v>
      </c>
      <c r="C394" s="41" t="s">
        <v>5384</v>
      </c>
      <c r="D394" s="39" t="s">
        <v>5376</v>
      </c>
      <c r="E394" s="42">
        <v>46128</v>
      </c>
      <c r="F394" s="26" t="s">
        <v>55</v>
      </c>
      <c r="G394" s="44" t="s">
        <v>57</v>
      </c>
      <c r="H394" s="26" t="s">
        <v>57</v>
      </c>
      <c r="I394" s="44" t="s">
        <v>90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42">
        <v>46196</v>
      </c>
      <c r="O394" s="26" t="s">
        <v>55</v>
      </c>
      <c r="P394" s="44" t="s">
        <v>57</v>
      </c>
      <c r="Q394" s="26" t="s">
        <v>57</v>
      </c>
      <c r="R394" s="44" t="s">
        <v>90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70">
        <v>46248</v>
      </c>
      <c r="X394" s="30" t="s">
        <v>55</v>
      </c>
      <c r="Y394" s="30" t="s">
        <v>57</v>
      </c>
      <c r="Z394" s="30" t="s">
        <v>57</v>
      </c>
      <c r="AA394" s="30" t="s">
        <v>90</v>
      </c>
      <c r="AB394" s="30" t="s">
        <v>57</v>
      </c>
      <c r="AC394" s="27"/>
      <c r="AD394" s="31" t="s">
        <v>56</v>
      </c>
      <c r="AE394" s="32" t="str">
        <f t="shared" si="32"/>
        <v>⚠ Missing</v>
      </c>
      <c r="AF394" s="33" t="s">
        <v>61</v>
      </c>
      <c r="AG394" s="33" t="s">
        <v>62</v>
      </c>
      <c r="AH394" s="33" t="s">
        <v>57</v>
      </c>
      <c r="AI394" s="33" t="s">
        <v>56</v>
      </c>
      <c r="AJ394" s="33" t="s">
        <v>60</v>
      </c>
      <c r="AK394" s="33" t="s">
        <v>57</v>
      </c>
      <c r="AL394" s="27"/>
      <c r="AM394" s="34" t="s">
        <v>57</v>
      </c>
      <c r="AN394" s="35" t="str">
        <f t="shared" si="33"/>
        <v>❌ Disc</v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5385</v>
      </c>
      <c r="C395" s="25" t="s">
        <v>5386</v>
      </c>
      <c r="D395" s="23" t="s">
        <v>5376</v>
      </c>
      <c r="E395" s="42">
        <v>46128</v>
      </c>
      <c r="F395" s="26" t="s">
        <v>55</v>
      </c>
      <c r="G395" s="44" t="s">
        <v>57</v>
      </c>
      <c r="H395" s="26" t="s">
        <v>57</v>
      </c>
      <c r="I395" s="44" t="s">
        <v>90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42">
        <v>46196</v>
      </c>
      <c r="O395" s="26" t="s">
        <v>55</v>
      </c>
      <c r="P395" s="44" t="s">
        <v>57</v>
      </c>
      <c r="Q395" s="26" t="s">
        <v>57</v>
      </c>
      <c r="R395" s="44" t="s">
        <v>90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70">
        <v>46248</v>
      </c>
      <c r="X395" s="30" t="s">
        <v>55</v>
      </c>
      <c r="Y395" s="30" t="s">
        <v>57</v>
      </c>
      <c r="Z395" s="30" t="s">
        <v>57</v>
      </c>
      <c r="AA395" s="30" t="s">
        <v>90</v>
      </c>
      <c r="AB395" s="30" t="s">
        <v>57</v>
      </c>
      <c r="AC395" s="27"/>
      <c r="AD395" s="31" t="s">
        <v>56</v>
      </c>
      <c r="AE395" s="32" t="str">
        <f t="shared" si="32"/>
        <v>⚠ Missing</v>
      </c>
      <c r="AF395" s="33" t="s">
        <v>61</v>
      </c>
      <c r="AG395" s="33" t="s">
        <v>62</v>
      </c>
      <c r="AH395" s="33" t="s">
        <v>57</v>
      </c>
      <c r="AI395" s="33" t="s">
        <v>56</v>
      </c>
      <c r="AJ395" s="33" t="s">
        <v>60</v>
      </c>
      <c r="AK395" s="33" t="s">
        <v>57</v>
      </c>
      <c r="AL395" s="27"/>
      <c r="AM395" s="34" t="s">
        <v>57</v>
      </c>
      <c r="AN395" s="35" t="str">
        <f t="shared" si="33"/>
        <v>❌ Disc</v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5387</v>
      </c>
      <c r="C396" s="41" t="s">
        <v>5388</v>
      </c>
      <c r="D396" s="39" t="s">
        <v>5376</v>
      </c>
      <c r="E396" s="42">
        <v>46128</v>
      </c>
      <c r="F396" s="26" t="s">
        <v>55</v>
      </c>
      <c r="G396" s="44" t="s">
        <v>57</v>
      </c>
      <c r="H396" s="26" t="s">
        <v>57</v>
      </c>
      <c r="I396" s="44" t="s">
        <v>90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42">
        <v>46196</v>
      </c>
      <c r="O396" s="26" t="s">
        <v>55</v>
      </c>
      <c r="P396" s="44" t="s">
        <v>57</v>
      </c>
      <c r="Q396" s="26" t="s">
        <v>57</v>
      </c>
      <c r="R396" s="44" t="s">
        <v>90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70">
        <v>46248</v>
      </c>
      <c r="X396" s="30" t="s">
        <v>55</v>
      </c>
      <c r="Y396" s="30" t="s">
        <v>57</v>
      </c>
      <c r="Z396" s="30" t="s">
        <v>57</v>
      </c>
      <c r="AA396" s="30" t="s">
        <v>90</v>
      </c>
      <c r="AB396" s="30" t="s">
        <v>57</v>
      </c>
      <c r="AC396" s="27"/>
      <c r="AD396" s="31" t="s">
        <v>56</v>
      </c>
      <c r="AE396" s="32" t="str">
        <f t="shared" si="32"/>
        <v>⚠ Missing</v>
      </c>
      <c r="AF396" s="33" t="s">
        <v>61</v>
      </c>
      <c r="AG396" s="33" t="s">
        <v>62</v>
      </c>
      <c r="AH396" s="33" t="s">
        <v>57</v>
      </c>
      <c r="AI396" s="33" t="s">
        <v>56</v>
      </c>
      <c r="AJ396" s="33" t="s">
        <v>60</v>
      </c>
      <c r="AK396" s="33" t="s">
        <v>57</v>
      </c>
      <c r="AL396" s="27"/>
      <c r="AM396" s="34" t="s">
        <v>57</v>
      </c>
      <c r="AN396" s="35" t="str">
        <f t="shared" si="33"/>
        <v>❌ Disc</v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5389</v>
      </c>
      <c r="C397" s="25" t="s">
        <v>5390</v>
      </c>
      <c r="D397" s="23" t="s">
        <v>5376</v>
      </c>
      <c r="E397" s="42">
        <v>46128</v>
      </c>
      <c r="F397" s="26" t="s">
        <v>55</v>
      </c>
      <c r="G397" s="44" t="s">
        <v>57</v>
      </c>
      <c r="H397" s="26" t="s">
        <v>57</v>
      </c>
      <c r="I397" s="44" t="s">
        <v>90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42">
        <v>46196</v>
      </c>
      <c r="O397" s="26" t="s">
        <v>55</v>
      </c>
      <c r="P397" s="44" t="s">
        <v>57</v>
      </c>
      <c r="Q397" s="26" t="s">
        <v>57</v>
      </c>
      <c r="R397" s="44" t="s">
        <v>90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70">
        <v>46248</v>
      </c>
      <c r="X397" s="30" t="s">
        <v>55</v>
      </c>
      <c r="Y397" s="30" t="s">
        <v>57</v>
      </c>
      <c r="Z397" s="30" t="s">
        <v>57</v>
      </c>
      <c r="AA397" s="30" t="s">
        <v>90</v>
      </c>
      <c r="AB397" s="30" t="s">
        <v>57</v>
      </c>
      <c r="AC397" s="27"/>
      <c r="AD397" s="31" t="s">
        <v>56</v>
      </c>
      <c r="AE397" s="32" t="str">
        <f t="shared" si="32"/>
        <v>⚠ Missing</v>
      </c>
      <c r="AF397" s="33" t="s">
        <v>61</v>
      </c>
      <c r="AG397" s="33" t="s">
        <v>62</v>
      </c>
      <c r="AH397" s="33" t="s">
        <v>57</v>
      </c>
      <c r="AI397" s="33" t="s">
        <v>56</v>
      </c>
      <c r="AJ397" s="33" t="s">
        <v>60</v>
      </c>
      <c r="AK397" s="33" t="s">
        <v>57</v>
      </c>
      <c r="AL397" s="27"/>
      <c r="AM397" s="34" t="s">
        <v>57</v>
      </c>
      <c r="AN397" s="35" t="str">
        <f t="shared" si="33"/>
        <v>❌ Disc</v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5391</v>
      </c>
      <c r="C398" s="41" t="s">
        <v>5392</v>
      </c>
      <c r="D398" s="39" t="s">
        <v>5376</v>
      </c>
      <c r="E398" s="42">
        <v>46128</v>
      </c>
      <c r="F398" s="26" t="s">
        <v>55</v>
      </c>
      <c r="G398" s="44" t="s">
        <v>57</v>
      </c>
      <c r="H398" s="26" t="s">
        <v>57</v>
      </c>
      <c r="I398" s="44" t="s">
        <v>90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42">
        <v>46196</v>
      </c>
      <c r="O398" s="26" t="s">
        <v>55</v>
      </c>
      <c r="P398" s="44" t="s">
        <v>57</v>
      </c>
      <c r="Q398" s="26" t="s">
        <v>57</v>
      </c>
      <c r="R398" s="44" t="s">
        <v>90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70">
        <v>46248</v>
      </c>
      <c r="X398" s="30" t="s">
        <v>55</v>
      </c>
      <c r="Y398" s="30" t="s">
        <v>57</v>
      </c>
      <c r="Z398" s="30" t="s">
        <v>57</v>
      </c>
      <c r="AA398" s="30" t="s">
        <v>90</v>
      </c>
      <c r="AB398" s="30" t="s">
        <v>57</v>
      </c>
      <c r="AC398" s="27"/>
      <c r="AD398" s="31" t="s">
        <v>56</v>
      </c>
      <c r="AE398" s="32" t="str">
        <f t="shared" si="32"/>
        <v>⚠ Missing</v>
      </c>
      <c r="AF398" s="33" t="s">
        <v>61</v>
      </c>
      <c r="AG398" s="33" t="s">
        <v>62</v>
      </c>
      <c r="AH398" s="33" t="s">
        <v>57</v>
      </c>
      <c r="AI398" s="33" t="s">
        <v>56</v>
      </c>
      <c r="AJ398" s="33" t="s">
        <v>60</v>
      </c>
      <c r="AK398" s="33" t="s">
        <v>57</v>
      </c>
      <c r="AL398" s="27"/>
      <c r="AM398" s="34" t="s">
        <v>57</v>
      </c>
      <c r="AN398" s="35" t="str">
        <f t="shared" si="33"/>
        <v>❌ Disc</v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5393</v>
      </c>
      <c r="C399" s="25" t="s">
        <v>5394</v>
      </c>
      <c r="D399" s="23" t="s">
        <v>5376</v>
      </c>
      <c r="E399" s="42">
        <v>46128</v>
      </c>
      <c r="F399" s="26" t="s">
        <v>55</v>
      </c>
      <c r="G399" s="44" t="s">
        <v>57</v>
      </c>
      <c r="H399" s="26" t="s">
        <v>57</v>
      </c>
      <c r="I399" s="44" t="s">
        <v>90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42">
        <v>46196</v>
      </c>
      <c r="O399" s="26" t="s">
        <v>55</v>
      </c>
      <c r="P399" s="44" t="s">
        <v>57</v>
      </c>
      <c r="Q399" s="26" t="s">
        <v>57</v>
      </c>
      <c r="R399" s="44" t="s">
        <v>90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70">
        <v>46248</v>
      </c>
      <c r="X399" s="30" t="s">
        <v>55</v>
      </c>
      <c r="Y399" s="30" t="s">
        <v>57</v>
      </c>
      <c r="Z399" s="30" t="s">
        <v>57</v>
      </c>
      <c r="AA399" s="30" t="s">
        <v>90</v>
      </c>
      <c r="AB399" s="30" t="s">
        <v>57</v>
      </c>
      <c r="AC399" s="27"/>
      <c r="AD399" s="31" t="s">
        <v>56</v>
      </c>
      <c r="AE399" s="32" t="str">
        <f t="shared" si="32"/>
        <v>⚠ Missing</v>
      </c>
      <c r="AF399" s="33" t="s">
        <v>61</v>
      </c>
      <c r="AG399" s="33" t="s">
        <v>62</v>
      </c>
      <c r="AH399" s="33" t="s">
        <v>57</v>
      </c>
      <c r="AI399" s="33" t="s">
        <v>56</v>
      </c>
      <c r="AJ399" s="33" t="s">
        <v>60</v>
      </c>
      <c r="AK399" s="33" t="s">
        <v>57</v>
      </c>
      <c r="AL399" s="27"/>
      <c r="AM399" s="34" t="s">
        <v>57</v>
      </c>
      <c r="AN399" s="35" t="str">
        <f t="shared" si="33"/>
        <v>❌ Disc</v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5395</v>
      </c>
      <c r="C400" s="41" t="s">
        <v>5396</v>
      </c>
      <c r="D400" s="39" t="s">
        <v>5376</v>
      </c>
      <c r="E400" s="42">
        <v>46128</v>
      </c>
      <c r="F400" s="26" t="s">
        <v>55</v>
      </c>
      <c r="G400" s="44" t="s">
        <v>57</v>
      </c>
      <c r="H400" s="26" t="s">
        <v>57</v>
      </c>
      <c r="I400" s="44" t="s">
        <v>90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42">
        <v>46196</v>
      </c>
      <c r="O400" s="26" t="s">
        <v>55</v>
      </c>
      <c r="P400" s="44" t="s">
        <v>57</v>
      </c>
      <c r="Q400" s="26" t="s">
        <v>57</v>
      </c>
      <c r="R400" s="44" t="s">
        <v>90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70">
        <v>46248</v>
      </c>
      <c r="X400" s="30" t="s">
        <v>55</v>
      </c>
      <c r="Y400" s="30" t="s">
        <v>57</v>
      </c>
      <c r="Z400" s="30" t="s">
        <v>57</v>
      </c>
      <c r="AA400" s="30" t="s">
        <v>90</v>
      </c>
      <c r="AB400" s="30" t="s">
        <v>57</v>
      </c>
      <c r="AC400" s="27"/>
      <c r="AD400" s="31" t="s">
        <v>56</v>
      </c>
      <c r="AE400" s="32" t="str">
        <f t="shared" si="32"/>
        <v>⚠ Missing</v>
      </c>
      <c r="AF400" s="33" t="s">
        <v>61</v>
      </c>
      <c r="AG400" s="33" t="s">
        <v>62</v>
      </c>
      <c r="AH400" s="33" t="s">
        <v>57</v>
      </c>
      <c r="AI400" s="33" t="s">
        <v>56</v>
      </c>
      <c r="AJ400" s="33" t="s">
        <v>60</v>
      </c>
      <c r="AK400" s="33" t="s">
        <v>57</v>
      </c>
      <c r="AL400" s="27"/>
      <c r="AM400" s="34" t="s">
        <v>57</v>
      </c>
      <c r="AN400" s="35" t="str">
        <f t="shared" si="33"/>
        <v>❌ Disc</v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5397</v>
      </c>
      <c r="C401" s="25" t="s">
        <v>5398</v>
      </c>
      <c r="D401" s="23" t="s">
        <v>5376</v>
      </c>
      <c r="E401" s="42">
        <v>46128</v>
      </c>
      <c r="F401" s="26" t="s">
        <v>55</v>
      </c>
      <c r="G401" s="44" t="s">
        <v>57</v>
      </c>
      <c r="H401" s="26" t="s">
        <v>57</v>
      </c>
      <c r="I401" s="44" t="s">
        <v>90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42">
        <v>46196</v>
      </c>
      <c r="O401" s="26" t="s">
        <v>55</v>
      </c>
      <c r="P401" s="44" t="s">
        <v>57</v>
      </c>
      <c r="Q401" s="26" t="s">
        <v>57</v>
      </c>
      <c r="R401" s="44" t="s">
        <v>90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70">
        <v>46248</v>
      </c>
      <c r="X401" s="30" t="s">
        <v>55</v>
      </c>
      <c r="Y401" s="30" t="s">
        <v>57</v>
      </c>
      <c r="Z401" s="30" t="s">
        <v>57</v>
      </c>
      <c r="AA401" s="30" t="s">
        <v>90</v>
      </c>
      <c r="AB401" s="30" t="s">
        <v>57</v>
      </c>
      <c r="AC401" s="27"/>
      <c r="AD401" s="31" t="s">
        <v>56</v>
      </c>
      <c r="AE401" s="32" t="str">
        <f t="shared" si="32"/>
        <v>⚠ Missing</v>
      </c>
      <c r="AF401" s="33" t="s">
        <v>61</v>
      </c>
      <c r="AG401" s="33" t="s">
        <v>62</v>
      </c>
      <c r="AH401" s="33" t="s">
        <v>57</v>
      </c>
      <c r="AI401" s="33" t="s">
        <v>56</v>
      </c>
      <c r="AJ401" s="33" t="s">
        <v>60</v>
      </c>
      <c r="AK401" s="33" t="s">
        <v>57</v>
      </c>
      <c r="AL401" s="27"/>
      <c r="AM401" s="34" t="s">
        <v>57</v>
      </c>
      <c r="AN401" s="35" t="str">
        <f t="shared" si="33"/>
        <v>❌ Disc</v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5399</v>
      </c>
      <c r="C402" s="41" t="s">
        <v>5400</v>
      </c>
      <c r="D402" s="39" t="s">
        <v>5376</v>
      </c>
      <c r="E402" s="42">
        <v>46128</v>
      </c>
      <c r="F402" s="26" t="s">
        <v>55</v>
      </c>
      <c r="G402" s="44" t="s">
        <v>57</v>
      </c>
      <c r="H402" s="26" t="s">
        <v>57</v>
      </c>
      <c r="I402" s="44" t="s">
        <v>90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42">
        <v>46196</v>
      </c>
      <c r="O402" s="26" t="s">
        <v>55</v>
      </c>
      <c r="P402" s="44" t="s">
        <v>57</v>
      </c>
      <c r="Q402" s="26" t="s">
        <v>57</v>
      </c>
      <c r="R402" s="44" t="s">
        <v>90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70">
        <v>46248</v>
      </c>
      <c r="X402" s="30" t="s">
        <v>55</v>
      </c>
      <c r="Y402" s="30" t="s">
        <v>57</v>
      </c>
      <c r="Z402" s="30" t="s">
        <v>57</v>
      </c>
      <c r="AA402" s="30" t="s">
        <v>90</v>
      </c>
      <c r="AB402" s="30" t="s">
        <v>57</v>
      </c>
      <c r="AC402" s="27"/>
      <c r="AD402" s="31" t="s">
        <v>56</v>
      </c>
      <c r="AE402" s="32" t="str">
        <f t="shared" si="32"/>
        <v>⚠ Missing</v>
      </c>
      <c r="AF402" s="33" t="s">
        <v>61</v>
      </c>
      <c r="AG402" s="33" t="s">
        <v>62</v>
      </c>
      <c r="AH402" s="33" t="s">
        <v>57</v>
      </c>
      <c r="AI402" s="33" t="s">
        <v>56</v>
      </c>
      <c r="AJ402" s="33" t="s">
        <v>60</v>
      </c>
      <c r="AK402" s="33" t="s">
        <v>57</v>
      </c>
      <c r="AL402" s="27"/>
      <c r="AM402" s="34" t="s">
        <v>57</v>
      </c>
      <c r="AN402" s="35" t="str">
        <f t="shared" si="33"/>
        <v>❌ Disc</v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5401</v>
      </c>
      <c r="C403" s="25" t="s">
        <v>5402</v>
      </c>
      <c r="D403" s="23" t="s">
        <v>5376</v>
      </c>
      <c r="E403" s="42">
        <v>46128</v>
      </c>
      <c r="F403" s="26" t="s">
        <v>55</v>
      </c>
      <c r="G403" s="44" t="s">
        <v>57</v>
      </c>
      <c r="H403" s="26" t="s">
        <v>57</v>
      </c>
      <c r="I403" s="44" t="s">
        <v>90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42">
        <v>46196</v>
      </c>
      <c r="O403" s="26" t="s">
        <v>55</v>
      </c>
      <c r="P403" s="44" t="s">
        <v>57</v>
      </c>
      <c r="Q403" s="26" t="s">
        <v>57</v>
      </c>
      <c r="R403" s="44" t="s">
        <v>90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70">
        <v>46248</v>
      </c>
      <c r="X403" s="30" t="s">
        <v>55</v>
      </c>
      <c r="Y403" s="30" t="s">
        <v>57</v>
      </c>
      <c r="Z403" s="30" t="s">
        <v>57</v>
      </c>
      <c r="AA403" s="30" t="s">
        <v>90</v>
      </c>
      <c r="AB403" s="30" t="s">
        <v>57</v>
      </c>
      <c r="AC403" s="27"/>
      <c r="AD403" s="31" t="s">
        <v>56</v>
      </c>
      <c r="AE403" s="32" t="str">
        <f t="shared" si="32"/>
        <v>⚠ Missing</v>
      </c>
      <c r="AF403" s="33" t="s">
        <v>61</v>
      </c>
      <c r="AG403" s="33" t="s">
        <v>62</v>
      </c>
      <c r="AH403" s="33" t="s">
        <v>57</v>
      </c>
      <c r="AI403" s="33" t="s">
        <v>56</v>
      </c>
      <c r="AJ403" s="33" t="s">
        <v>60</v>
      </c>
      <c r="AK403" s="33" t="s">
        <v>57</v>
      </c>
      <c r="AL403" s="27"/>
      <c r="AM403" s="34" t="s">
        <v>57</v>
      </c>
      <c r="AN403" s="35" t="str">
        <f t="shared" si="33"/>
        <v>❌ Disc</v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5403</v>
      </c>
      <c r="C404" s="41" t="s">
        <v>5404</v>
      </c>
      <c r="D404" s="39" t="s">
        <v>5376</v>
      </c>
      <c r="E404" s="42">
        <v>46128</v>
      </c>
      <c r="F404" s="26" t="s">
        <v>55</v>
      </c>
      <c r="G404" s="44" t="s">
        <v>57</v>
      </c>
      <c r="H404" s="26" t="s">
        <v>57</v>
      </c>
      <c r="I404" s="44" t="s">
        <v>90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42">
        <v>46196</v>
      </c>
      <c r="O404" s="26" t="s">
        <v>55</v>
      </c>
      <c r="P404" s="44" t="s">
        <v>57</v>
      </c>
      <c r="Q404" s="26" t="s">
        <v>57</v>
      </c>
      <c r="R404" s="44" t="s">
        <v>90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70">
        <v>46248</v>
      </c>
      <c r="X404" s="30" t="s">
        <v>55</v>
      </c>
      <c r="Y404" s="30" t="s">
        <v>57</v>
      </c>
      <c r="Z404" s="30" t="s">
        <v>57</v>
      </c>
      <c r="AA404" s="30" t="s">
        <v>90</v>
      </c>
      <c r="AB404" s="30" t="s">
        <v>57</v>
      </c>
      <c r="AC404" s="27"/>
      <c r="AD404" s="31" t="s">
        <v>56</v>
      </c>
      <c r="AE404" s="32" t="str">
        <f t="shared" si="32"/>
        <v>⚠ Missing</v>
      </c>
      <c r="AF404" s="33" t="s">
        <v>61</v>
      </c>
      <c r="AG404" s="33" t="s">
        <v>62</v>
      </c>
      <c r="AH404" s="33" t="s">
        <v>57</v>
      </c>
      <c r="AI404" s="33" t="s">
        <v>56</v>
      </c>
      <c r="AJ404" s="33" t="s">
        <v>60</v>
      </c>
      <c r="AK404" s="33" t="s">
        <v>57</v>
      </c>
      <c r="AL404" s="27"/>
      <c r="AM404" s="34" t="s">
        <v>57</v>
      </c>
      <c r="AN404" s="35" t="str">
        <f t="shared" si="33"/>
        <v>❌ Disc</v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5405</v>
      </c>
      <c r="C405" s="25" t="s">
        <v>5406</v>
      </c>
      <c r="D405" s="23" t="s">
        <v>5376</v>
      </c>
      <c r="E405" s="42">
        <v>46128</v>
      </c>
      <c r="F405" s="26" t="s">
        <v>55</v>
      </c>
      <c r="G405" s="44" t="s">
        <v>57</v>
      </c>
      <c r="H405" s="26" t="s">
        <v>57</v>
      </c>
      <c r="I405" s="44" t="s">
        <v>90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42">
        <v>46196</v>
      </c>
      <c r="O405" s="26" t="s">
        <v>55</v>
      </c>
      <c r="P405" s="44" t="s">
        <v>57</v>
      </c>
      <c r="Q405" s="26" t="s">
        <v>57</v>
      </c>
      <c r="R405" s="44" t="s">
        <v>90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70">
        <v>46248</v>
      </c>
      <c r="X405" s="30" t="s">
        <v>55</v>
      </c>
      <c r="Y405" s="30" t="s">
        <v>57</v>
      </c>
      <c r="Z405" s="30" t="s">
        <v>57</v>
      </c>
      <c r="AA405" s="30" t="s">
        <v>90</v>
      </c>
      <c r="AB405" s="30" t="s">
        <v>57</v>
      </c>
      <c r="AC405" s="27"/>
      <c r="AD405" s="31" t="s">
        <v>56</v>
      </c>
      <c r="AE405" s="32" t="str">
        <f t="shared" si="32"/>
        <v>⚠ Missing</v>
      </c>
      <c r="AF405" s="33" t="s">
        <v>61</v>
      </c>
      <c r="AG405" s="33" t="s">
        <v>62</v>
      </c>
      <c r="AH405" s="33" t="s">
        <v>57</v>
      </c>
      <c r="AI405" s="33" t="s">
        <v>56</v>
      </c>
      <c r="AJ405" s="33" t="s">
        <v>60</v>
      </c>
      <c r="AK405" s="33" t="s">
        <v>57</v>
      </c>
      <c r="AL405" s="27"/>
      <c r="AM405" s="34" t="s">
        <v>57</v>
      </c>
      <c r="AN405" s="35" t="str">
        <f t="shared" si="33"/>
        <v>❌ Disc</v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5407</v>
      </c>
      <c r="C406" s="41" t="s">
        <v>5408</v>
      </c>
      <c r="D406" s="39" t="s">
        <v>5376</v>
      </c>
      <c r="E406" s="42">
        <v>46128</v>
      </c>
      <c r="F406" s="26" t="s">
        <v>55</v>
      </c>
      <c r="G406" s="44" t="s">
        <v>57</v>
      </c>
      <c r="H406" s="26" t="s">
        <v>57</v>
      </c>
      <c r="I406" s="44" t="s">
        <v>90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42">
        <v>46196</v>
      </c>
      <c r="O406" s="26" t="s">
        <v>55</v>
      </c>
      <c r="P406" s="44" t="s">
        <v>57</v>
      </c>
      <c r="Q406" s="26" t="s">
        <v>57</v>
      </c>
      <c r="R406" s="44" t="s">
        <v>90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70">
        <v>46248</v>
      </c>
      <c r="X406" s="30" t="s">
        <v>55</v>
      </c>
      <c r="Y406" s="30" t="s">
        <v>57</v>
      </c>
      <c r="Z406" s="30" t="s">
        <v>57</v>
      </c>
      <c r="AA406" s="30" t="s">
        <v>90</v>
      </c>
      <c r="AB406" s="30" t="s">
        <v>57</v>
      </c>
      <c r="AC406" s="27"/>
      <c r="AD406" s="31" t="s">
        <v>56</v>
      </c>
      <c r="AE406" s="32" t="str">
        <f t="shared" si="32"/>
        <v>⚠ Missing</v>
      </c>
      <c r="AF406" s="33" t="s">
        <v>61</v>
      </c>
      <c r="AG406" s="33" t="s">
        <v>62</v>
      </c>
      <c r="AH406" s="33" t="s">
        <v>57</v>
      </c>
      <c r="AI406" s="33" t="s">
        <v>56</v>
      </c>
      <c r="AJ406" s="33" t="s">
        <v>60</v>
      </c>
      <c r="AK406" s="33" t="s">
        <v>57</v>
      </c>
      <c r="AL406" s="27"/>
      <c r="AM406" s="34" t="s">
        <v>57</v>
      </c>
      <c r="AN406" s="35" t="str">
        <f t="shared" si="33"/>
        <v>❌ Disc</v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5409</v>
      </c>
      <c r="C407" s="25" t="s">
        <v>5410</v>
      </c>
      <c r="D407" s="23" t="s">
        <v>5376</v>
      </c>
      <c r="E407" s="42">
        <v>46128</v>
      </c>
      <c r="F407" s="26" t="s">
        <v>55</v>
      </c>
      <c r="G407" s="44" t="s">
        <v>57</v>
      </c>
      <c r="H407" s="26" t="s">
        <v>57</v>
      </c>
      <c r="I407" s="44" t="s">
        <v>90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42">
        <v>46196</v>
      </c>
      <c r="O407" s="26" t="s">
        <v>55</v>
      </c>
      <c r="P407" s="44" t="s">
        <v>57</v>
      </c>
      <c r="Q407" s="26" t="s">
        <v>57</v>
      </c>
      <c r="R407" s="44" t="s">
        <v>90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70">
        <v>46248</v>
      </c>
      <c r="X407" s="30" t="s">
        <v>55</v>
      </c>
      <c r="Y407" s="30" t="s">
        <v>57</v>
      </c>
      <c r="Z407" s="30" t="s">
        <v>57</v>
      </c>
      <c r="AA407" s="30" t="s">
        <v>90</v>
      </c>
      <c r="AB407" s="30" t="s">
        <v>57</v>
      </c>
      <c r="AC407" s="27"/>
      <c r="AD407" s="31" t="s">
        <v>56</v>
      </c>
      <c r="AE407" s="32" t="str">
        <f t="shared" si="32"/>
        <v>⚠ Missing</v>
      </c>
      <c r="AF407" s="33" t="s">
        <v>61</v>
      </c>
      <c r="AG407" s="33" t="s">
        <v>62</v>
      </c>
      <c r="AH407" s="33" t="s">
        <v>57</v>
      </c>
      <c r="AI407" s="33" t="s">
        <v>56</v>
      </c>
      <c r="AJ407" s="33" t="s">
        <v>60</v>
      </c>
      <c r="AK407" s="33" t="s">
        <v>57</v>
      </c>
      <c r="AL407" s="27"/>
      <c r="AM407" s="34" t="s">
        <v>57</v>
      </c>
      <c r="AN407" s="35" t="str">
        <f t="shared" si="33"/>
        <v>❌ Disc</v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5411</v>
      </c>
      <c r="C408" s="41" t="s">
        <v>5412</v>
      </c>
      <c r="D408" s="39" t="s">
        <v>5376</v>
      </c>
      <c r="E408" s="42">
        <v>46128</v>
      </c>
      <c r="F408" s="26" t="s">
        <v>55</v>
      </c>
      <c r="G408" s="44" t="s">
        <v>57</v>
      </c>
      <c r="H408" s="26" t="s">
        <v>57</v>
      </c>
      <c r="I408" s="44" t="s">
        <v>90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42">
        <v>46196</v>
      </c>
      <c r="O408" s="26" t="s">
        <v>55</v>
      </c>
      <c r="P408" s="44" t="s">
        <v>57</v>
      </c>
      <c r="Q408" s="26" t="s">
        <v>57</v>
      </c>
      <c r="R408" s="44" t="s">
        <v>90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70">
        <v>46248</v>
      </c>
      <c r="X408" s="30" t="s">
        <v>55</v>
      </c>
      <c r="Y408" s="30" t="s">
        <v>57</v>
      </c>
      <c r="Z408" s="30" t="s">
        <v>57</v>
      </c>
      <c r="AA408" s="30" t="s">
        <v>90</v>
      </c>
      <c r="AB408" s="30" t="s">
        <v>57</v>
      </c>
      <c r="AC408" s="27"/>
      <c r="AD408" s="31" t="s">
        <v>56</v>
      </c>
      <c r="AE408" s="32" t="str">
        <f t="shared" si="32"/>
        <v>⚠ Missing</v>
      </c>
      <c r="AF408" s="33" t="s">
        <v>61</v>
      </c>
      <c r="AG408" s="33" t="s">
        <v>62</v>
      </c>
      <c r="AH408" s="33" t="s">
        <v>57</v>
      </c>
      <c r="AI408" s="33" t="s">
        <v>56</v>
      </c>
      <c r="AJ408" s="33" t="s">
        <v>60</v>
      </c>
      <c r="AK408" s="33" t="s">
        <v>57</v>
      </c>
      <c r="AL408" s="27"/>
      <c r="AM408" s="34" t="s">
        <v>57</v>
      </c>
      <c r="AN408" s="35" t="str">
        <f t="shared" si="33"/>
        <v>❌ Disc</v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5413</v>
      </c>
      <c r="C409" s="25" t="s">
        <v>5414</v>
      </c>
      <c r="D409" s="23" t="s">
        <v>5376</v>
      </c>
      <c r="E409" s="42">
        <v>46128</v>
      </c>
      <c r="F409" s="26" t="s">
        <v>55</v>
      </c>
      <c r="G409" s="44" t="s">
        <v>57</v>
      </c>
      <c r="H409" s="26" t="s">
        <v>57</v>
      </c>
      <c r="I409" s="44" t="s">
        <v>90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42">
        <v>46196</v>
      </c>
      <c r="O409" s="26" t="s">
        <v>55</v>
      </c>
      <c r="P409" s="44" t="s">
        <v>57</v>
      </c>
      <c r="Q409" s="26" t="s">
        <v>57</v>
      </c>
      <c r="R409" s="44" t="s">
        <v>90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70">
        <v>46248</v>
      </c>
      <c r="X409" s="30" t="s">
        <v>55</v>
      </c>
      <c r="Y409" s="30" t="s">
        <v>57</v>
      </c>
      <c r="Z409" s="30" t="s">
        <v>57</v>
      </c>
      <c r="AA409" s="30" t="s">
        <v>90</v>
      </c>
      <c r="AB409" s="30" t="s">
        <v>57</v>
      </c>
      <c r="AC409" s="27"/>
      <c r="AD409" s="31" t="s">
        <v>56</v>
      </c>
      <c r="AE409" s="32" t="str">
        <f t="shared" si="32"/>
        <v>⚠ Missing</v>
      </c>
      <c r="AF409" s="33" t="s">
        <v>61</v>
      </c>
      <c r="AG409" s="33" t="s">
        <v>62</v>
      </c>
      <c r="AH409" s="33" t="s">
        <v>57</v>
      </c>
      <c r="AI409" s="33" t="s">
        <v>56</v>
      </c>
      <c r="AJ409" s="33" t="s">
        <v>60</v>
      </c>
      <c r="AK409" s="33" t="s">
        <v>57</v>
      </c>
      <c r="AL409" s="27"/>
      <c r="AM409" s="34" t="s">
        <v>57</v>
      </c>
      <c r="AN409" s="35" t="str">
        <f t="shared" si="33"/>
        <v>❌ Disc</v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5415</v>
      </c>
      <c r="C410" s="41" t="s">
        <v>5416</v>
      </c>
      <c r="D410" s="39" t="s">
        <v>5376</v>
      </c>
      <c r="E410" s="42">
        <v>46128</v>
      </c>
      <c r="F410" s="26" t="s">
        <v>55</v>
      </c>
      <c r="G410" s="44" t="s">
        <v>57</v>
      </c>
      <c r="H410" s="26" t="s">
        <v>57</v>
      </c>
      <c r="I410" s="44" t="s">
        <v>90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42">
        <v>46196</v>
      </c>
      <c r="O410" s="26" t="s">
        <v>55</v>
      </c>
      <c r="P410" s="44" t="s">
        <v>57</v>
      </c>
      <c r="Q410" s="26" t="s">
        <v>57</v>
      </c>
      <c r="R410" s="44" t="s">
        <v>90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70">
        <v>46248</v>
      </c>
      <c r="X410" s="30" t="s">
        <v>55</v>
      </c>
      <c r="Y410" s="30" t="s">
        <v>57</v>
      </c>
      <c r="Z410" s="30" t="s">
        <v>57</v>
      </c>
      <c r="AA410" s="30" t="s">
        <v>90</v>
      </c>
      <c r="AB410" s="30" t="s">
        <v>57</v>
      </c>
      <c r="AC410" s="27"/>
      <c r="AD410" s="31" t="s">
        <v>56</v>
      </c>
      <c r="AE410" s="32" t="str">
        <f t="shared" si="32"/>
        <v>⚠ Missing</v>
      </c>
      <c r="AF410" s="33" t="s">
        <v>61</v>
      </c>
      <c r="AG410" s="33" t="s">
        <v>62</v>
      </c>
      <c r="AH410" s="33" t="s">
        <v>57</v>
      </c>
      <c r="AI410" s="33" t="s">
        <v>56</v>
      </c>
      <c r="AJ410" s="33" t="s">
        <v>60</v>
      </c>
      <c r="AK410" s="33" t="s">
        <v>57</v>
      </c>
      <c r="AL410" s="27"/>
      <c r="AM410" s="34" t="s">
        <v>57</v>
      </c>
      <c r="AN410" s="35" t="str">
        <f t="shared" si="33"/>
        <v>❌ Disc</v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5417</v>
      </c>
      <c r="C411" s="25" t="s">
        <v>5418</v>
      </c>
      <c r="D411" s="23" t="s">
        <v>5376</v>
      </c>
      <c r="E411" s="42">
        <v>46128</v>
      </c>
      <c r="F411" s="26" t="s">
        <v>55</v>
      </c>
      <c r="G411" s="44" t="s">
        <v>57</v>
      </c>
      <c r="H411" s="26" t="s">
        <v>57</v>
      </c>
      <c r="I411" s="44" t="s">
        <v>90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42">
        <v>46196</v>
      </c>
      <c r="O411" s="26" t="s">
        <v>55</v>
      </c>
      <c r="P411" s="44" t="s">
        <v>57</v>
      </c>
      <c r="Q411" s="26" t="s">
        <v>57</v>
      </c>
      <c r="R411" s="44" t="s">
        <v>90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70">
        <v>46248</v>
      </c>
      <c r="X411" s="30" t="s">
        <v>55</v>
      </c>
      <c r="Y411" s="30" t="s">
        <v>57</v>
      </c>
      <c r="Z411" s="30" t="s">
        <v>57</v>
      </c>
      <c r="AA411" s="30" t="s">
        <v>90</v>
      </c>
      <c r="AB411" s="30" t="s">
        <v>57</v>
      </c>
      <c r="AC411" s="27"/>
      <c r="AD411" s="31" t="s">
        <v>56</v>
      </c>
      <c r="AE411" s="32" t="str">
        <f t="shared" si="32"/>
        <v>⚠ Missing</v>
      </c>
      <c r="AF411" s="33" t="s">
        <v>61</v>
      </c>
      <c r="AG411" s="33" t="s">
        <v>62</v>
      </c>
      <c r="AH411" s="33" t="s">
        <v>57</v>
      </c>
      <c r="AI411" s="33" t="s">
        <v>56</v>
      </c>
      <c r="AJ411" s="33" t="s">
        <v>60</v>
      </c>
      <c r="AK411" s="33" t="s">
        <v>57</v>
      </c>
      <c r="AL411" s="27"/>
      <c r="AM411" s="34" t="s">
        <v>57</v>
      </c>
      <c r="AN411" s="35" t="str">
        <f t="shared" si="33"/>
        <v>❌ Disc</v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5419</v>
      </c>
      <c r="C412" s="41" t="s">
        <v>5420</v>
      </c>
      <c r="D412" s="39" t="s">
        <v>5376</v>
      </c>
      <c r="E412" s="42">
        <v>46128</v>
      </c>
      <c r="F412" s="26" t="s">
        <v>55</v>
      </c>
      <c r="G412" s="44" t="s">
        <v>57</v>
      </c>
      <c r="H412" s="26" t="s">
        <v>57</v>
      </c>
      <c r="I412" s="44" t="s">
        <v>90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42">
        <v>46196</v>
      </c>
      <c r="O412" s="26" t="s">
        <v>55</v>
      </c>
      <c r="P412" s="44" t="s">
        <v>57</v>
      </c>
      <c r="Q412" s="26" t="s">
        <v>57</v>
      </c>
      <c r="R412" s="44" t="s">
        <v>90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70">
        <v>46248</v>
      </c>
      <c r="X412" s="30" t="s">
        <v>55</v>
      </c>
      <c r="Y412" s="30" t="s">
        <v>57</v>
      </c>
      <c r="Z412" s="30" t="s">
        <v>57</v>
      </c>
      <c r="AA412" s="30" t="s">
        <v>90</v>
      </c>
      <c r="AB412" s="30" t="s">
        <v>57</v>
      </c>
      <c r="AC412" s="27"/>
      <c r="AD412" s="31" t="s">
        <v>56</v>
      </c>
      <c r="AE412" s="32" t="str">
        <f t="shared" si="32"/>
        <v>⚠ Missing</v>
      </c>
      <c r="AF412" s="33" t="s">
        <v>61</v>
      </c>
      <c r="AG412" s="33" t="s">
        <v>62</v>
      </c>
      <c r="AH412" s="33" t="s">
        <v>57</v>
      </c>
      <c r="AI412" s="33" t="s">
        <v>56</v>
      </c>
      <c r="AJ412" s="33" t="s">
        <v>60</v>
      </c>
      <c r="AK412" s="33" t="s">
        <v>57</v>
      </c>
      <c r="AL412" s="27"/>
      <c r="AM412" s="34" t="s">
        <v>57</v>
      </c>
      <c r="AN412" s="35" t="str">
        <f t="shared" si="33"/>
        <v>❌ Disc</v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5421</v>
      </c>
      <c r="C413" s="25" t="s">
        <v>5422</v>
      </c>
      <c r="D413" s="23" t="s">
        <v>5376</v>
      </c>
      <c r="E413" s="42">
        <v>46128</v>
      </c>
      <c r="F413" s="26" t="s">
        <v>55</v>
      </c>
      <c r="G413" s="44" t="s">
        <v>57</v>
      </c>
      <c r="H413" s="26" t="s">
        <v>57</v>
      </c>
      <c r="I413" s="44" t="s">
        <v>90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42">
        <v>46196</v>
      </c>
      <c r="O413" s="26" t="s">
        <v>55</v>
      </c>
      <c r="P413" s="44" t="s">
        <v>57</v>
      </c>
      <c r="Q413" s="26" t="s">
        <v>57</v>
      </c>
      <c r="R413" s="44" t="s">
        <v>90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70">
        <v>46248</v>
      </c>
      <c r="X413" s="30" t="s">
        <v>55</v>
      </c>
      <c r="Y413" s="30" t="s">
        <v>57</v>
      </c>
      <c r="Z413" s="30" t="s">
        <v>57</v>
      </c>
      <c r="AA413" s="30" t="s">
        <v>90</v>
      </c>
      <c r="AB413" s="30" t="s">
        <v>57</v>
      </c>
      <c r="AC413" s="27"/>
      <c r="AD413" s="31" t="s">
        <v>56</v>
      </c>
      <c r="AE413" s="32" t="str">
        <f t="shared" si="32"/>
        <v>⚠ Missing</v>
      </c>
      <c r="AF413" s="33" t="s">
        <v>61</v>
      </c>
      <c r="AG413" s="33" t="s">
        <v>62</v>
      </c>
      <c r="AH413" s="33" t="s">
        <v>57</v>
      </c>
      <c r="AI413" s="33" t="s">
        <v>56</v>
      </c>
      <c r="AJ413" s="33" t="s">
        <v>60</v>
      </c>
      <c r="AK413" s="33" t="s">
        <v>57</v>
      </c>
      <c r="AL413" s="27"/>
      <c r="AM413" s="34" t="s">
        <v>57</v>
      </c>
      <c r="AN413" s="35" t="str">
        <f t="shared" si="33"/>
        <v>❌ Disc</v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5423</v>
      </c>
      <c r="C414" s="41" t="s">
        <v>5424</v>
      </c>
      <c r="D414" s="39" t="s">
        <v>5376</v>
      </c>
      <c r="E414" s="42">
        <v>46128</v>
      </c>
      <c r="F414" s="26" t="s">
        <v>55</v>
      </c>
      <c r="G414" s="44" t="s">
        <v>57</v>
      </c>
      <c r="H414" s="26" t="s">
        <v>57</v>
      </c>
      <c r="I414" s="44" t="s">
        <v>90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42">
        <v>46196</v>
      </c>
      <c r="O414" s="26" t="s">
        <v>55</v>
      </c>
      <c r="P414" s="44" t="s">
        <v>57</v>
      </c>
      <c r="Q414" s="26" t="s">
        <v>57</v>
      </c>
      <c r="R414" s="44" t="s">
        <v>90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70">
        <v>46248</v>
      </c>
      <c r="X414" s="30" t="s">
        <v>55</v>
      </c>
      <c r="Y414" s="30" t="s">
        <v>57</v>
      </c>
      <c r="Z414" s="30" t="s">
        <v>57</v>
      </c>
      <c r="AA414" s="30" t="s">
        <v>90</v>
      </c>
      <c r="AB414" s="30" t="s">
        <v>57</v>
      </c>
      <c r="AC414" s="27"/>
      <c r="AD414" s="31" t="s">
        <v>56</v>
      </c>
      <c r="AE414" s="32" t="str">
        <f t="shared" si="32"/>
        <v>⚠ Missing</v>
      </c>
      <c r="AF414" s="33" t="s">
        <v>61</v>
      </c>
      <c r="AG414" s="33" t="s">
        <v>62</v>
      </c>
      <c r="AH414" s="33" t="s">
        <v>57</v>
      </c>
      <c r="AI414" s="33" t="s">
        <v>56</v>
      </c>
      <c r="AJ414" s="33" t="s">
        <v>60</v>
      </c>
      <c r="AK414" s="33" t="s">
        <v>57</v>
      </c>
      <c r="AL414" s="27"/>
      <c r="AM414" s="34" t="s">
        <v>57</v>
      </c>
      <c r="AN414" s="35" t="str">
        <f t="shared" si="33"/>
        <v>❌ Disc</v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5425</v>
      </c>
      <c r="C415" s="25" t="s">
        <v>5426</v>
      </c>
      <c r="D415" s="23" t="s">
        <v>5376</v>
      </c>
      <c r="E415" s="42">
        <v>46128</v>
      </c>
      <c r="F415" s="26" t="s">
        <v>55</v>
      </c>
      <c r="G415" s="44" t="s">
        <v>57</v>
      </c>
      <c r="H415" s="26" t="s">
        <v>57</v>
      </c>
      <c r="I415" s="44" t="s">
        <v>90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42">
        <v>46196</v>
      </c>
      <c r="O415" s="26" t="s">
        <v>55</v>
      </c>
      <c r="P415" s="44" t="s">
        <v>57</v>
      </c>
      <c r="Q415" s="26" t="s">
        <v>57</v>
      </c>
      <c r="R415" s="44" t="s">
        <v>90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70">
        <v>46248</v>
      </c>
      <c r="X415" s="30" t="s">
        <v>55</v>
      </c>
      <c r="Y415" s="30" t="s">
        <v>57</v>
      </c>
      <c r="Z415" s="30" t="s">
        <v>57</v>
      </c>
      <c r="AA415" s="30" t="s">
        <v>90</v>
      </c>
      <c r="AB415" s="30" t="s">
        <v>57</v>
      </c>
      <c r="AC415" s="27"/>
      <c r="AD415" s="31" t="s">
        <v>56</v>
      </c>
      <c r="AE415" s="32" t="str">
        <f t="shared" si="32"/>
        <v>⚠ Missing</v>
      </c>
      <c r="AF415" s="33" t="s">
        <v>61</v>
      </c>
      <c r="AG415" s="33" t="s">
        <v>62</v>
      </c>
      <c r="AH415" s="33" t="s">
        <v>57</v>
      </c>
      <c r="AI415" s="33" t="s">
        <v>56</v>
      </c>
      <c r="AJ415" s="33" t="s">
        <v>60</v>
      </c>
      <c r="AK415" s="33" t="s">
        <v>57</v>
      </c>
      <c r="AL415" s="27"/>
      <c r="AM415" s="34" t="s">
        <v>57</v>
      </c>
      <c r="AN415" s="35" t="str">
        <f t="shared" si="33"/>
        <v>❌ Disc</v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5427</v>
      </c>
      <c r="C416" s="41" t="s">
        <v>5428</v>
      </c>
      <c r="D416" s="39" t="s">
        <v>5376</v>
      </c>
      <c r="E416" s="42">
        <v>46128</v>
      </c>
      <c r="F416" s="26" t="s">
        <v>55</v>
      </c>
      <c r="G416" s="44" t="s">
        <v>57</v>
      </c>
      <c r="H416" s="26" t="s">
        <v>57</v>
      </c>
      <c r="I416" s="44" t="s">
        <v>90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42">
        <v>46196</v>
      </c>
      <c r="O416" s="26" t="s">
        <v>55</v>
      </c>
      <c r="P416" s="44" t="s">
        <v>57</v>
      </c>
      <c r="Q416" s="26" t="s">
        <v>57</v>
      </c>
      <c r="R416" s="44" t="s">
        <v>90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70">
        <v>46248</v>
      </c>
      <c r="X416" s="30" t="s">
        <v>55</v>
      </c>
      <c r="Y416" s="30" t="s">
        <v>57</v>
      </c>
      <c r="Z416" s="30" t="s">
        <v>57</v>
      </c>
      <c r="AA416" s="30" t="s">
        <v>90</v>
      </c>
      <c r="AB416" s="30" t="s">
        <v>57</v>
      </c>
      <c r="AC416" s="27"/>
      <c r="AD416" s="31" t="s">
        <v>56</v>
      </c>
      <c r="AE416" s="32" t="str">
        <f t="shared" si="32"/>
        <v>⚠ Missing</v>
      </c>
      <c r="AF416" s="33" t="s">
        <v>61</v>
      </c>
      <c r="AG416" s="33" t="s">
        <v>62</v>
      </c>
      <c r="AH416" s="33" t="s">
        <v>57</v>
      </c>
      <c r="AI416" s="33" t="s">
        <v>56</v>
      </c>
      <c r="AJ416" s="33" t="s">
        <v>60</v>
      </c>
      <c r="AK416" s="33" t="s">
        <v>57</v>
      </c>
      <c r="AL416" s="27"/>
      <c r="AM416" s="34" t="s">
        <v>57</v>
      </c>
      <c r="AN416" s="35" t="str">
        <f t="shared" si="33"/>
        <v>❌ Disc</v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5429</v>
      </c>
      <c r="C417" s="25" t="s">
        <v>5430</v>
      </c>
      <c r="D417" s="23" t="s">
        <v>5376</v>
      </c>
      <c r="E417" s="42">
        <v>46128</v>
      </c>
      <c r="F417" s="26" t="s">
        <v>55</v>
      </c>
      <c r="G417" s="44" t="s">
        <v>57</v>
      </c>
      <c r="H417" s="26" t="s">
        <v>57</v>
      </c>
      <c r="I417" s="44" t="s">
        <v>90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42">
        <v>46196</v>
      </c>
      <c r="O417" s="26" t="s">
        <v>55</v>
      </c>
      <c r="P417" s="44" t="s">
        <v>57</v>
      </c>
      <c r="Q417" s="26" t="s">
        <v>57</v>
      </c>
      <c r="R417" s="44" t="s">
        <v>90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70">
        <v>46248</v>
      </c>
      <c r="X417" s="30" t="s">
        <v>55</v>
      </c>
      <c r="Y417" s="30" t="s">
        <v>57</v>
      </c>
      <c r="Z417" s="30" t="s">
        <v>57</v>
      </c>
      <c r="AA417" s="30" t="s">
        <v>90</v>
      </c>
      <c r="AB417" s="30" t="s">
        <v>57</v>
      </c>
      <c r="AC417" s="27"/>
      <c r="AD417" s="31" t="s">
        <v>56</v>
      </c>
      <c r="AE417" s="32" t="str">
        <f t="shared" si="32"/>
        <v>⚠ Missing</v>
      </c>
      <c r="AF417" s="33" t="s">
        <v>61</v>
      </c>
      <c r="AG417" s="33" t="s">
        <v>62</v>
      </c>
      <c r="AH417" s="33" t="s">
        <v>57</v>
      </c>
      <c r="AI417" s="33" t="s">
        <v>56</v>
      </c>
      <c r="AJ417" s="33" t="s">
        <v>60</v>
      </c>
      <c r="AK417" s="33" t="s">
        <v>57</v>
      </c>
      <c r="AL417" s="27"/>
      <c r="AM417" s="34" t="s">
        <v>57</v>
      </c>
      <c r="AN417" s="35" t="str">
        <f t="shared" si="33"/>
        <v>❌ Disc</v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5431</v>
      </c>
      <c r="C418" s="41" t="s">
        <v>5432</v>
      </c>
      <c r="D418" s="39" t="s">
        <v>5376</v>
      </c>
      <c r="E418" s="42">
        <v>46128</v>
      </c>
      <c r="F418" s="26" t="s">
        <v>55</v>
      </c>
      <c r="G418" s="44" t="s">
        <v>57</v>
      </c>
      <c r="H418" s="26" t="s">
        <v>57</v>
      </c>
      <c r="I418" s="44" t="s">
        <v>90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42">
        <v>46196</v>
      </c>
      <c r="O418" s="26" t="s">
        <v>55</v>
      </c>
      <c r="P418" s="44" t="s">
        <v>57</v>
      </c>
      <c r="Q418" s="26" t="s">
        <v>57</v>
      </c>
      <c r="R418" s="44" t="s">
        <v>90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70">
        <v>46248</v>
      </c>
      <c r="X418" s="30" t="s">
        <v>55</v>
      </c>
      <c r="Y418" s="30" t="s">
        <v>57</v>
      </c>
      <c r="Z418" s="30" t="s">
        <v>57</v>
      </c>
      <c r="AA418" s="30" t="s">
        <v>90</v>
      </c>
      <c r="AB418" s="30" t="s">
        <v>57</v>
      </c>
      <c r="AC418" s="27"/>
      <c r="AD418" s="31" t="s">
        <v>56</v>
      </c>
      <c r="AE418" s="32" t="str">
        <f t="shared" si="32"/>
        <v>⚠ Missing</v>
      </c>
      <c r="AF418" s="33" t="s">
        <v>61</v>
      </c>
      <c r="AG418" s="33" t="s">
        <v>62</v>
      </c>
      <c r="AH418" s="33" t="s">
        <v>57</v>
      </c>
      <c r="AI418" s="33" t="s">
        <v>56</v>
      </c>
      <c r="AJ418" s="33" t="s">
        <v>60</v>
      </c>
      <c r="AK418" s="33" t="s">
        <v>57</v>
      </c>
      <c r="AL418" s="27"/>
      <c r="AM418" s="34" t="s">
        <v>57</v>
      </c>
      <c r="AN418" s="35" t="str">
        <f t="shared" si="33"/>
        <v>❌ Disc</v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5433</v>
      </c>
      <c r="C419" s="25" t="s">
        <v>5434</v>
      </c>
      <c r="D419" s="23" t="s">
        <v>5376</v>
      </c>
      <c r="E419" s="42">
        <v>46128</v>
      </c>
      <c r="F419" s="26" t="s">
        <v>55</v>
      </c>
      <c r="G419" s="44" t="s">
        <v>57</v>
      </c>
      <c r="H419" s="26" t="s">
        <v>57</v>
      </c>
      <c r="I419" s="44" t="s">
        <v>90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42">
        <v>46196</v>
      </c>
      <c r="O419" s="26" t="s">
        <v>55</v>
      </c>
      <c r="P419" s="44" t="s">
        <v>57</v>
      </c>
      <c r="Q419" s="26" t="s">
        <v>57</v>
      </c>
      <c r="R419" s="44" t="s">
        <v>90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70">
        <v>46248</v>
      </c>
      <c r="X419" s="30" t="s">
        <v>55</v>
      </c>
      <c r="Y419" s="30" t="s">
        <v>57</v>
      </c>
      <c r="Z419" s="30" t="s">
        <v>57</v>
      </c>
      <c r="AA419" s="30" t="s">
        <v>90</v>
      </c>
      <c r="AB419" s="30" t="s">
        <v>57</v>
      </c>
      <c r="AC419" s="27"/>
      <c r="AD419" s="31" t="s">
        <v>56</v>
      </c>
      <c r="AE419" s="32" t="str">
        <f t="shared" si="32"/>
        <v>⚠ Missing</v>
      </c>
      <c r="AF419" s="33" t="s">
        <v>61</v>
      </c>
      <c r="AG419" s="33" t="s">
        <v>62</v>
      </c>
      <c r="AH419" s="33" t="s">
        <v>57</v>
      </c>
      <c r="AI419" s="33" t="s">
        <v>56</v>
      </c>
      <c r="AJ419" s="33" t="s">
        <v>60</v>
      </c>
      <c r="AK419" s="33" t="s">
        <v>57</v>
      </c>
      <c r="AL419" s="27"/>
      <c r="AM419" s="34" t="s">
        <v>57</v>
      </c>
      <c r="AN419" s="35" t="str">
        <f t="shared" si="33"/>
        <v>❌ Disc</v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5435</v>
      </c>
      <c r="C420" s="41" t="s">
        <v>5436</v>
      </c>
      <c r="D420" s="39" t="s">
        <v>5376</v>
      </c>
      <c r="E420" s="42">
        <v>46128</v>
      </c>
      <c r="F420" s="26" t="s">
        <v>55</v>
      </c>
      <c r="G420" s="44" t="s">
        <v>57</v>
      </c>
      <c r="H420" s="26" t="s">
        <v>57</v>
      </c>
      <c r="I420" s="44" t="s">
        <v>90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42">
        <v>46196</v>
      </c>
      <c r="O420" s="26" t="s">
        <v>55</v>
      </c>
      <c r="P420" s="44" t="s">
        <v>57</v>
      </c>
      <c r="Q420" s="26" t="s">
        <v>57</v>
      </c>
      <c r="R420" s="44" t="s">
        <v>90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70">
        <v>46248</v>
      </c>
      <c r="X420" s="30" t="s">
        <v>55</v>
      </c>
      <c r="Y420" s="30" t="s">
        <v>57</v>
      </c>
      <c r="Z420" s="30" t="s">
        <v>57</v>
      </c>
      <c r="AA420" s="30" t="s">
        <v>90</v>
      </c>
      <c r="AB420" s="30" t="s">
        <v>57</v>
      </c>
      <c r="AC420" s="27"/>
      <c r="AD420" s="31" t="s">
        <v>56</v>
      </c>
      <c r="AE420" s="32" t="str">
        <f t="shared" si="32"/>
        <v>⚠ Missing</v>
      </c>
      <c r="AF420" s="33" t="s">
        <v>61</v>
      </c>
      <c r="AG420" s="33" t="s">
        <v>62</v>
      </c>
      <c r="AH420" s="33" t="s">
        <v>57</v>
      </c>
      <c r="AI420" s="33" t="s">
        <v>56</v>
      </c>
      <c r="AJ420" s="33" t="s">
        <v>60</v>
      </c>
      <c r="AK420" s="33" t="s">
        <v>57</v>
      </c>
      <c r="AL420" s="27"/>
      <c r="AM420" s="34" t="s">
        <v>57</v>
      </c>
      <c r="AN420" s="35" t="str">
        <f t="shared" si="33"/>
        <v>❌ Disc</v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5437</v>
      </c>
      <c r="C421" s="25" t="s">
        <v>5438</v>
      </c>
      <c r="D421" s="23" t="s">
        <v>748</v>
      </c>
      <c r="E421" s="42">
        <v>46128</v>
      </c>
      <c r="F421" s="26" t="s">
        <v>55</v>
      </c>
      <c r="G421" s="44" t="s">
        <v>56</v>
      </c>
      <c r="H421" s="26" t="s">
        <v>57</v>
      </c>
      <c r="I421" s="44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42">
        <v>46196</v>
      </c>
      <c r="O421" s="26" t="s">
        <v>55</v>
      </c>
      <c r="P421" s="44" t="s">
        <v>56</v>
      </c>
      <c r="Q421" s="26" t="s">
        <v>57</v>
      </c>
      <c r="R421" s="44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70">
        <v>46248</v>
      </c>
      <c r="X421" s="30" t="s">
        <v>55</v>
      </c>
      <c r="Y421" s="30" t="s">
        <v>56</v>
      </c>
      <c r="Z421" s="30" t="s">
        <v>57</v>
      </c>
      <c r="AA421" s="30" t="s">
        <v>58</v>
      </c>
      <c r="AB421" s="30" t="s">
        <v>56</v>
      </c>
      <c r="AC421" s="27"/>
      <c r="AD421" s="31" t="s">
        <v>57</v>
      </c>
      <c r="AE421" s="32" t="str">
        <f t="shared" si="32"/>
        <v>✓ OK</v>
      </c>
      <c r="AF421" s="33" t="s">
        <v>61</v>
      </c>
      <c r="AG421" s="33" t="s">
        <v>55</v>
      </c>
      <c r="AH421" s="33" t="s">
        <v>56</v>
      </c>
      <c r="AI421" s="33" t="s">
        <v>57</v>
      </c>
      <c r="AJ421" s="33" t="s">
        <v>58</v>
      </c>
      <c r="AK421" s="33" t="s">
        <v>56</v>
      </c>
      <c r="AL421" s="27"/>
      <c r="AM421" s="34" t="s">
        <v>57</v>
      </c>
      <c r="AN421" s="35" t="str">
        <f t="shared" si="33"/>
        <v>✓ OK</v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5439</v>
      </c>
      <c r="C422" s="41" t="s">
        <v>5440</v>
      </c>
      <c r="D422" s="39" t="s">
        <v>748</v>
      </c>
      <c r="E422" s="42">
        <v>46128</v>
      </c>
      <c r="F422" s="26" t="s">
        <v>55</v>
      </c>
      <c r="G422" s="44" t="s">
        <v>56</v>
      </c>
      <c r="H422" s="26" t="s">
        <v>57</v>
      </c>
      <c r="I422" s="44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42">
        <v>46196</v>
      </c>
      <c r="O422" s="26" t="s">
        <v>55</v>
      </c>
      <c r="P422" s="44" t="s">
        <v>56</v>
      </c>
      <c r="Q422" s="26" t="s">
        <v>57</v>
      </c>
      <c r="R422" s="44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70">
        <v>46248</v>
      </c>
      <c r="X422" s="30" t="s">
        <v>55</v>
      </c>
      <c r="Y422" s="30" t="s">
        <v>57</v>
      </c>
      <c r="Z422" s="30" t="s">
        <v>56</v>
      </c>
      <c r="AA422" s="30" t="s">
        <v>60</v>
      </c>
      <c r="AB422" s="30" t="s">
        <v>57</v>
      </c>
      <c r="AC422" s="27"/>
      <c r="AD422" s="31" t="s">
        <v>57</v>
      </c>
      <c r="AE422" s="32" t="str">
        <f t="shared" si="32"/>
        <v>❌ Disc</v>
      </c>
      <c r="AF422" s="33" t="s">
        <v>61</v>
      </c>
      <c r="AG422" s="33" t="s">
        <v>62</v>
      </c>
      <c r="AH422" s="33" t="s">
        <v>57</v>
      </c>
      <c r="AI422" s="33" t="s">
        <v>56</v>
      </c>
      <c r="AJ422" s="33" t="s">
        <v>60</v>
      </c>
      <c r="AK422" s="33" t="s">
        <v>57</v>
      </c>
      <c r="AL422" s="27"/>
      <c r="AM422" s="34" t="s">
        <v>57</v>
      </c>
      <c r="AN422" s="35" t="str">
        <f t="shared" si="33"/>
        <v>❌ Disc</v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5441</v>
      </c>
      <c r="C423" s="25" t="s">
        <v>5442</v>
      </c>
      <c r="D423" s="23" t="s">
        <v>748</v>
      </c>
      <c r="E423" s="42">
        <v>46128</v>
      </c>
      <c r="F423" s="26" t="s">
        <v>55</v>
      </c>
      <c r="G423" s="44" t="s">
        <v>56</v>
      </c>
      <c r="H423" s="26" t="s">
        <v>57</v>
      </c>
      <c r="I423" s="44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42">
        <v>46196</v>
      </c>
      <c r="O423" s="26" t="s">
        <v>55</v>
      </c>
      <c r="P423" s="44" t="s">
        <v>56</v>
      </c>
      <c r="Q423" s="26" t="s">
        <v>57</v>
      </c>
      <c r="R423" s="44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70">
        <v>46248</v>
      </c>
      <c r="X423" s="30" t="s">
        <v>55</v>
      </c>
      <c r="Y423" s="30" t="s">
        <v>56</v>
      </c>
      <c r="Z423" s="30" t="s">
        <v>57</v>
      </c>
      <c r="AA423" s="30" t="s">
        <v>58</v>
      </c>
      <c r="AB423" s="30" t="s">
        <v>56</v>
      </c>
      <c r="AC423" s="27"/>
      <c r="AD423" s="31" t="s">
        <v>57</v>
      </c>
      <c r="AE423" s="32" t="str">
        <f t="shared" si="32"/>
        <v>✓ OK</v>
      </c>
      <c r="AF423" s="33" t="s">
        <v>61</v>
      </c>
      <c r="AG423" s="33" t="s">
        <v>55</v>
      </c>
      <c r="AH423" s="33" t="s">
        <v>56</v>
      </c>
      <c r="AI423" s="33" t="s">
        <v>57</v>
      </c>
      <c r="AJ423" s="33" t="s">
        <v>58</v>
      </c>
      <c r="AK423" s="33" t="s">
        <v>56</v>
      </c>
      <c r="AL423" s="27"/>
      <c r="AM423" s="34" t="s">
        <v>57</v>
      </c>
      <c r="AN423" s="35" t="str">
        <f t="shared" si="33"/>
        <v>✓ OK</v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5443</v>
      </c>
      <c r="C424" s="41" t="s">
        <v>5444</v>
      </c>
      <c r="D424" s="39" t="s">
        <v>748</v>
      </c>
      <c r="E424" s="42">
        <v>46128</v>
      </c>
      <c r="F424" s="26" t="s">
        <v>55</v>
      </c>
      <c r="G424" s="44" t="s">
        <v>56</v>
      </c>
      <c r="H424" s="26" t="s">
        <v>57</v>
      </c>
      <c r="I424" s="44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42">
        <v>46196</v>
      </c>
      <c r="O424" s="26" t="s">
        <v>55</v>
      </c>
      <c r="P424" s="44" t="s">
        <v>56</v>
      </c>
      <c r="Q424" s="26" t="s">
        <v>57</v>
      </c>
      <c r="R424" s="44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70">
        <v>46248</v>
      </c>
      <c r="X424" s="30" t="s">
        <v>55</v>
      </c>
      <c r="Y424" s="30" t="s">
        <v>56</v>
      </c>
      <c r="Z424" s="30" t="s">
        <v>57</v>
      </c>
      <c r="AA424" s="30" t="s">
        <v>58</v>
      </c>
      <c r="AB424" s="30" t="s">
        <v>56</v>
      </c>
      <c r="AC424" s="27"/>
      <c r="AD424" s="31" t="s">
        <v>57</v>
      </c>
      <c r="AE424" s="32" t="str">
        <f t="shared" si="32"/>
        <v>✓ OK</v>
      </c>
      <c r="AF424" s="33" t="s">
        <v>61</v>
      </c>
      <c r="AG424" s="33" t="s">
        <v>55</v>
      </c>
      <c r="AH424" s="33" t="s">
        <v>56</v>
      </c>
      <c r="AI424" s="33" t="s">
        <v>57</v>
      </c>
      <c r="AJ424" s="33" t="s">
        <v>58</v>
      </c>
      <c r="AK424" s="33" t="s">
        <v>56</v>
      </c>
      <c r="AL424" s="27"/>
      <c r="AM424" s="34" t="s">
        <v>57</v>
      </c>
      <c r="AN424" s="35" t="str">
        <f t="shared" si="33"/>
        <v>✓ OK</v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5445</v>
      </c>
      <c r="C425" s="25" t="s">
        <v>5446</v>
      </c>
      <c r="D425" s="23" t="s">
        <v>748</v>
      </c>
      <c r="E425" s="42">
        <v>46128</v>
      </c>
      <c r="F425" s="26" t="s">
        <v>55</v>
      </c>
      <c r="G425" s="44" t="s">
        <v>833</v>
      </c>
      <c r="H425" s="26" t="s">
        <v>57</v>
      </c>
      <c r="I425" s="44" t="s">
        <v>833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42">
        <v>46196</v>
      </c>
      <c r="O425" s="26" t="s">
        <v>55</v>
      </c>
      <c r="P425" s="44" t="s">
        <v>833</v>
      </c>
      <c r="Q425" s="26" t="s">
        <v>57</v>
      </c>
      <c r="R425" s="44" t="s">
        <v>833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70">
        <v>46248</v>
      </c>
      <c r="X425" s="30" t="s">
        <v>55</v>
      </c>
      <c r="Y425" s="30" t="s">
        <v>833</v>
      </c>
      <c r="Z425" s="30" t="s">
        <v>57</v>
      </c>
      <c r="AA425" s="30" t="s">
        <v>833</v>
      </c>
      <c r="AB425" s="30" t="s">
        <v>56</v>
      </c>
      <c r="AC425" s="27"/>
      <c r="AD425" s="31" t="s">
        <v>57</v>
      </c>
      <c r="AE425" s="32" t="str">
        <f t="shared" si="32"/>
        <v>✓ OK</v>
      </c>
      <c r="AF425" s="33" t="s">
        <v>61</v>
      </c>
      <c r="AG425" s="33" t="s">
        <v>55</v>
      </c>
      <c r="AH425" s="33" t="s">
        <v>833</v>
      </c>
      <c r="AI425" s="33" t="s">
        <v>57</v>
      </c>
      <c r="AJ425" s="33" t="s">
        <v>833</v>
      </c>
      <c r="AK425" s="33" t="s">
        <v>56</v>
      </c>
      <c r="AL425" s="27"/>
      <c r="AM425" s="34" t="s">
        <v>57</v>
      </c>
      <c r="AN425" s="35" t="str">
        <f t="shared" si="33"/>
        <v>✓ OK</v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5447</v>
      </c>
      <c r="C426" s="41" t="s">
        <v>5448</v>
      </c>
      <c r="D426" s="39" t="s">
        <v>748</v>
      </c>
      <c r="E426" s="42">
        <v>46128</v>
      </c>
      <c r="F426" s="26" t="s">
        <v>55</v>
      </c>
      <c r="G426" s="44" t="s">
        <v>833</v>
      </c>
      <c r="H426" s="26" t="s">
        <v>57</v>
      </c>
      <c r="I426" s="44" t="s">
        <v>833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42">
        <v>46196</v>
      </c>
      <c r="O426" s="26" t="s">
        <v>55</v>
      </c>
      <c r="P426" s="44" t="s">
        <v>833</v>
      </c>
      <c r="Q426" s="26" t="s">
        <v>57</v>
      </c>
      <c r="R426" s="44" t="s">
        <v>833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70">
        <v>46248</v>
      </c>
      <c r="X426" s="30" t="s">
        <v>55</v>
      </c>
      <c r="Y426" s="30" t="s">
        <v>833</v>
      </c>
      <c r="Z426" s="30" t="s">
        <v>57</v>
      </c>
      <c r="AA426" s="30" t="s">
        <v>833</v>
      </c>
      <c r="AB426" s="30" t="s">
        <v>56</v>
      </c>
      <c r="AC426" s="27"/>
      <c r="AD426" s="31" t="s">
        <v>57</v>
      </c>
      <c r="AE426" s="32" t="str">
        <f t="shared" si="32"/>
        <v>✓ OK</v>
      </c>
      <c r="AF426" s="33" t="s">
        <v>61</v>
      </c>
      <c r="AG426" s="33" t="s">
        <v>55</v>
      </c>
      <c r="AH426" s="33" t="s">
        <v>833</v>
      </c>
      <c r="AI426" s="33" t="s">
        <v>57</v>
      </c>
      <c r="AJ426" s="33" t="s">
        <v>833</v>
      </c>
      <c r="AK426" s="33" t="s">
        <v>56</v>
      </c>
      <c r="AL426" s="27"/>
      <c r="AM426" s="34" t="s">
        <v>57</v>
      </c>
      <c r="AN426" s="35" t="str">
        <f t="shared" si="33"/>
        <v>✓ OK</v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5449</v>
      </c>
      <c r="C427" s="25" t="s">
        <v>5450</v>
      </c>
      <c r="D427" s="23" t="s">
        <v>748</v>
      </c>
      <c r="E427" s="42">
        <v>46128</v>
      </c>
      <c r="F427" s="26" t="s">
        <v>55</v>
      </c>
      <c r="G427" s="44" t="s">
        <v>833</v>
      </c>
      <c r="H427" s="26" t="s">
        <v>57</v>
      </c>
      <c r="I427" s="44" t="s">
        <v>833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42">
        <v>46196</v>
      </c>
      <c r="O427" s="26" t="s">
        <v>55</v>
      </c>
      <c r="P427" s="44" t="s">
        <v>833</v>
      </c>
      <c r="Q427" s="26" t="s">
        <v>57</v>
      </c>
      <c r="R427" s="44" t="s">
        <v>833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70">
        <v>46248</v>
      </c>
      <c r="X427" s="30" t="s">
        <v>55</v>
      </c>
      <c r="Y427" s="30" t="s">
        <v>833</v>
      </c>
      <c r="Z427" s="30" t="s">
        <v>57</v>
      </c>
      <c r="AA427" s="30" t="s">
        <v>833</v>
      </c>
      <c r="AB427" s="30" t="s">
        <v>56</v>
      </c>
      <c r="AC427" s="27"/>
      <c r="AD427" s="31" t="s">
        <v>57</v>
      </c>
      <c r="AE427" s="32" t="str">
        <f t="shared" si="32"/>
        <v>✓ OK</v>
      </c>
      <c r="AF427" s="33" t="s">
        <v>61</v>
      </c>
      <c r="AG427" s="33" t="s">
        <v>55</v>
      </c>
      <c r="AH427" s="33" t="s">
        <v>833</v>
      </c>
      <c r="AI427" s="33" t="s">
        <v>57</v>
      </c>
      <c r="AJ427" s="33" t="s">
        <v>833</v>
      </c>
      <c r="AK427" s="33" t="s">
        <v>56</v>
      </c>
      <c r="AL427" s="27"/>
      <c r="AM427" s="34" t="s">
        <v>57</v>
      </c>
      <c r="AN427" s="35" t="str">
        <f t="shared" si="33"/>
        <v>✓ OK</v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5451</v>
      </c>
      <c r="C428" s="41" t="s">
        <v>5452</v>
      </c>
      <c r="D428" s="39" t="s">
        <v>748</v>
      </c>
      <c r="E428" s="42">
        <v>46128</v>
      </c>
      <c r="F428" s="26" t="s">
        <v>55</v>
      </c>
      <c r="G428" s="44" t="s">
        <v>833</v>
      </c>
      <c r="H428" s="26" t="s">
        <v>57</v>
      </c>
      <c r="I428" s="44" t="s">
        <v>833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42">
        <v>46196</v>
      </c>
      <c r="O428" s="26" t="s">
        <v>55</v>
      </c>
      <c r="P428" s="44" t="s">
        <v>833</v>
      </c>
      <c r="Q428" s="26" t="s">
        <v>57</v>
      </c>
      <c r="R428" s="44" t="s">
        <v>833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70">
        <v>46248</v>
      </c>
      <c r="X428" s="30" t="s">
        <v>55</v>
      </c>
      <c r="Y428" s="30" t="s">
        <v>833</v>
      </c>
      <c r="Z428" s="30" t="s">
        <v>57</v>
      </c>
      <c r="AA428" s="30" t="s">
        <v>833</v>
      </c>
      <c r="AB428" s="30" t="s">
        <v>56</v>
      </c>
      <c r="AC428" s="27"/>
      <c r="AD428" s="31" t="s">
        <v>57</v>
      </c>
      <c r="AE428" s="32" t="str">
        <f t="shared" si="32"/>
        <v>✓ OK</v>
      </c>
      <c r="AF428" s="33" t="s">
        <v>61</v>
      </c>
      <c r="AG428" s="33" t="s">
        <v>55</v>
      </c>
      <c r="AH428" s="33" t="s">
        <v>833</v>
      </c>
      <c r="AI428" s="33" t="s">
        <v>57</v>
      </c>
      <c r="AJ428" s="33" t="s">
        <v>833</v>
      </c>
      <c r="AK428" s="33" t="s">
        <v>56</v>
      </c>
      <c r="AL428" s="27"/>
      <c r="AM428" s="34" t="s">
        <v>57</v>
      </c>
      <c r="AN428" s="35" t="str">
        <f t="shared" si="33"/>
        <v>✓ OK</v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5453</v>
      </c>
      <c r="C429" s="25" t="s">
        <v>5454</v>
      </c>
      <c r="D429" s="23" t="s">
        <v>748</v>
      </c>
      <c r="E429" s="42">
        <v>46128</v>
      </c>
      <c r="F429" s="26" t="s">
        <v>55</v>
      </c>
      <c r="G429" s="44" t="s">
        <v>833</v>
      </c>
      <c r="H429" s="26" t="s">
        <v>57</v>
      </c>
      <c r="I429" s="44" t="s">
        <v>833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42">
        <v>46196</v>
      </c>
      <c r="O429" s="26" t="s">
        <v>55</v>
      </c>
      <c r="P429" s="44" t="s">
        <v>833</v>
      </c>
      <c r="Q429" s="26" t="s">
        <v>57</v>
      </c>
      <c r="R429" s="44" t="s">
        <v>833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70">
        <v>46248</v>
      </c>
      <c r="X429" s="30" t="s">
        <v>55</v>
      </c>
      <c r="Y429" s="30" t="s">
        <v>833</v>
      </c>
      <c r="Z429" s="30" t="s">
        <v>57</v>
      </c>
      <c r="AA429" s="30" t="s">
        <v>833</v>
      </c>
      <c r="AB429" s="30" t="s">
        <v>56</v>
      </c>
      <c r="AC429" s="27"/>
      <c r="AD429" s="31" t="s">
        <v>57</v>
      </c>
      <c r="AE429" s="32" t="str">
        <f t="shared" si="32"/>
        <v>✓ OK</v>
      </c>
      <c r="AF429" s="33" t="s">
        <v>61</v>
      </c>
      <c r="AG429" s="33" t="s">
        <v>55</v>
      </c>
      <c r="AH429" s="33" t="s">
        <v>833</v>
      </c>
      <c r="AI429" s="33" t="s">
        <v>57</v>
      </c>
      <c r="AJ429" s="33" t="s">
        <v>833</v>
      </c>
      <c r="AK429" s="33" t="s">
        <v>56</v>
      </c>
      <c r="AL429" s="27"/>
      <c r="AM429" s="34" t="s">
        <v>57</v>
      </c>
      <c r="AN429" s="35" t="str">
        <f t="shared" si="33"/>
        <v>✓ OK</v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5455</v>
      </c>
      <c r="C430" s="41" t="s">
        <v>5456</v>
      </c>
      <c r="D430" s="39" t="s">
        <v>748</v>
      </c>
      <c r="E430" s="42">
        <v>46128</v>
      </c>
      <c r="F430" s="26" t="s">
        <v>55</v>
      </c>
      <c r="G430" s="44" t="s">
        <v>56</v>
      </c>
      <c r="H430" s="26" t="s">
        <v>57</v>
      </c>
      <c r="I430" s="44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42">
        <v>46196</v>
      </c>
      <c r="O430" s="26" t="s">
        <v>55</v>
      </c>
      <c r="P430" s="44" t="s">
        <v>56</v>
      </c>
      <c r="Q430" s="26" t="s">
        <v>57</v>
      </c>
      <c r="R430" s="44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70">
        <v>46248</v>
      </c>
      <c r="X430" s="30" t="s">
        <v>55</v>
      </c>
      <c r="Y430" s="30" t="s">
        <v>56</v>
      </c>
      <c r="Z430" s="30" t="s">
        <v>57</v>
      </c>
      <c r="AA430" s="30" t="s">
        <v>58</v>
      </c>
      <c r="AB430" s="30" t="s">
        <v>56</v>
      </c>
      <c r="AC430" s="27"/>
      <c r="AD430" s="31" t="s">
        <v>57</v>
      </c>
      <c r="AE430" s="32" t="str">
        <f t="shared" si="32"/>
        <v>✓ OK</v>
      </c>
      <c r="AF430" s="33" t="s">
        <v>61</v>
      </c>
      <c r="AG430" s="33" t="s">
        <v>55</v>
      </c>
      <c r="AH430" s="33" t="s">
        <v>56</v>
      </c>
      <c r="AI430" s="33" t="s">
        <v>57</v>
      </c>
      <c r="AJ430" s="33" t="s">
        <v>58</v>
      </c>
      <c r="AK430" s="33" t="s">
        <v>56</v>
      </c>
      <c r="AL430" s="27"/>
      <c r="AM430" s="34" t="s">
        <v>57</v>
      </c>
      <c r="AN430" s="35" t="str">
        <f t="shared" si="33"/>
        <v>✓ OK</v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5457</v>
      </c>
      <c r="C431" s="25" t="s">
        <v>5458</v>
      </c>
      <c r="D431" s="23" t="s">
        <v>748</v>
      </c>
      <c r="E431" s="42">
        <v>46128</v>
      </c>
      <c r="F431" s="26" t="s">
        <v>55</v>
      </c>
      <c r="G431" s="44" t="s">
        <v>833</v>
      </c>
      <c r="H431" s="26" t="s">
        <v>57</v>
      </c>
      <c r="I431" s="44" t="s">
        <v>833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42">
        <v>46196</v>
      </c>
      <c r="O431" s="26" t="s">
        <v>55</v>
      </c>
      <c r="P431" s="44" t="s">
        <v>833</v>
      </c>
      <c r="Q431" s="26" t="s">
        <v>57</v>
      </c>
      <c r="R431" s="44" t="s">
        <v>833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70">
        <v>46248</v>
      </c>
      <c r="X431" s="30" t="s">
        <v>55</v>
      </c>
      <c r="Y431" s="30" t="s">
        <v>833</v>
      </c>
      <c r="Z431" s="30" t="s">
        <v>57</v>
      </c>
      <c r="AA431" s="30" t="s">
        <v>833</v>
      </c>
      <c r="AB431" s="30" t="s">
        <v>56</v>
      </c>
      <c r="AC431" s="27"/>
      <c r="AD431" s="31" t="s">
        <v>57</v>
      </c>
      <c r="AE431" s="32" t="str">
        <f t="shared" si="32"/>
        <v>✓ OK</v>
      </c>
      <c r="AF431" s="33" t="s">
        <v>61</v>
      </c>
      <c r="AG431" s="33" t="s">
        <v>55</v>
      </c>
      <c r="AH431" s="33" t="s">
        <v>833</v>
      </c>
      <c r="AI431" s="33" t="s">
        <v>57</v>
      </c>
      <c r="AJ431" s="33" t="s">
        <v>833</v>
      </c>
      <c r="AK431" s="33" t="s">
        <v>56</v>
      </c>
      <c r="AL431" s="27"/>
      <c r="AM431" s="34" t="s">
        <v>57</v>
      </c>
      <c r="AN431" s="35" t="str">
        <f t="shared" si="33"/>
        <v>✓ OK</v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5459</v>
      </c>
      <c r="C432" s="41" t="s">
        <v>5460</v>
      </c>
      <c r="D432" s="39" t="s">
        <v>748</v>
      </c>
      <c r="E432" s="42">
        <v>46128</v>
      </c>
      <c r="F432" s="26" t="s">
        <v>55</v>
      </c>
      <c r="G432" s="44" t="s">
        <v>833</v>
      </c>
      <c r="H432" s="26" t="s">
        <v>57</v>
      </c>
      <c r="I432" s="44" t="s">
        <v>833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42">
        <v>46196</v>
      </c>
      <c r="O432" s="26" t="s">
        <v>55</v>
      </c>
      <c r="P432" s="44" t="s">
        <v>833</v>
      </c>
      <c r="Q432" s="26" t="s">
        <v>57</v>
      </c>
      <c r="R432" s="44" t="s">
        <v>833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70">
        <v>46248</v>
      </c>
      <c r="X432" s="30" t="s">
        <v>55</v>
      </c>
      <c r="Y432" s="30" t="s">
        <v>833</v>
      </c>
      <c r="Z432" s="30" t="s">
        <v>57</v>
      </c>
      <c r="AA432" s="30" t="s">
        <v>833</v>
      </c>
      <c r="AB432" s="30" t="s">
        <v>56</v>
      </c>
      <c r="AC432" s="27"/>
      <c r="AD432" s="31" t="s">
        <v>57</v>
      </c>
      <c r="AE432" s="32" t="str">
        <f t="shared" si="32"/>
        <v>✓ OK</v>
      </c>
      <c r="AF432" s="33" t="s">
        <v>61</v>
      </c>
      <c r="AG432" s="33" t="s">
        <v>55</v>
      </c>
      <c r="AH432" s="33" t="s">
        <v>833</v>
      </c>
      <c r="AI432" s="33" t="s">
        <v>57</v>
      </c>
      <c r="AJ432" s="33" t="s">
        <v>833</v>
      </c>
      <c r="AK432" s="33" t="s">
        <v>56</v>
      </c>
      <c r="AL432" s="27"/>
      <c r="AM432" s="34" t="s">
        <v>57</v>
      </c>
      <c r="AN432" s="35" t="str">
        <f t="shared" si="33"/>
        <v>✓ OK</v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5461</v>
      </c>
      <c r="C433" s="25" t="s">
        <v>5462</v>
      </c>
      <c r="D433" s="23" t="s">
        <v>748</v>
      </c>
      <c r="E433" s="42">
        <v>46128</v>
      </c>
      <c r="F433" s="26" t="s">
        <v>55</v>
      </c>
      <c r="G433" s="44" t="s">
        <v>833</v>
      </c>
      <c r="H433" s="26" t="s">
        <v>57</v>
      </c>
      <c r="I433" s="44" t="s">
        <v>833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42">
        <v>46196</v>
      </c>
      <c r="O433" s="26" t="s">
        <v>55</v>
      </c>
      <c r="P433" s="44" t="s">
        <v>833</v>
      </c>
      <c r="Q433" s="26" t="s">
        <v>57</v>
      </c>
      <c r="R433" s="44" t="s">
        <v>833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70">
        <v>46248</v>
      </c>
      <c r="X433" s="30" t="s">
        <v>55</v>
      </c>
      <c r="Y433" s="30" t="s">
        <v>833</v>
      </c>
      <c r="Z433" s="30" t="s">
        <v>57</v>
      </c>
      <c r="AA433" s="30" t="s">
        <v>833</v>
      </c>
      <c r="AB433" s="30" t="s">
        <v>56</v>
      </c>
      <c r="AC433" s="27"/>
      <c r="AD433" s="31" t="s">
        <v>57</v>
      </c>
      <c r="AE433" s="32" t="str">
        <f t="shared" si="32"/>
        <v>✓ OK</v>
      </c>
      <c r="AF433" s="33" t="s">
        <v>61</v>
      </c>
      <c r="AG433" s="33" t="s">
        <v>55</v>
      </c>
      <c r="AH433" s="33" t="s">
        <v>833</v>
      </c>
      <c r="AI433" s="33" t="s">
        <v>57</v>
      </c>
      <c r="AJ433" s="33" t="s">
        <v>833</v>
      </c>
      <c r="AK433" s="33" t="s">
        <v>56</v>
      </c>
      <c r="AL433" s="27"/>
      <c r="AM433" s="34" t="s">
        <v>57</v>
      </c>
      <c r="AN433" s="35" t="str">
        <f t="shared" si="33"/>
        <v>✓ OK</v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5463</v>
      </c>
      <c r="C434" s="41" t="s">
        <v>5464</v>
      </c>
      <c r="D434" s="39" t="s">
        <v>748</v>
      </c>
      <c r="E434" s="42">
        <v>46128</v>
      </c>
      <c r="F434" s="26" t="s">
        <v>55</v>
      </c>
      <c r="G434" s="44" t="s">
        <v>833</v>
      </c>
      <c r="H434" s="26" t="s">
        <v>57</v>
      </c>
      <c r="I434" s="44" t="s">
        <v>833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42">
        <v>46196</v>
      </c>
      <c r="O434" s="26" t="s">
        <v>55</v>
      </c>
      <c r="P434" s="44" t="s">
        <v>833</v>
      </c>
      <c r="Q434" s="26" t="s">
        <v>57</v>
      </c>
      <c r="R434" s="44" t="s">
        <v>833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70">
        <v>46248</v>
      </c>
      <c r="X434" s="30" t="s">
        <v>55</v>
      </c>
      <c r="Y434" s="30" t="s">
        <v>833</v>
      </c>
      <c r="Z434" s="30" t="s">
        <v>57</v>
      </c>
      <c r="AA434" s="30" t="s">
        <v>833</v>
      </c>
      <c r="AB434" s="30" t="s">
        <v>56</v>
      </c>
      <c r="AC434" s="27"/>
      <c r="AD434" s="31" t="s">
        <v>57</v>
      </c>
      <c r="AE434" s="32" t="str">
        <f t="shared" si="32"/>
        <v>✓ OK</v>
      </c>
      <c r="AF434" s="33" t="s">
        <v>61</v>
      </c>
      <c r="AG434" s="33" t="s">
        <v>55</v>
      </c>
      <c r="AH434" s="33" t="s">
        <v>833</v>
      </c>
      <c r="AI434" s="33" t="s">
        <v>57</v>
      </c>
      <c r="AJ434" s="33" t="s">
        <v>833</v>
      </c>
      <c r="AK434" s="33" t="s">
        <v>56</v>
      </c>
      <c r="AL434" s="27"/>
      <c r="AM434" s="34" t="s">
        <v>57</v>
      </c>
      <c r="AN434" s="35" t="str">
        <f t="shared" si="33"/>
        <v>✓ OK</v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5465</v>
      </c>
      <c r="C435" s="25" t="s">
        <v>5466</v>
      </c>
      <c r="D435" s="23" t="s">
        <v>748</v>
      </c>
      <c r="E435" s="42">
        <v>46128</v>
      </c>
      <c r="F435" s="26" t="s">
        <v>55</v>
      </c>
      <c r="G435" s="44" t="s">
        <v>833</v>
      </c>
      <c r="H435" s="26" t="s">
        <v>57</v>
      </c>
      <c r="I435" s="44" t="s">
        <v>833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42">
        <v>46196</v>
      </c>
      <c r="O435" s="26" t="s">
        <v>55</v>
      </c>
      <c r="P435" s="44" t="s">
        <v>833</v>
      </c>
      <c r="Q435" s="26" t="s">
        <v>57</v>
      </c>
      <c r="R435" s="44" t="s">
        <v>833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70">
        <v>46248</v>
      </c>
      <c r="X435" s="30" t="s">
        <v>55</v>
      </c>
      <c r="Y435" s="30" t="s">
        <v>833</v>
      </c>
      <c r="Z435" s="30" t="s">
        <v>57</v>
      </c>
      <c r="AA435" s="30" t="s">
        <v>833</v>
      </c>
      <c r="AB435" s="30" t="s">
        <v>56</v>
      </c>
      <c r="AC435" s="27"/>
      <c r="AD435" s="31" t="s">
        <v>57</v>
      </c>
      <c r="AE435" s="32" t="str">
        <f t="shared" si="32"/>
        <v>✓ OK</v>
      </c>
      <c r="AF435" s="33" t="s">
        <v>61</v>
      </c>
      <c r="AG435" s="33" t="s">
        <v>55</v>
      </c>
      <c r="AH435" s="33" t="s">
        <v>833</v>
      </c>
      <c r="AI435" s="33" t="s">
        <v>57</v>
      </c>
      <c r="AJ435" s="33" t="s">
        <v>833</v>
      </c>
      <c r="AK435" s="33" t="s">
        <v>56</v>
      </c>
      <c r="AL435" s="27"/>
      <c r="AM435" s="34" t="s">
        <v>57</v>
      </c>
      <c r="AN435" s="35" t="str">
        <f t="shared" si="33"/>
        <v>✓ OK</v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5467</v>
      </c>
      <c r="C436" s="41" t="s">
        <v>5468</v>
      </c>
      <c r="D436" s="39" t="s">
        <v>748</v>
      </c>
      <c r="E436" s="42">
        <v>46128</v>
      </c>
      <c r="F436" s="26" t="s">
        <v>55</v>
      </c>
      <c r="G436" s="44" t="s">
        <v>833</v>
      </c>
      <c r="H436" s="26" t="s">
        <v>57</v>
      </c>
      <c r="I436" s="44" t="s">
        <v>833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42">
        <v>46196</v>
      </c>
      <c r="O436" s="26" t="s">
        <v>55</v>
      </c>
      <c r="P436" s="44" t="s">
        <v>833</v>
      </c>
      <c r="Q436" s="26" t="s">
        <v>57</v>
      </c>
      <c r="R436" s="44" t="s">
        <v>833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70">
        <v>46248</v>
      </c>
      <c r="X436" s="30" t="s">
        <v>55</v>
      </c>
      <c r="Y436" s="30" t="s">
        <v>833</v>
      </c>
      <c r="Z436" s="30" t="s">
        <v>57</v>
      </c>
      <c r="AA436" s="30" t="s">
        <v>833</v>
      </c>
      <c r="AB436" s="30" t="s">
        <v>56</v>
      </c>
      <c r="AC436" s="27"/>
      <c r="AD436" s="31" t="s">
        <v>57</v>
      </c>
      <c r="AE436" s="32" t="str">
        <f t="shared" si="32"/>
        <v>✓ OK</v>
      </c>
      <c r="AF436" s="33" t="s">
        <v>61</v>
      </c>
      <c r="AG436" s="33" t="s">
        <v>55</v>
      </c>
      <c r="AH436" s="33" t="s">
        <v>833</v>
      </c>
      <c r="AI436" s="33" t="s">
        <v>57</v>
      </c>
      <c r="AJ436" s="33" t="s">
        <v>833</v>
      </c>
      <c r="AK436" s="33" t="s">
        <v>56</v>
      </c>
      <c r="AL436" s="27"/>
      <c r="AM436" s="34" t="s">
        <v>57</v>
      </c>
      <c r="AN436" s="35" t="str">
        <f t="shared" si="33"/>
        <v>✓ OK</v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5469</v>
      </c>
      <c r="C437" s="25" t="s">
        <v>5470</v>
      </c>
      <c r="D437" s="23" t="s">
        <v>748</v>
      </c>
      <c r="E437" s="42">
        <v>46128</v>
      </c>
      <c r="F437" s="26" t="s">
        <v>55</v>
      </c>
      <c r="G437" s="44" t="s">
        <v>833</v>
      </c>
      <c r="H437" s="26" t="s">
        <v>57</v>
      </c>
      <c r="I437" s="44" t="s">
        <v>833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42">
        <v>46196</v>
      </c>
      <c r="O437" s="26" t="s">
        <v>55</v>
      </c>
      <c r="P437" s="44" t="s">
        <v>833</v>
      </c>
      <c r="Q437" s="26" t="s">
        <v>57</v>
      </c>
      <c r="R437" s="44" t="s">
        <v>833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70">
        <v>46248</v>
      </c>
      <c r="X437" s="30" t="s">
        <v>55</v>
      </c>
      <c r="Y437" s="30" t="s">
        <v>833</v>
      </c>
      <c r="Z437" s="30" t="s">
        <v>57</v>
      </c>
      <c r="AA437" s="30" t="s">
        <v>833</v>
      </c>
      <c r="AB437" s="30" t="s">
        <v>56</v>
      </c>
      <c r="AC437" s="27"/>
      <c r="AD437" s="31" t="s">
        <v>57</v>
      </c>
      <c r="AE437" s="32" t="str">
        <f t="shared" si="32"/>
        <v>✓ OK</v>
      </c>
      <c r="AF437" s="33" t="s">
        <v>61</v>
      </c>
      <c r="AG437" s="33" t="s">
        <v>55</v>
      </c>
      <c r="AH437" s="33" t="s">
        <v>833</v>
      </c>
      <c r="AI437" s="33" t="s">
        <v>57</v>
      </c>
      <c r="AJ437" s="33" t="s">
        <v>833</v>
      </c>
      <c r="AK437" s="33" t="s">
        <v>56</v>
      </c>
      <c r="AL437" s="27"/>
      <c r="AM437" s="34" t="s">
        <v>57</v>
      </c>
      <c r="AN437" s="35" t="str">
        <f t="shared" si="33"/>
        <v>✓ OK</v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5471</v>
      </c>
      <c r="C438" s="41" t="s">
        <v>5472</v>
      </c>
      <c r="D438" s="39" t="s">
        <v>748</v>
      </c>
      <c r="E438" s="42">
        <v>46128</v>
      </c>
      <c r="F438" s="26" t="s">
        <v>55</v>
      </c>
      <c r="G438" s="44" t="s">
        <v>56</v>
      </c>
      <c r="H438" s="26" t="s">
        <v>57</v>
      </c>
      <c r="I438" s="44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42">
        <v>46196</v>
      </c>
      <c r="O438" s="26" t="s">
        <v>55</v>
      </c>
      <c r="P438" s="44" t="s">
        <v>56</v>
      </c>
      <c r="Q438" s="26" t="s">
        <v>57</v>
      </c>
      <c r="R438" s="44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70">
        <v>46248</v>
      </c>
      <c r="X438" s="30" t="s">
        <v>55</v>
      </c>
      <c r="Y438" s="30" t="s">
        <v>56</v>
      </c>
      <c r="Z438" s="30" t="s">
        <v>57</v>
      </c>
      <c r="AA438" s="30" t="s">
        <v>58</v>
      </c>
      <c r="AB438" s="30" t="s">
        <v>56</v>
      </c>
      <c r="AC438" s="27"/>
      <c r="AD438" s="31" t="s">
        <v>57</v>
      </c>
      <c r="AE438" s="32" t="str">
        <f t="shared" si="32"/>
        <v>✓ OK</v>
      </c>
      <c r="AF438" s="33" t="s">
        <v>61</v>
      </c>
      <c r="AG438" s="33" t="s">
        <v>55</v>
      </c>
      <c r="AH438" s="33" t="s">
        <v>56</v>
      </c>
      <c r="AI438" s="33" t="s">
        <v>57</v>
      </c>
      <c r="AJ438" s="33" t="s">
        <v>58</v>
      </c>
      <c r="AK438" s="33" t="s">
        <v>56</v>
      </c>
      <c r="AL438" s="27"/>
      <c r="AM438" s="34" t="s">
        <v>57</v>
      </c>
      <c r="AN438" s="35" t="str">
        <f t="shared" si="33"/>
        <v>✓ OK</v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5473</v>
      </c>
      <c r="C439" s="25" t="s">
        <v>5474</v>
      </c>
      <c r="D439" s="23" t="s">
        <v>748</v>
      </c>
      <c r="E439" s="42">
        <v>46128</v>
      </c>
      <c r="F439" s="26" t="s">
        <v>55</v>
      </c>
      <c r="G439" s="44" t="s">
        <v>833</v>
      </c>
      <c r="H439" s="26" t="s">
        <v>57</v>
      </c>
      <c r="I439" s="44" t="s">
        <v>833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42">
        <v>46196</v>
      </c>
      <c r="O439" s="26" t="s">
        <v>55</v>
      </c>
      <c r="P439" s="44" t="s">
        <v>833</v>
      </c>
      <c r="Q439" s="26" t="s">
        <v>57</v>
      </c>
      <c r="R439" s="44" t="s">
        <v>833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70">
        <v>46248</v>
      </c>
      <c r="X439" s="30" t="s">
        <v>55</v>
      </c>
      <c r="Y439" s="30" t="s">
        <v>833</v>
      </c>
      <c r="Z439" s="30" t="s">
        <v>57</v>
      </c>
      <c r="AA439" s="30" t="s">
        <v>833</v>
      </c>
      <c r="AB439" s="30" t="s">
        <v>56</v>
      </c>
      <c r="AC439" s="27"/>
      <c r="AD439" s="31" t="s">
        <v>57</v>
      </c>
      <c r="AE439" s="32" t="str">
        <f t="shared" si="32"/>
        <v>✓ OK</v>
      </c>
      <c r="AF439" s="33" t="s">
        <v>61</v>
      </c>
      <c r="AG439" s="33" t="s">
        <v>55</v>
      </c>
      <c r="AH439" s="33" t="s">
        <v>833</v>
      </c>
      <c r="AI439" s="33" t="s">
        <v>57</v>
      </c>
      <c r="AJ439" s="33" t="s">
        <v>833</v>
      </c>
      <c r="AK439" s="33" t="s">
        <v>56</v>
      </c>
      <c r="AL439" s="27"/>
      <c r="AM439" s="34" t="s">
        <v>57</v>
      </c>
      <c r="AN439" s="35" t="str">
        <f t="shared" si="33"/>
        <v>✓ OK</v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5475</v>
      </c>
      <c r="C440" s="41" t="s">
        <v>5476</v>
      </c>
      <c r="D440" s="39" t="s">
        <v>748</v>
      </c>
      <c r="E440" s="42">
        <v>46128</v>
      </c>
      <c r="F440" s="26" t="s">
        <v>55</v>
      </c>
      <c r="G440" s="44" t="s">
        <v>833</v>
      </c>
      <c r="H440" s="26" t="s">
        <v>57</v>
      </c>
      <c r="I440" s="44" t="s">
        <v>833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42">
        <v>46196</v>
      </c>
      <c r="O440" s="26" t="s">
        <v>55</v>
      </c>
      <c r="P440" s="44" t="s">
        <v>833</v>
      </c>
      <c r="Q440" s="26" t="s">
        <v>57</v>
      </c>
      <c r="R440" s="44" t="s">
        <v>833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70">
        <v>46248</v>
      </c>
      <c r="X440" s="30" t="s">
        <v>55</v>
      </c>
      <c r="Y440" s="30" t="s">
        <v>57</v>
      </c>
      <c r="Z440" s="30" t="s">
        <v>56</v>
      </c>
      <c r="AA440" s="30" t="s">
        <v>60</v>
      </c>
      <c r="AB440" s="30" t="s">
        <v>57</v>
      </c>
      <c r="AC440" s="27"/>
      <c r="AD440" s="31" t="s">
        <v>57</v>
      </c>
      <c r="AE440" s="32" t="str">
        <f t="shared" si="32"/>
        <v>❌ Disc</v>
      </c>
      <c r="AF440" s="33" t="s">
        <v>61</v>
      </c>
      <c r="AG440" s="33" t="s">
        <v>62</v>
      </c>
      <c r="AH440" s="33" t="s">
        <v>57</v>
      </c>
      <c r="AI440" s="33" t="s">
        <v>56</v>
      </c>
      <c r="AJ440" s="33" t="s">
        <v>60</v>
      </c>
      <c r="AK440" s="33" t="s">
        <v>57</v>
      </c>
      <c r="AL440" s="27"/>
      <c r="AM440" s="34" t="s">
        <v>57</v>
      </c>
      <c r="AN440" s="35" t="str">
        <f t="shared" si="33"/>
        <v>❌ Disc</v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5477</v>
      </c>
      <c r="C441" s="25" t="s">
        <v>5478</v>
      </c>
      <c r="D441" s="23" t="s">
        <v>748</v>
      </c>
      <c r="E441" s="42">
        <v>46128</v>
      </c>
      <c r="F441" s="26" t="s">
        <v>55</v>
      </c>
      <c r="G441" s="44" t="s">
        <v>833</v>
      </c>
      <c r="H441" s="26" t="s">
        <v>57</v>
      </c>
      <c r="I441" s="44" t="s">
        <v>833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42">
        <v>46196</v>
      </c>
      <c r="O441" s="26" t="s">
        <v>55</v>
      </c>
      <c r="P441" s="44" t="s">
        <v>833</v>
      </c>
      <c r="Q441" s="26" t="s">
        <v>57</v>
      </c>
      <c r="R441" s="44" t="s">
        <v>833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70">
        <v>46248</v>
      </c>
      <c r="X441" s="30" t="s">
        <v>55</v>
      </c>
      <c r="Y441" s="30" t="s">
        <v>833</v>
      </c>
      <c r="Z441" s="30" t="s">
        <v>57</v>
      </c>
      <c r="AA441" s="30" t="s">
        <v>833</v>
      </c>
      <c r="AB441" s="30" t="s">
        <v>56</v>
      </c>
      <c r="AC441" s="27"/>
      <c r="AD441" s="31" t="s">
        <v>57</v>
      </c>
      <c r="AE441" s="32" t="str">
        <f t="shared" si="32"/>
        <v>✓ OK</v>
      </c>
      <c r="AF441" s="33" t="s">
        <v>61</v>
      </c>
      <c r="AG441" s="33" t="s">
        <v>55</v>
      </c>
      <c r="AH441" s="33" t="s">
        <v>833</v>
      </c>
      <c r="AI441" s="33" t="s">
        <v>57</v>
      </c>
      <c r="AJ441" s="33" t="s">
        <v>833</v>
      </c>
      <c r="AK441" s="33" t="s">
        <v>56</v>
      </c>
      <c r="AL441" s="27"/>
      <c r="AM441" s="34" t="s">
        <v>57</v>
      </c>
      <c r="AN441" s="35" t="str">
        <f t="shared" si="33"/>
        <v>✓ OK</v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5479</v>
      </c>
      <c r="C442" s="41" t="s">
        <v>5480</v>
      </c>
      <c r="D442" s="39" t="s">
        <v>748</v>
      </c>
      <c r="E442" s="42">
        <v>46128</v>
      </c>
      <c r="F442" s="26" t="s">
        <v>55</v>
      </c>
      <c r="G442" s="44" t="s">
        <v>833</v>
      </c>
      <c r="H442" s="26" t="s">
        <v>57</v>
      </c>
      <c r="I442" s="44" t="s">
        <v>833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42">
        <v>46196</v>
      </c>
      <c r="O442" s="26" t="s">
        <v>55</v>
      </c>
      <c r="P442" s="44" t="s">
        <v>833</v>
      </c>
      <c r="Q442" s="26" t="s">
        <v>57</v>
      </c>
      <c r="R442" s="44" t="s">
        <v>833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70">
        <v>46248</v>
      </c>
      <c r="X442" s="30" t="s">
        <v>55</v>
      </c>
      <c r="Y442" s="30" t="s">
        <v>833</v>
      </c>
      <c r="Z442" s="30" t="s">
        <v>57</v>
      </c>
      <c r="AA442" s="30" t="s">
        <v>833</v>
      </c>
      <c r="AB442" s="30" t="s">
        <v>56</v>
      </c>
      <c r="AC442" s="27"/>
      <c r="AD442" s="31" t="s">
        <v>57</v>
      </c>
      <c r="AE442" s="32" t="str">
        <f t="shared" si="32"/>
        <v>✓ OK</v>
      </c>
      <c r="AF442" s="33" t="s">
        <v>61</v>
      </c>
      <c r="AG442" s="33" t="s">
        <v>55</v>
      </c>
      <c r="AH442" s="33" t="s">
        <v>833</v>
      </c>
      <c r="AI442" s="33" t="s">
        <v>57</v>
      </c>
      <c r="AJ442" s="33" t="s">
        <v>833</v>
      </c>
      <c r="AK442" s="33" t="s">
        <v>56</v>
      </c>
      <c r="AL442" s="27"/>
      <c r="AM442" s="34" t="s">
        <v>57</v>
      </c>
      <c r="AN442" s="35" t="str">
        <f t="shared" si="33"/>
        <v>✓ OK</v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5481</v>
      </c>
      <c r="C443" s="25" t="s">
        <v>5482</v>
      </c>
      <c r="D443" s="23" t="s">
        <v>748</v>
      </c>
      <c r="E443" s="42">
        <v>46128</v>
      </c>
      <c r="F443" s="26" t="s">
        <v>55</v>
      </c>
      <c r="G443" s="44" t="s">
        <v>833</v>
      </c>
      <c r="H443" s="26" t="s">
        <v>57</v>
      </c>
      <c r="I443" s="44" t="s">
        <v>833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42">
        <v>46196</v>
      </c>
      <c r="O443" s="26" t="s">
        <v>55</v>
      </c>
      <c r="P443" s="44" t="s">
        <v>833</v>
      </c>
      <c r="Q443" s="26" t="s">
        <v>57</v>
      </c>
      <c r="R443" s="44" t="s">
        <v>833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70">
        <v>46248</v>
      </c>
      <c r="X443" s="30" t="s">
        <v>55</v>
      </c>
      <c r="Y443" s="30" t="s">
        <v>833</v>
      </c>
      <c r="Z443" s="30" t="s">
        <v>57</v>
      </c>
      <c r="AA443" s="30" t="s">
        <v>833</v>
      </c>
      <c r="AB443" s="30" t="s">
        <v>56</v>
      </c>
      <c r="AC443" s="27"/>
      <c r="AD443" s="31" t="s">
        <v>57</v>
      </c>
      <c r="AE443" s="32" t="str">
        <f t="shared" si="32"/>
        <v>✓ OK</v>
      </c>
      <c r="AF443" s="33" t="s">
        <v>61</v>
      </c>
      <c r="AG443" s="33" t="s">
        <v>55</v>
      </c>
      <c r="AH443" s="33" t="s">
        <v>833</v>
      </c>
      <c r="AI443" s="33" t="s">
        <v>57</v>
      </c>
      <c r="AJ443" s="33" t="s">
        <v>833</v>
      </c>
      <c r="AK443" s="33" t="s">
        <v>56</v>
      </c>
      <c r="AL443" s="27"/>
      <c r="AM443" s="34" t="s">
        <v>57</v>
      </c>
      <c r="AN443" s="35" t="str">
        <f t="shared" si="33"/>
        <v>✓ OK</v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5483</v>
      </c>
      <c r="C444" s="41" t="s">
        <v>5484</v>
      </c>
      <c r="D444" s="39" t="s">
        <v>748</v>
      </c>
      <c r="E444" s="42">
        <v>46128</v>
      </c>
      <c r="F444" s="26" t="s">
        <v>55</v>
      </c>
      <c r="G444" s="44" t="s">
        <v>56</v>
      </c>
      <c r="H444" s="26" t="s">
        <v>57</v>
      </c>
      <c r="I444" s="44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42">
        <v>46196</v>
      </c>
      <c r="O444" s="26" t="s">
        <v>55</v>
      </c>
      <c r="P444" s="44" t="s">
        <v>56</v>
      </c>
      <c r="Q444" s="26" t="s">
        <v>57</v>
      </c>
      <c r="R444" s="44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70">
        <v>46248</v>
      </c>
      <c r="X444" s="30" t="s">
        <v>55</v>
      </c>
      <c r="Y444" s="30" t="s">
        <v>56</v>
      </c>
      <c r="Z444" s="30" t="s">
        <v>57</v>
      </c>
      <c r="AA444" s="30" t="s">
        <v>58</v>
      </c>
      <c r="AB444" s="30" t="s">
        <v>56</v>
      </c>
      <c r="AC444" s="27"/>
      <c r="AD444" s="31" t="s">
        <v>57</v>
      </c>
      <c r="AE444" s="32" t="str">
        <f t="shared" si="32"/>
        <v>✓ OK</v>
      </c>
      <c r="AF444" s="33" t="s">
        <v>61</v>
      </c>
      <c r="AG444" s="33" t="s">
        <v>55</v>
      </c>
      <c r="AH444" s="33" t="s">
        <v>56</v>
      </c>
      <c r="AI444" s="33" t="s">
        <v>57</v>
      </c>
      <c r="AJ444" s="33" t="s">
        <v>58</v>
      </c>
      <c r="AK444" s="33" t="s">
        <v>56</v>
      </c>
      <c r="AL444" s="27"/>
      <c r="AM444" s="34" t="s">
        <v>57</v>
      </c>
      <c r="AN444" s="35" t="str">
        <f t="shared" si="33"/>
        <v>✓ OK</v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5485</v>
      </c>
      <c r="C445" s="25" t="s">
        <v>5486</v>
      </c>
      <c r="D445" s="23" t="s">
        <v>748</v>
      </c>
      <c r="E445" s="42">
        <v>46128</v>
      </c>
      <c r="F445" s="26" t="s">
        <v>55</v>
      </c>
      <c r="G445" s="44" t="s">
        <v>833</v>
      </c>
      <c r="H445" s="26" t="s">
        <v>57</v>
      </c>
      <c r="I445" s="44" t="s">
        <v>833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42">
        <v>46196</v>
      </c>
      <c r="O445" s="26" t="s">
        <v>55</v>
      </c>
      <c r="P445" s="44" t="s">
        <v>833</v>
      </c>
      <c r="Q445" s="26" t="s">
        <v>57</v>
      </c>
      <c r="R445" s="44" t="s">
        <v>833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70">
        <v>46248</v>
      </c>
      <c r="X445" s="30" t="s">
        <v>55</v>
      </c>
      <c r="Y445" s="30" t="s">
        <v>833</v>
      </c>
      <c r="Z445" s="30" t="s">
        <v>57</v>
      </c>
      <c r="AA445" s="30" t="s">
        <v>833</v>
      </c>
      <c r="AB445" s="30" t="s">
        <v>56</v>
      </c>
      <c r="AC445" s="27"/>
      <c r="AD445" s="31" t="s">
        <v>57</v>
      </c>
      <c r="AE445" s="32" t="str">
        <f t="shared" si="32"/>
        <v>✓ OK</v>
      </c>
      <c r="AF445" s="33" t="s">
        <v>61</v>
      </c>
      <c r="AG445" s="33" t="s">
        <v>55</v>
      </c>
      <c r="AH445" s="33" t="s">
        <v>833</v>
      </c>
      <c r="AI445" s="33" t="s">
        <v>57</v>
      </c>
      <c r="AJ445" s="33" t="s">
        <v>833</v>
      </c>
      <c r="AK445" s="33" t="s">
        <v>56</v>
      </c>
      <c r="AL445" s="27"/>
      <c r="AM445" s="34" t="s">
        <v>57</v>
      </c>
      <c r="AN445" s="35" t="str">
        <f t="shared" si="33"/>
        <v>✓ OK</v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5487</v>
      </c>
      <c r="C446" s="41" t="s">
        <v>5488</v>
      </c>
      <c r="D446" s="39" t="s">
        <v>748</v>
      </c>
      <c r="E446" s="42">
        <v>46128</v>
      </c>
      <c r="F446" s="26" t="s">
        <v>55</v>
      </c>
      <c r="G446" s="44" t="s">
        <v>833</v>
      </c>
      <c r="H446" s="26" t="s">
        <v>57</v>
      </c>
      <c r="I446" s="44" t="s">
        <v>833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42">
        <v>46196</v>
      </c>
      <c r="O446" s="26" t="s">
        <v>55</v>
      </c>
      <c r="P446" s="44" t="s">
        <v>833</v>
      </c>
      <c r="Q446" s="26" t="s">
        <v>57</v>
      </c>
      <c r="R446" s="44" t="s">
        <v>833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70">
        <v>46248</v>
      </c>
      <c r="X446" s="30" t="s">
        <v>55</v>
      </c>
      <c r="Y446" s="30" t="s">
        <v>833</v>
      </c>
      <c r="Z446" s="30" t="s">
        <v>57</v>
      </c>
      <c r="AA446" s="30" t="s">
        <v>833</v>
      </c>
      <c r="AB446" s="30" t="s">
        <v>56</v>
      </c>
      <c r="AC446" s="27"/>
      <c r="AD446" s="31" t="s">
        <v>57</v>
      </c>
      <c r="AE446" s="32" t="str">
        <f t="shared" si="32"/>
        <v>✓ OK</v>
      </c>
      <c r="AF446" s="33" t="s">
        <v>61</v>
      </c>
      <c r="AG446" s="33" t="s">
        <v>55</v>
      </c>
      <c r="AH446" s="33" t="s">
        <v>833</v>
      </c>
      <c r="AI446" s="33" t="s">
        <v>57</v>
      </c>
      <c r="AJ446" s="33" t="s">
        <v>833</v>
      </c>
      <c r="AK446" s="33" t="s">
        <v>56</v>
      </c>
      <c r="AL446" s="27"/>
      <c r="AM446" s="34" t="s">
        <v>57</v>
      </c>
      <c r="AN446" s="35" t="str">
        <f t="shared" si="33"/>
        <v>✓ OK</v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5489</v>
      </c>
      <c r="C447" s="25" t="s">
        <v>5490</v>
      </c>
      <c r="D447" s="23" t="s">
        <v>748</v>
      </c>
      <c r="E447" s="42">
        <v>46128</v>
      </c>
      <c r="F447" s="26" t="s">
        <v>55</v>
      </c>
      <c r="G447" s="44" t="s">
        <v>833</v>
      </c>
      <c r="H447" s="26" t="s">
        <v>57</v>
      </c>
      <c r="I447" s="44" t="s">
        <v>833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42">
        <v>46196</v>
      </c>
      <c r="O447" s="26" t="s">
        <v>55</v>
      </c>
      <c r="P447" s="44" t="s">
        <v>833</v>
      </c>
      <c r="Q447" s="26" t="s">
        <v>57</v>
      </c>
      <c r="R447" s="44" t="s">
        <v>833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70">
        <v>46248</v>
      </c>
      <c r="X447" s="30" t="s">
        <v>55</v>
      </c>
      <c r="Y447" s="30" t="s">
        <v>833</v>
      </c>
      <c r="Z447" s="30" t="s">
        <v>57</v>
      </c>
      <c r="AA447" s="30" t="s">
        <v>833</v>
      </c>
      <c r="AB447" s="30" t="s">
        <v>56</v>
      </c>
      <c r="AC447" s="27"/>
      <c r="AD447" s="31" t="s">
        <v>57</v>
      </c>
      <c r="AE447" s="32" t="str">
        <f t="shared" si="32"/>
        <v>✓ OK</v>
      </c>
      <c r="AF447" s="33" t="s">
        <v>61</v>
      </c>
      <c r="AG447" s="33" t="s">
        <v>55</v>
      </c>
      <c r="AH447" s="33" t="s">
        <v>833</v>
      </c>
      <c r="AI447" s="33" t="s">
        <v>57</v>
      </c>
      <c r="AJ447" s="33" t="s">
        <v>833</v>
      </c>
      <c r="AK447" s="33" t="s">
        <v>56</v>
      </c>
      <c r="AL447" s="27"/>
      <c r="AM447" s="34" t="s">
        <v>57</v>
      </c>
      <c r="AN447" s="35" t="str">
        <f t="shared" si="33"/>
        <v>✓ OK</v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5491</v>
      </c>
      <c r="C448" s="41" t="s">
        <v>5492</v>
      </c>
      <c r="D448" s="39" t="s">
        <v>748</v>
      </c>
      <c r="E448" s="42">
        <v>46128</v>
      </c>
      <c r="F448" s="26" t="s">
        <v>55</v>
      </c>
      <c r="G448" s="44" t="s">
        <v>833</v>
      </c>
      <c r="H448" s="26" t="s">
        <v>57</v>
      </c>
      <c r="I448" s="44" t="s">
        <v>833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42">
        <v>46196</v>
      </c>
      <c r="O448" s="26" t="s">
        <v>55</v>
      </c>
      <c r="P448" s="44" t="s">
        <v>833</v>
      </c>
      <c r="Q448" s="26" t="s">
        <v>57</v>
      </c>
      <c r="R448" s="44" t="s">
        <v>833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70">
        <v>46248</v>
      </c>
      <c r="X448" s="30" t="s">
        <v>55</v>
      </c>
      <c r="Y448" s="30" t="s">
        <v>833</v>
      </c>
      <c r="Z448" s="30" t="s">
        <v>57</v>
      </c>
      <c r="AA448" s="30" t="s">
        <v>833</v>
      </c>
      <c r="AB448" s="30" t="s">
        <v>56</v>
      </c>
      <c r="AC448" s="27"/>
      <c r="AD448" s="31" t="s">
        <v>57</v>
      </c>
      <c r="AE448" s="32" t="str">
        <f t="shared" si="32"/>
        <v>✓ OK</v>
      </c>
      <c r="AF448" s="33" t="s">
        <v>61</v>
      </c>
      <c r="AG448" s="33" t="s">
        <v>55</v>
      </c>
      <c r="AH448" s="33" t="s">
        <v>833</v>
      </c>
      <c r="AI448" s="33" t="s">
        <v>57</v>
      </c>
      <c r="AJ448" s="33" t="s">
        <v>833</v>
      </c>
      <c r="AK448" s="33" t="s">
        <v>56</v>
      </c>
      <c r="AL448" s="27"/>
      <c r="AM448" s="34" t="s">
        <v>57</v>
      </c>
      <c r="AN448" s="35" t="str">
        <f t="shared" si="33"/>
        <v>✓ OK</v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5493</v>
      </c>
      <c r="C449" s="25" t="s">
        <v>5494</v>
      </c>
      <c r="D449" s="23" t="s">
        <v>748</v>
      </c>
      <c r="E449" s="42">
        <v>46128</v>
      </c>
      <c r="F449" s="26" t="s">
        <v>55</v>
      </c>
      <c r="G449" s="44" t="s">
        <v>833</v>
      </c>
      <c r="H449" s="26" t="s">
        <v>57</v>
      </c>
      <c r="I449" s="44" t="s">
        <v>833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42">
        <v>46196</v>
      </c>
      <c r="O449" s="26" t="s">
        <v>55</v>
      </c>
      <c r="P449" s="44" t="s">
        <v>833</v>
      </c>
      <c r="Q449" s="26" t="s">
        <v>57</v>
      </c>
      <c r="R449" s="44" t="s">
        <v>833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70">
        <v>46248</v>
      </c>
      <c r="X449" s="30" t="s">
        <v>55</v>
      </c>
      <c r="Y449" s="30" t="s">
        <v>833</v>
      </c>
      <c r="Z449" s="30" t="s">
        <v>57</v>
      </c>
      <c r="AA449" s="30" t="s">
        <v>833</v>
      </c>
      <c r="AB449" s="30" t="s">
        <v>56</v>
      </c>
      <c r="AC449" s="27"/>
      <c r="AD449" s="31" t="s">
        <v>57</v>
      </c>
      <c r="AE449" s="32" t="str">
        <f t="shared" si="32"/>
        <v>✓ OK</v>
      </c>
      <c r="AF449" s="33" t="s">
        <v>61</v>
      </c>
      <c r="AG449" s="33" t="s">
        <v>55</v>
      </c>
      <c r="AH449" s="33" t="s">
        <v>833</v>
      </c>
      <c r="AI449" s="33" t="s">
        <v>57</v>
      </c>
      <c r="AJ449" s="33" t="s">
        <v>833</v>
      </c>
      <c r="AK449" s="33" t="s">
        <v>56</v>
      </c>
      <c r="AL449" s="27"/>
      <c r="AM449" s="34" t="s">
        <v>57</v>
      </c>
      <c r="AN449" s="35" t="str">
        <f t="shared" si="33"/>
        <v>✓ OK</v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5495</v>
      </c>
      <c r="C450" s="41" t="s">
        <v>5496</v>
      </c>
      <c r="D450" s="39" t="s">
        <v>748</v>
      </c>
      <c r="E450" s="42">
        <v>46128</v>
      </c>
      <c r="F450" s="26" t="s">
        <v>55</v>
      </c>
      <c r="G450" s="44" t="s">
        <v>833</v>
      </c>
      <c r="H450" s="26" t="s">
        <v>57</v>
      </c>
      <c r="I450" s="44" t="s">
        <v>833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42">
        <v>46196</v>
      </c>
      <c r="O450" s="26" t="s">
        <v>55</v>
      </c>
      <c r="P450" s="44" t="s">
        <v>833</v>
      </c>
      <c r="Q450" s="26" t="s">
        <v>57</v>
      </c>
      <c r="R450" s="44" t="s">
        <v>833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70">
        <v>46248</v>
      </c>
      <c r="X450" s="30" t="s">
        <v>55</v>
      </c>
      <c r="Y450" s="30" t="s">
        <v>833</v>
      </c>
      <c r="Z450" s="30" t="s">
        <v>57</v>
      </c>
      <c r="AA450" s="30" t="s">
        <v>833</v>
      </c>
      <c r="AB450" s="30" t="s">
        <v>56</v>
      </c>
      <c r="AC450" s="27"/>
      <c r="AD450" s="31" t="s">
        <v>57</v>
      </c>
      <c r="AE450" s="32" t="str">
        <f t="shared" si="32"/>
        <v>✓ OK</v>
      </c>
      <c r="AF450" s="33" t="s">
        <v>61</v>
      </c>
      <c r="AG450" s="33" t="s">
        <v>55</v>
      </c>
      <c r="AH450" s="33" t="s">
        <v>833</v>
      </c>
      <c r="AI450" s="33" t="s">
        <v>57</v>
      </c>
      <c r="AJ450" s="33" t="s">
        <v>833</v>
      </c>
      <c r="AK450" s="33" t="s">
        <v>56</v>
      </c>
      <c r="AL450" s="27"/>
      <c r="AM450" s="34" t="s">
        <v>57</v>
      </c>
      <c r="AN450" s="35" t="str">
        <f t="shared" si="33"/>
        <v>✓ OK</v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5497</v>
      </c>
      <c r="C451" s="25" t="s">
        <v>5498</v>
      </c>
      <c r="D451" s="23" t="s">
        <v>748</v>
      </c>
      <c r="E451" s="42">
        <v>46128</v>
      </c>
      <c r="F451" s="26" t="s">
        <v>55</v>
      </c>
      <c r="G451" s="44" t="s">
        <v>833</v>
      </c>
      <c r="H451" s="26" t="s">
        <v>57</v>
      </c>
      <c r="I451" s="44" t="s">
        <v>833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42">
        <v>46196</v>
      </c>
      <c r="O451" s="26" t="s">
        <v>55</v>
      </c>
      <c r="P451" s="44" t="s">
        <v>833</v>
      </c>
      <c r="Q451" s="26" t="s">
        <v>57</v>
      </c>
      <c r="R451" s="44" t="s">
        <v>833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70">
        <v>46248</v>
      </c>
      <c r="X451" s="30" t="s">
        <v>55</v>
      </c>
      <c r="Y451" s="30" t="s">
        <v>833</v>
      </c>
      <c r="Z451" s="30" t="s">
        <v>57</v>
      </c>
      <c r="AA451" s="30" t="s">
        <v>833</v>
      </c>
      <c r="AB451" s="30" t="s">
        <v>56</v>
      </c>
      <c r="AC451" s="27"/>
      <c r="AD451" s="31" t="s">
        <v>57</v>
      </c>
      <c r="AE451" s="32" t="str">
        <f t="shared" si="32"/>
        <v>✓ OK</v>
      </c>
      <c r="AF451" s="33" t="s">
        <v>61</v>
      </c>
      <c r="AG451" s="33" t="s">
        <v>55</v>
      </c>
      <c r="AH451" s="33" t="s">
        <v>833</v>
      </c>
      <c r="AI451" s="33" t="s">
        <v>57</v>
      </c>
      <c r="AJ451" s="33" t="s">
        <v>833</v>
      </c>
      <c r="AK451" s="33" t="s">
        <v>56</v>
      </c>
      <c r="AL451" s="27"/>
      <c r="AM451" s="34" t="s">
        <v>57</v>
      </c>
      <c r="AN451" s="35" t="str">
        <f t="shared" si="33"/>
        <v>✓ OK</v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5499</v>
      </c>
      <c r="C452" s="41" t="s">
        <v>5500</v>
      </c>
      <c r="D452" s="39" t="s">
        <v>5501</v>
      </c>
      <c r="E452" s="42">
        <v>46128</v>
      </c>
      <c r="F452" s="26" t="s">
        <v>55</v>
      </c>
      <c r="G452" s="44" t="s">
        <v>57</v>
      </c>
      <c r="H452" s="26" t="s">
        <v>57</v>
      </c>
      <c r="I452" s="44" t="s">
        <v>90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42">
        <v>46196</v>
      </c>
      <c r="O452" s="26" t="s">
        <v>55</v>
      </c>
      <c r="P452" s="44" t="s">
        <v>57</v>
      </c>
      <c r="Q452" s="26" t="s">
        <v>57</v>
      </c>
      <c r="R452" s="44" t="s">
        <v>90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70">
        <v>46248</v>
      </c>
      <c r="X452" s="30" t="s">
        <v>55</v>
      </c>
      <c r="Y452" s="30" t="s">
        <v>57</v>
      </c>
      <c r="Z452" s="30" t="s">
        <v>57</v>
      </c>
      <c r="AA452" s="30" t="s">
        <v>90</v>
      </c>
      <c r="AB452" s="30" t="s">
        <v>57</v>
      </c>
      <c r="AC452" s="27"/>
      <c r="AD452" s="31" t="s">
        <v>56</v>
      </c>
      <c r="AE452" s="32" t="str">
        <f t="shared" si="32"/>
        <v>⚠ Missing</v>
      </c>
      <c r="AF452" s="33" t="s">
        <v>61</v>
      </c>
      <c r="AG452" s="33" t="s">
        <v>62</v>
      </c>
      <c r="AH452" s="33" t="s">
        <v>57</v>
      </c>
      <c r="AI452" s="33" t="s">
        <v>56</v>
      </c>
      <c r="AJ452" s="33" t="s">
        <v>60</v>
      </c>
      <c r="AK452" s="33" t="s">
        <v>57</v>
      </c>
      <c r="AL452" s="27"/>
      <c r="AM452" s="34" t="s">
        <v>57</v>
      </c>
      <c r="AN452" s="35" t="str">
        <f t="shared" si="33"/>
        <v>❌ Disc</v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5502</v>
      </c>
      <c r="C453" s="25" t="s">
        <v>5503</v>
      </c>
      <c r="D453" s="23" t="s">
        <v>5501</v>
      </c>
      <c r="E453" s="42">
        <v>46128</v>
      </c>
      <c r="F453" s="26" t="s">
        <v>55</v>
      </c>
      <c r="G453" s="44" t="s">
        <v>57</v>
      </c>
      <c r="H453" s="26" t="s">
        <v>57</v>
      </c>
      <c r="I453" s="44" t="s">
        <v>90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42">
        <v>46196</v>
      </c>
      <c r="O453" s="26" t="s">
        <v>55</v>
      </c>
      <c r="P453" s="44" t="s">
        <v>57</v>
      </c>
      <c r="Q453" s="26" t="s">
        <v>57</v>
      </c>
      <c r="R453" s="44" t="s">
        <v>90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70">
        <v>46248</v>
      </c>
      <c r="X453" s="30" t="s">
        <v>55</v>
      </c>
      <c r="Y453" s="30" t="s">
        <v>57</v>
      </c>
      <c r="Z453" s="30" t="s">
        <v>57</v>
      </c>
      <c r="AA453" s="30" t="s">
        <v>90</v>
      </c>
      <c r="AB453" s="30" t="s">
        <v>57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⚠ Missing</v>
      </c>
      <c r="AF453" s="33" t="s">
        <v>61</v>
      </c>
      <c r="AG453" s="33" t="s">
        <v>62</v>
      </c>
      <c r="AH453" s="33" t="s">
        <v>57</v>
      </c>
      <c r="AI453" s="33" t="s">
        <v>56</v>
      </c>
      <c r="AJ453" s="33" t="s">
        <v>60</v>
      </c>
      <c r="AK453" s="33" t="s">
        <v>57</v>
      </c>
      <c r="AL453" s="27"/>
      <c r="AM453" s="34" t="s">
        <v>57</v>
      </c>
      <c r="AN453" s="35" t="str">
        <f t="shared" ref="AN453:AN516" si="38">IF(AF453="","",IF(AI453="Yes","❌ Disc",IF(AH453="No","⚠ Missing",IF(AK453="Yes","✓ OK","⚠ Check"))))</f>
        <v>❌ Disc</v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5504</v>
      </c>
      <c r="C454" s="41" t="s">
        <v>5505</v>
      </c>
      <c r="D454" s="39" t="s">
        <v>5501</v>
      </c>
      <c r="E454" s="42">
        <v>46128</v>
      </c>
      <c r="F454" s="26" t="s">
        <v>55</v>
      </c>
      <c r="G454" s="44" t="s">
        <v>57</v>
      </c>
      <c r="H454" s="26" t="s">
        <v>57</v>
      </c>
      <c r="I454" s="44" t="s">
        <v>90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42">
        <v>46196</v>
      </c>
      <c r="O454" s="26" t="s">
        <v>55</v>
      </c>
      <c r="P454" s="44" t="s">
        <v>57</v>
      </c>
      <c r="Q454" s="26" t="s">
        <v>57</v>
      </c>
      <c r="R454" s="44" t="s">
        <v>90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70">
        <v>46248</v>
      </c>
      <c r="X454" s="30" t="s">
        <v>55</v>
      </c>
      <c r="Y454" s="30" t="s">
        <v>57</v>
      </c>
      <c r="Z454" s="30" t="s">
        <v>57</v>
      </c>
      <c r="AA454" s="30" t="s">
        <v>90</v>
      </c>
      <c r="AB454" s="30" t="s">
        <v>57</v>
      </c>
      <c r="AC454" s="27"/>
      <c r="AD454" s="31" t="s">
        <v>56</v>
      </c>
      <c r="AE454" s="32" t="str">
        <f t="shared" si="37"/>
        <v>⚠ Missing</v>
      </c>
      <c r="AF454" s="33" t="s">
        <v>61</v>
      </c>
      <c r="AG454" s="33" t="s">
        <v>62</v>
      </c>
      <c r="AH454" s="33" t="s">
        <v>57</v>
      </c>
      <c r="AI454" s="33" t="s">
        <v>56</v>
      </c>
      <c r="AJ454" s="33" t="s">
        <v>60</v>
      </c>
      <c r="AK454" s="33" t="s">
        <v>57</v>
      </c>
      <c r="AL454" s="27"/>
      <c r="AM454" s="34" t="s">
        <v>57</v>
      </c>
      <c r="AN454" s="35" t="str">
        <f t="shared" si="38"/>
        <v>❌ Disc</v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5506</v>
      </c>
      <c r="C455" s="25" t="s">
        <v>5507</v>
      </c>
      <c r="D455" s="23" t="s">
        <v>5501</v>
      </c>
      <c r="E455" s="42">
        <v>46128</v>
      </c>
      <c r="F455" s="26" t="s">
        <v>55</v>
      </c>
      <c r="G455" s="44" t="s">
        <v>57</v>
      </c>
      <c r="H455" s="26" t="s">
        <v>57</v>
      </c>
      <c r="I455" s="44" t="s">
        <v>90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42">
        <v>46196</v>
      </c>
      <c r="O455" s="26" t="s">
        <v>55</v>
      </c>
      <c r="P455" s="44" t="s">
        <v>57</v>
      </c>
      <c r="Q455" s="26" t="s">
        <v>57</v>
      </c>
      <c r="R455" s="44" t="s">
        <v>90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70">
        <v>46248</v>
      </c>
      <c r="X455" s="30" t="s">
        <v>55</v>
      </c>
      <c r="Y455" s="30" t="s">
        <v>57</v>
      </c>
      <c r="Z455" s="30" t="s">
        <v>57</v>
      </c>
      <c r="AA455" s="30" t="s">
        <v>90</v>
      </c>
      <c r="AB455" s="30" t="s">
        <v>57</v>
      </c>
      <c r="AC455" s="27"/>
      <c r="AD455" s="31" t="s">
        <v>56</v>
      </c>
      <c r="AE455" s="32" t="str">
        <f t="shared" si="37"/>
        <v>⚠ Missing</v>
      </c>
      <c r="AF455" s="33" t="s">
        <v>61</v>
      </c>
      <c r="AG455" s="33" t="s">
        <v>62</v>
      </c>
      <c r="AH455" s="33" t="s">
        <v>57</v>
      </c>
      <c r="AI455" s="33" t="s">
        <v>56</v>
      </c>
      <c r="AJ455" s="33" t="s">
        <v>60</v>
      </c>
      <c r="AK455" s="33" t="s">
        <v>57</v>
      </c>
      <c r="AL455" s="27"/>
      <c r="AM455" s="34" t="s">
        <v>57</v>
      </c>
      <c r="AN455" s="35" t="str">
        <f t="shared" si="38"/>
        <v>❌ Disc</v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5508</v>
      </c>
      <c r="C456" s="41" t="s">
        <v>5509</v>
      </c>
      <c r="D456" s="39" t="s">
        <v>5501</v>
      </c>
      <c r="E456" s="42">
        <v>46128</v>
      </c>
      <c r="F456" s="26" t="s">
        <v>55</v>
      </c>
      <c r="G456" s="44" t="s">
        <v>57</v>
      </c>
      <c r="H456" s="26" t="s">
        <v>57</v>
      </c>
      <c r="I456" s="44" t="s">
        <v>90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42">
        <v>46196</v>
      </c>
      <c r="O456" s="26" t="s">
        <v>55</v>
      </c>
      <c r="P456" s="44" t="s">
        <v>57</v>
      </c>
      <c r="Q456" s="26" t="s">
        <v>57</v>
      </c>
      <c r="R456" s="44" t="s">
        <v>90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70">
        <v>46248</v>
      </c>
      <c r="X456" s="30" t="s">
        <v>55</v>
      </c>
      <c r="Y456" s="30" t="s">
        <v>57</v>
      </c>
      <c r="Z456" s="30" t="s">
        <v>57</v>
      </c>
      <c r="AA456" s="30" t="s">
        <v>90</v>
      </c>
      <c r="AB456" s="30" t="s">
        <v>57</v>
      </c>
      <c r="AC456" s="27"/>
      <c r="AD456" s="31" t="s">
        <v>56</v>
      </c>
      <c r="AE456" s="32" t="str">
        <f t="shared" si="37"/>
        <v>⚠ Missing</v>
      </c>
      <c r="AF456" s="33" t="s">
        <v>61</v>
      </c>
      <c r="AG456" s="33" t="s">
        <v>55</v>
      </c>
      <c r="AH456" s="33" t="s">
        <v>57</v>
      </c>
      <c r="AI456" s="33" t="s">
        <v>57</v>
      </c>
      <c r="AJ456" s="33" t="s">
        <v>90</v>
      </c>
      <c r="AK456" s="33" t="s">
        <v>57</v>
      </c>
      <c r="AL456" s="27"/>
      <c r="AM456" s="34" t="s">
        <v>56</v>
      </c>
      <c r="AN456" s="35" t="str">
        <f t="shared" si="38"/>
        <v>⚠ Missing</v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5510</v>
      </c>
      <c r="C457" s="25" t="s">
        <v>5511</v>
      </c>
      <c r="D457" s="23" t="s">
        <v>5501</v>
      </c>
      <c r="E457" s="42">
        <v>46128</v>
      </c>
      <c r="F457" s="26" t="s">
        <v>55</v>
      </c>
      <c r="G457" s="44" t="s">
        <v>57</v>
      </c>
      <c r="H457" s="26" t="s">
        <v>57</v>
      </c>
      <c r="I457" s="44" t="s">
        <v>90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42">
        <v>46196</v>
      </c>
      <c r="O457" s="26" t="s">
        <v>55</v>
      </c>
      <c r="P457" s="44" t="s">
        <v>57</v>
      </c>
      <c r="Q457" s="26" t="s">
        <v>57</v>
      </c>
      <c r="R457" s="44" t="s">
        <v>90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70">
        <v>46248</v>
      </c>
      <c r="X457" s="30" t="s">
        <v>55</v>
      </c>
      <c r="Y457" s="30" t="s">
        <v>57</v>
      </c>
      <c r="Z457" s="30" t="s">
        <v>57</v>
      </c>
      <c r="AA457" s="30" t="s">
        <v>90</v>
      </c>
      <c r="AB457" s="30" t="s">
        <v>57</v>
      </c>
      <c r="AC457" s="27"/>
      <c r="AD457" s="31" t="s">
        <v>56</v>
      </c>
      <c r="AE457" s="32" t="str">
        <f t="shared" si="37"/>
        <v>⚠ Missing</v>
      </c>
      <c r="AF457" s="33" t="s">
        <v>61</v>
      </c>
      <c r="AG457" s="33" t="s">
        <v>62</v>
      </c>
      <c r="AH457" s="33" t="s">
        <v>57</v>
      </c>
      <c r="AI457" s="33" t="s">
        <v>56</v>
      </c>
      <c r="AJ457" s="33" t="s">
        <v>60</v>
      </c>
      <c r="AK457" s="33" t="s">
        <v>57</v>
      </c>
      <c r="AL457" s="27"/>
      <c r="AM457" s="34" t="s">
        <v>57</v>
      </c>
      <c r="AN457" s="35" t="str">
        <f t="shared" si="38"/>
        <v>❌ Disc</v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5512</v>
      </c>
      <c r="C458" s="41" t="s">
        <v>5513</v>
      </c>
      <c r="D458" s="39" t="s">
        <v>5501</v>
      </c>
      <c r="E458" s="42">
        <v>46128</v>
      </c>
      <c r="F458" s="26" t="s">
        <v>55</v>
      </c>
      <c r="G458" s="44" t="s">
        <v>57</v>
      </c>
      <c r="H458" s="26" t="s">
        <v>57</v>
      </c>
      <c r="I458" s="44" t="s">
        <v>90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42">
        <v>46196</v>
      </c>
      <c r="O458" s="26" t="s">
        <v>55</v>
      </c>
      <c r="P458" s="44" t="s">
        <v>57</v>
      </c>
      <c r="Q458" s="26" t="s">
        <v>57</v>
      </c>
      <c r="R458" s="44" t="s">
        <v>90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70">
        <v>46248</v>
      </c>
      <c r="X458" s="30" t="s">
        <v>55</v>
      </c>
      <c r="Y458" s="30" t="s">
        <v>57</v>
      </c>
      <c r="Z458" s="30" t="s">
        <v>57</v>
      </c>
      <c r="AA458" s="30" t="s">
        <v>90</v>
      </c>
      <c r="AB458" s="30" t="s">
        <v>57</v>
      </c>
      <c r="AC458" s="27"/>
      <c r="AD458" s="31" t="s">
        <v>56</v>
      </c>
      <c r="AE458" s="32" t="str">
        <f t="shared" si="37"/>
        <v>⚠ Missing</v>
      </c>
      <c r="AF458" s="33" t="s">
        <v>61</v>
      </c>
      <c r="AG458" s="33" t="s">
        <v>62</v>
      </c>
      <c r="AH458" s="33" t="s">
        <v>57</v>
      </c>
      <c r="AI458" s="33" t="s">
        <v>56</v>
      </c>
      <c r="AJ458" s="33" t="s">
        <v>60</v>
      </c>
      <c r="AK458" s="33" t="s">
        <v>57</v>
      </c>
      <c r="AL458" s="27"/>
      <c r="AM458" s="34" t="s">
        <v>57</v>
      </c>
      <c r="AN458" s="35" t="str">
        <f t="shared" si="38"/>
        <v>❌ Disc</v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5514</v>
      </c>
      <c r="C459" s="25" t="s">
        <v>5515</v>
      </c>
      <c r="D459" s="23" t="s">
        <v>5501</v>
      </c>
      <c r="E459" s="42">
        <v>46128</v>
      </c>
      <c r="F459" s="26" t="s">
        <v>55</v>
      </c>
      <c r="G459" s="44" t="s">
        <v>57</v>
      </c>
      <c r="H459" s="26" t="s">
        <v>57</v>
      </c>
      <c r="I459" s="44" t="s">
        <v>90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42">
        <v>46196</v>
      </c>
      <c r="O459" s="26" t="s">
        <v>55</v>
      </c>
      <c r="P459" s="44" t="s">
        <v>57</v>
      </c>
      <c r="Q459" s="26" t="s">
        <v>57</v>
      </c>
      <c r="R459" s="44" t="s">
        <v>90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70">
        <v>46248</v>
      </c>
      <c r="X459" s="30" t="s">
        <v>55</v>
      </c>
      <c r="Y459" s="30" t="s">
        <v>57</v>
      </c>
      <c r="Z459" s="30" t="s">
        <v>57</v>
      </c>
      <c r="AA459" s="30" t="s">
        <v>90</v>
      </c>
      <c r="AB459" s="30" t="s">
        <v>57</v>
      </c>
      <c r="AC459" s="27"/>
      <c r="AD459" s="31" t="s">
        <v>56</v>
      </c>
      <c r="AE459" s="32" t="str">
        <f t="shared" si="37"/>
        <v>⚠ Missing</v>
      </c>
      <c r="AF459" s="33" t="s">
        <v>61</v>
      </c>
      <c r="AG459" s="33" t="s">
        <v>62</v>
      </c>
      <c r="AH459" s="33" t="s">
        <v>57</v>
      </c>
      <c r="AI459" s="33" t="s">
        <v>56</v>
      </c>
      <c r="AJ459" s="33" t="s">
        <v>60</v>
      </c>
      <c r="AK459" s="33" t="s">
        <v>57</v>
      </c>
      <c r="AL459" s="27"/>
      <c r="AM459" s="34" t="s">
        <v>57</v>
      </c>
      <c r="AN459" s="35" t="str">
        <f t="shared" si="38"/>
        <v>❌ Disc</v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5516</v>
      </c>
      <c r="C460" s="41" t="s">
        <v>5517</v>
      </c>
      <c r="D460" s="39" t="s">
        <v>5501</v>
      </c>
      <c r="E460" s="42">
        <v>46128</v>
      </c>
      <c r="F460" s="26" t="s">
        <v>55</v>
      </c>
      <c r="G460" s="44" t="s">
        <v>57</v>
      </c>
      <c r="H460" s="26" t="s">
        <v>57</v>
      </c>
      <c r="I460" s="44" t="s">
        <v>90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42">
        <v>46196</v>
      </c>
      <c r="O460" s="26" t="s">
        <v>55</v>
      </c>
      <c r="P460" s="44" t="s">
        <v>57</v>
      </c>
      <c r="Q460" s="26" t="s">
        <v>57</v>
      </c>
      <c r="R460" s="44" t="s">
        <v>90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70">
        <v>46248</v>
      </c>
      <c r="X460" s="30" t="s">
        <v>55</v>
      </c>
      <c r="Y460" s="30" t="s">
        <v>57</v>
      </c>
      <c r="Z460" s="30" t="s">
        <v>57</v>
      </c>
      <c r="AA460" s="30" t="s">
        <v>90</v>
      </c>
      <c r="AB460" s="30" t="s">
        <v>57</v>
      </c>
      <c r="AC460" s="27"/>
      <c r="AD460" s="31" t="s">
        <v>56</v>
      </c>
      <c r="AE460" s="32" t="str">
        <f t="shared" si="37"/>
        <v>⚠ Missing</v>
      </c>
      <c r="AF460" s="33" t="s">
        <v>61</v>
      </c>
      <c r="AG460" s="33" t="s">
        <v>62</v>
      </c>
      <c r="AH460" s="33" t="s">
        <v>57</v>
      </c>
      <c r="AI460" s="33" t="s">
        <v>56</v>
      </c>
      <c r="AJ460" s="33" t="s">
        <v>60</v>
      </c>
      <c r="AK460" s="33" t="s">
        <v>57</v>
      </c>
      <c r="AL460" s="27"/>
      <c r="AM460" s="34" t="s">
        <v>57</v>
      </c>
      <c r="AN460" s="35" t="str">
        <f t="shared" si="38"/>
        <v>❌ Disc</v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5518</v>
      </c>
      <c r="C461" s="25" t="s">
        <v>5519</v>
      </c>
      <c r="D461" s="23" t="s">
        <v>5501</v>
      </c>
      <c r="E461" s="42">
        <v>46128</v>
      </c>
      <c r="F461" s="26" t="s">
        <v>55</v>
      </c>
      <c r="G461" s="44" t="s">
        <v>57</v>
      </c>
      <c r="H461" s="26" t="s">
        <v>57</v>
      </c>
      <c r="I461" s="44" t="s">
        <v>90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42">
        <v>46196</v>
      </c>
      <c r="O461" s="26" t="s">
        <v>55</v>
      </c>
      <c r="P461" s="44" t="s">
        <v>57</v>
      </c>
      <c r="Q461" s="26" t="s">
        <v>57</v>
      </c>
      <c r="R461" s="44" t="s">
        <v>90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70">
        <v>46248</v>
      </c>
      <c r="X461" s="30" t="s">
        <v>55</v>
      </c>
      <c r="Y461" s="30" t="s">
        <v>57</v>
      </c>
      <c r="Z461" s="30" t="s">
        <v>57</v>
      </c>
      <c r="AA461" s="30" t="s">
        <v>90</v>
      </c>
      <c r="AB461" s="30" t="s">
        <v>57</v>
      </c>
      <c r="AC461" s="27"/>
      <c r="AD461" s="31" t="s">
        <v>56</v>
      </c>
      <c r="AE461" s="32" t="str">
        <f t="shared" si="37"/>
        <v>⚠ Missing</v>
      </c>
      <c r="AF461" s="33" t="s">
        <v>61</v>
      </c>
      <c r="AG461" s="33" t="s">
        <v>62</v>
      </c>
      <c r="AH461" s="33" t="s">
        <v>57</v>
      </c>
      <c r="AI461" s="33" t="s">
        <v>56</v>
      </c>
      <c r="AJ461" s="33" t="s">
        <v>60</v>
      </c>
      <c r="AK461" s="33" t="s">
        <v>57</v>
      </c>
      <c r="AL461" s="27"/>
      <c r="AM461" s="34" t="s">
        <v>57</v>
      </c>
      <c r="AN461" s="35" t="str">
        <f t="shared" si="38"/>
        <v>❌ Disc</v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5520</v>
      </c>
      <c r="C462" s="41" t="s">
        <v>5521</v>
      </c>
      <c r="D462" s="39" t="s">
        <v>5501</v>
      </c>
      <c r="E462" s="42">
        <v>46128</v>
      </c>
      <c r="F462" s="26" t="s">
        <v>55</v>
      </c>
      <c r="G462" s="44" t="s">
        <v>57</v>
      </c>
      <c r="H462" s="26" t="s">
        <v>57</v>
      </c>
      <c r="I462" s="44" t="s">
        <v>90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42">
        <v>46196</v>
      </c>
      <c r="O462" s="26" t="s">
        <v>55</v>
      </c>
      <c r="P462" s="44" t="s">
        <v>57</v>
      </c>
      <c r="Q462" s="26" t="s">
        <v>57</v>
      </c>
      <c r="R462" s="44" t="s">
        <v>90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70">
        <v>46248</v>
      </c>
      <c r="X462" s="30" t="s">
        <v>55</v>
      </c>
      <c r="Y462" s="30" t="s">
        <v>57</v>
      </c>
      <c r="Z462" s="30" t="s">
        <v>57</v>
      </c>
      <c r="AA462" s="30" t="s">
        <v>90</v>
      </c>
      <c r="AB462" s="30" t="s">
        <v>57</v>
      </c>
      <c r="AC462" s="27"/>
      <c r="AD462" s="31" t="s">
        <v>56</v>
      </c>
      <c r="AE462" s="32" t="str">
        <f t="shared" si="37"/>
        <v>⚠ Missing</v>
      </c>
      <c r="AF462" s="33" t="s">
        <v>61</v>
      </c>
      <c r="AG462" s="33" t="s">
        <v>62</v>
      </c>
      <c r="AH462" s="33" t="s">
        <v>57</v>
      </c>
      <c r="AI462" s="33" t="s">
        <v>56</v>
      </c>
      <c r="AJ462" s="33" t="s">
        <v>60</v>
      </c>
      <c r="AK462" s="33" t="s">
        <v>57</v>
      </c>
      <c r="AL462" s="27"/>
      <c r="AM462" s="34" t="s">
        <v>57</v>
      </c>
      <c r="AN462" s="35" t="str">
        <f t="shared" si="38"/>
        <v>❌ Disc</v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5522</v>
      </c>
      <c r="C463" s="25" t="s">
        <v>5523</v>
      </c>
      <c r="D463" s="23" t="s">
        <v>5501</v>
      </c>
      <c r="E463" s="42">
        <v>46128</v>
      </c>
      <c r="F463" s="26" t="s">
        <v>55</v>
      </c>
      <c r="G463" s="44" t="s">
        <v>57</v>
      </c>
      <c r="H463" s="26" t="s">
        <v>57</v>
      </c>
      <c r="I463" s="44" t="s">
        <v>90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42">
        <v>46196</v>
      </c>
      <c r="O463" s="26" t="s">
        <v>55</v>
      </c>
      <c r="P463" s="44" t="s">
        <v>57</v>
      </c>
      <c r="Q463" s="26" t="s">
        <v>57</v>
      </c>
      <c r="R463" s="44" t="s">
        <v>90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70">
        <v>46248</v>
      </c>
      <c r="X463" s="30" t="s">
        <v>55</v>
      </c>
      <c r="Y463" s="30" t="s">
        <v>57</v>
      </c>
      <c r="Z463" s="30" t="s">
        <v>57</v>
      </c>
      <c r="AA463" s="30" t="s">
        <v>90</v>
      </c>
      <c r="AB463" s="30" t="s">
        <v>57</v>
      </c>
      <c r="AC463" s="27"/>
      <c r="AD463" s="31" t="s">
        <v>56</v>
      </c>
      <c r="AE463" s="32" t="str">
        <f t="shared" si="37"/>
        <v>⚠ Missing</v>
      </c>
      <c r="AF463" s="33" t="s">
        <v>61</v>
      </c>
      <c r="AG463" s="33" t="s">
        <v>62</v>
      </c>
      <c r="AH463" s="33" t="s">
        <v>57</v>
      </c>
      <c r="AI463" s="33" t="s">
        <v>56</v>
      </c>
      <c r="AJ463" s="33" t="s">
        <v>60</v>
      </c>
      <c r="AK463" s="33" t="s">
        <v>57</v>
      </c>
      <c r="AL463" s="27"/>
      <c r="AM463" s="34" t="s">
        <v>57</v>
      </c>
      <c r="AN463" s="35" t="str">
        <f t="shared" si="38"/>
        <v>❌ Disc</v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5524</v>
      </c>
      <c r="C464" s="41" t="s">
        <v>5525</v>
      </c>
      <c r="D464" s="39" t="s">
        <v>5501</v>
      </c>
      <c r="E464" s="42">
        <v>46128</v>
      </c>
      <c r="F464" s="26" t="s">
        <v>55</v>
      </c>
      <c r="G464" s="44" t="s">
        <v>57</v>
      </c>
      <c r="H464" s="26" t="s">
        <v>57</v>
      </c>
      <c r="I464" s="44" t="s">
        <v>90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42">
        <v>46196</v>
      </c>
      <c r="O464" s="26" t="s">
        <v>55</v>
      </c>
      <c r="P464" s="44" t="s">
        <v>57</v>
      </c>
      <c r="Q464" s="26" t="s">
        <v>57</v>
      </c>
      <c r="R464" s="44" t="s">
        <v>90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70">
        <v>46248</v>
      </c>
      <c r="X464" s="30" t="s">
        <v>55</v>
      </c>
      <c r="Y464" s="30" t="s">
        <v>57</v>
      </c>
      <c r="Z464" s="30" t="s">
        <v>57</v>
      </c>
      <c r="AA464" s="30" t="s">
        <v>90</v>
      </c>
      <c r="AB464" s="30" t="s">
        <v>57</v>
      </c>
      <c r="AC464" s="27"/>
      <c r="AD464" s="31" t="s">
        <v>56</v>
      </c>
      <c r="AE464" s="32" t="str">
        <f t="shared" si="37"/>
        <v>⚠ Missing</v>
      </c>
      <c r="AF464" s="33" t="s">
        <v>61</v>
      </c>
      <c r="AG464" s="33" t="s">
        <v>62</v>
      </c>
      <c r="AH464" s="33" t="s">
        <v>57</v>
      </c>
      <c r="AI464" s="33" t="s">
        <v>56</v>
      </c>
      <c r="AJ464" s="33" t="s">
        <v>60</v>
      </c>
      <c r="AK464" s="33" t="s">
        <v>57</v>
      </c>
      <c r="AL464" s="27"/>
      <c r="AM464" s="34" t="s">
        <v>57</v>
      </c>
      <c r="AN464" s="35" t="str">
        <f t="shared" si="38"/>
        <v>❌ Disc</v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5526</v>
      </c>
      <c r="C465" s="25" t="s">
        <v>5527</v>
      </c>
      <c r="D465" s="23" t="s">
        <v>5501</v>
      </c>
      <c r="E465" s="42">
        <v>46128</v>
      </c>
      <c r="F465" s="26" t="s">
        <v>55</v>
      </c>
      <c r="G465" s="44" t="s">
        <v>57</v>
      </c>
      <c r="H465" s="26" t="s">
        <v>57</v>
      </c>
      <c r="I465" s="44" t="s">
        <v>90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42">
        <v>46196</v>
      </c>
      <c r="O465" s="26" t="s">
        <v>55</v>
      </c>
      <c r="P465" s="44" t="s">
        <v>57</v>
      </c>
      <c r="Q465" s="26" t="s">
        <v>57</v>
      </c>
      <c r="R465" s="44" t="s">
        <v>90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70">
        <v>46248</v>
      </c>
      <c r="X465" s="30" t="s">
        <v>55</v>
      </c>
      <c r="Y465" s="30" t="s">
        <v>57</v>
      </c>
      <c r="Z465" s="30" t="s">
        <v>57</v>
      </c>
      <c r="AA465" s="30" t="s">
        <v>90</v>
      </c>
      <c r="AB465" s="30" t="s">
        <v>57</v>
      </c>
      <c r="AC465" s="27"/>
      <c r="AD465" s="31" t="s">
        <v>56</v>
      </c>
      <c r="AE465" s="32" t="str">
        <f t="shared" si="37"/>
        <v>⚠ Missing</v>
      </c>
      <c r="AF465" s="33" t="s">
        <v>61</v>
      </c>
      <c r="AG465" s="33" t="s">
        <v>62</v>
      </c>
      <c r="AH465" s="33" t="s">
        <v>57</v>
      </c>
      <c r="AI465" s="33" t="s">
        <v>56</v>
      </c>
      <c r="AJ465" s="33" t="s">
        <v>60</v>
      </c>
      <c r="AK465" s="33" t="s">
        <v>57</v>
      </c>
      <c r="AL465" s="27"/>
      <c r="AM465" s="34" t="s">
        <v>57</v>
      </c>
      <c r="AN465" s="35" t="str">
        <f t="shared" si="38"/>
        <v>❌ Disc</v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5528</v>
      </c>
      <c r="C466" s="41" t="s">
        <v>5529</v>
      </c>
      <c r="D466" s="39" t="s">
        <v>5501</v>
      </c>
      <c r="E466" s="42">
        <v>46128</v>
      </c>
      <c r="F466" s="26" t="s">
        <v>55</v>
      </c>
      <c r="G466" s="44" t="s">
        <v>57</v>
      </c>
      <c r="H466" s="26" t="s">
        <v>57</v>
      </c>
      <c r="I466" s="44" t="s">
        <v>90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42">
        <v>46196</v>
      </c>
      <c r="O466" s="26" t="s">
        <v>55</v>
      </c>
      <c r="P466" s="44" t="s">
        <v>57</v>
      </c>
      <c r="Q466" s="26" t="s">
        <v>57</v>
      </c>
      <c r="R466" s="44" t="s">
        <v>90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70">
        <v>46248</v>
      </c>
      <c r="X466" s="30" t="s">
        <v>55</v>
      </c>
      <c r="Y466" s="30" t="s">
        <v>57</v>
      </c>
      <c r="Z466" s="30" t="s">
        <v>57</v>
      </c>
      <c r="AA466" s="30" t="s">
        <v>90</v>
      </c>
      <c r="AB466" s="30" t="s">
        <v>57</v>
      </c>
      <c r="AC466" s="27"/>
      <c r="AD466" s="31" t="s">
        <v>56</v>
      </c>
      <c r="AE466" s="32" t="str">
        <f t="shared" si="37"/>
        <v>⚠ Missing</v>
      </c>
      <c r="AF466" s="33" t="s">
        <v>61</v>
      </c>
      <c r="AG466" s="33" t="s">
        <v>62</v>
      </c>
      <c r="AH466" s="33" t="s">
        <v>57</v>
      </c>
      <c r="AI466" s="33" t="s">
        <v>56</v>
      </c>
      <c r="AJ466" s="33" t="s">
        <v>60</v>
      </c>
      <c r="AK466" s="33" t="s">
        <v>57</v>
      </c>
      <c r="AL466" s="27"/>
      <c r="AM466" s="34" t="s">
        <v>57</v>
      </c>
      <c r="AN466" s="35" t="str">
        <f t="shared" si="38"/>
        <v>❌ Disc</v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5530</v>
      </c>
      <c r="C467" s="25" t="s">
        <v>5531</v>
      </c>
      <c r="D467" s="23" t="s">
        <v>5501</v>
      </c>
      <c r="E467" s="42">
        <v>46128</v>
      </c>
      <c r="F467" s="26" t="s">
        <v>55</v>
      </c>
      <c r="G467" s="44" t="s">
        <v>57</v>
      </c>
      <c r="H467" s="26" t="s">
        <v>57</v>
      </c>
      <c r="I467" s="44" t="s">
        <v>90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42">
        <v>46196</v>
      </c>
      <c r="O467" s="26" t="s">
        <v>55</v>
      </c>
      <c r="P467" s="44" t="s">
        <v>57</v>
      </c>
      <c r="Q467" s="26" t="s">
        <v>57</v>
      </c>
      <c r="R467" s="44" t="s">
        <v>90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70">
        <v>46248</v>
      </c>
      <c r="X467" s="30" t="s">
        <v>55</v>
      </c>
      <c r="Y467" s="30" t="s">
        <v>57</v>
      </c>
      <c r="Z467" s="30" t="s">
        <v>57</v>
      </c>
      <c r="AA467" s="30" t="s">
        <v>90</v>
      </c>
      <c r="AB467" s="30" t="s">
        <v>57</v>
      </c>
      <c r="AC467" s="27"/>
      <c r="AD467" s="31" t="s">
        <v>56</v>
      </c>
      <c r="AE467" s="32" t="str">
        <f t="shared" si="37"/>
        <v>⚠ Missing</v>
      </c>
      <c r="AF467" s="33" t="s">
        <v>61</v>
      </c>
      <c r="AG467" s="33" t="s">
        <v>62</v>
      </c>
      <c r="AH467" s="33" t="s">
        <v>57</v>
      </c>
      <c r="AI467" s="33" t="s">
        <v>56</v>
      </c>
      <c r="AJ467" s="33" t="s">
        <v>60</v>
      </c>
      <c r="AK467" s="33" t="s">
        <v>57</v>
      </c>
      <c r="AL467" s="27"/>
      <c r="AM467" s="34" t="s">
        <v>57</v>
      </c>
      <c r="AN467" s="35" t="str">
        <f t="shared" si="38"/>
        <v>❌ Disc</v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5532</v>
      </c>
      <c r="C468" s="41" t="s">
        <v>5533</v>
      </c>
      <c r="D468" s="39" t="s">
        <v>5501</v>
      </c>
      <c r="E468" s="42">
        <v>46128</v>
      </c>
      <c r="F468" s="26" t="s">
        <v>55</v>
      </c>
      <c r="G468" s="44" t="s">
        <v>57</v>
      </c>
      <c r="H468" s="26" t="s">
        <v>57</v>
      </c>
      <c r="I468" s="44" t="s">
        <v>90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42">
        <v>46196</v>
      </c>
      <c r="O468" s="26" t="s">
        <v>55</v>
      </c>
      <c r="P468" s="44" t="s">
        <v>57</v>
      </c>
      <c r="Q468" s="26" t="s">
        <v>57</v>
      </c>
      <c r="R468" s="44" t="s">
        <v>90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70">
        <v>46248</v>
      </c>
      <c r="X468" s="30" t="s">
        <v>55</v>
      </c>
      <c r="Y468" s="30" t="s">
        <v>57</v>
      </c>
      <c r="Z468" s="30" t="s">
        <v>57</v>
      </c>
      <c r="AA468" s="30" t="s">
        <v>90</v>
      </c>
      <c r="AB468" s="30" t="s">
        <v>57</v>
      </c>
      <c r="AC468" s="27"/>
      <c r="AD468" s="31" t="s">
        <v>56</v>
      </c>
      <c r="AE468" s="32" t="str">
        <f t="shared" si="37"/>
        <v>⚠ Missing</v>
      </c>
      <c r="AF468" s="33" t="s">
        <v>61</v>
      </c>
      <c r="AG468" s="33" t="s">
        <v>62</v>
      </c>
      <c r="AH468" s="33" t="s">
        <v>57</v>
      </c>
      <c r="AI468" s="33" t="s">
        <v>56</v>
      </c>
      <c r="AJ468" s="33" t="s">
        <v>60</v>
      </c>
      <c r="AK468" s="33" t="s">
        <v>57</v>
      </c>
      <c r="AL468" s="27"/>
      <c r="AM468" s="34" t="s">
        <v>57</v>
      </c>
      <c r="AN468" s="35" t="str">
        <f t="shared" si="38"/>
        <v>❌ Disc</v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5534</v>
      </c>
      <c r="C469" s="25" t="s">
        <v>5535</v>
      </c>
      <c r="D469" s="23" t="s">
        <v>5501</v>
      </c>
      <c r="E469" s="42">
        <v>46128</v>
      </c>
      <c r="F469" s="26" t="s">
        <v>55</v>
      </c>
      <c r="G469" s="44" t="s">
        <v>57</v>
      </c>
      <c r="H469" s="26" t="s">
        <v>57</v>
      </c>
      <c r="I469" s="44" t="s">
        <v>90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42">
        <v>46196</v>
      </c>
      <c r="O469" s="26" t="s">
        <v>55</v>
      </c>
      <c r="P469" s="44" t="s">
        <v>57</v>
      </c>
      <c r="Q469" s="26" t="s">
        <v>57</v>
      </c>
      <c r="R469" s="44" t="s">
        <v>90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70">
        <v>46248</v>
      </c>
      <c r="X469" s="30" t="s">
        <v>55</v>
      </c>
      <c r="Y469" s="30" t="s">
        <v>57</v>
      </c>
      <c r="Z469" s="30" t="s">
        <v>57</v>
      </c>
      <c r="AA469" s="30" t="s">
        <v>90</v>
      </c>
      <c r="AB469" s="30" t="s">
        <v>57</v>
      </c>
      <c r="AC469" s="27"/>
      <c r="AD469" s="31" t="s">
        <v>56</v>
      </c>
      <c r="AE469" s="32" t="str">
        <f t="shared" si="37"/>
        <v>⚠ Missing</v>
      </c>
      <c r="AF469" s="33" t="s">
        <v>61</v>
      </c>
      <c r="AG469" s="33" t="s">
        <v>62</v>
      </c>
      <c r="AH469" s="33" t="s">
        <v>57</v>
      </c>
      <c r="AI469" s="33" t="s">
        <v>56</v>
      </c>
      <c r="AJ469" s="33" t="s">
        <v>60</v>
      </c>
      <c r="AK469" s="33" t="s">
        <v>57</v>
      </c>
      <c r="AL469" s="27"/>
      <c r="AM469" s="34" t="s">
        <v>57</v>
      </c>
      <c r="AN469" s="35" t="str">
        <f t="shared" si="38"/>
        <v>❌ Disc</v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5536</v>
      </c>
      <c r="C470" s="41" t="s">
        <v>5537</v>
      </c>
      <c r="D470" s="39" t="s">
        <v>5501</v>
      </c>
      <c r="E470" s="42">
        <v>46128</v>
      </c>
      <c r="F470" s="26" t="s">
        <v>55</v>
      </c>
      <c r="G470" s="44" t="s">
        <v>57</v>
      </c>
      <c r="H470" s="26" t="s">
        <v>57</v>
      </c>
      <c r="I470" s="44" t="s">
        <v>90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42">
        <v>46196</v>
      </c>
      <c r="O470" s="26" t="s">
        <v>55</v>
      </c>
      <c r="P470" s="44" t="s">
        <v>57</v>
      </c>
      <c r="Q470" s="26" t="s">
        <v>57</v>
      </c>
      <c r="R470" s="44" t="s">
        <v>90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70">
        <v>46248</v>
      </c>
      <c r="X470" s="30" t="s">
        <v>55</v>
      </c>
      <c r="Y470" s="30" t="s">
        <v>57</v>
      </c>
      <c r="Z470" s="30" t="s">
        <v>57</v>
      </c>
      <c r="AA470" s="30" t="s">
        <v>90</v>
      </c>
      <c r="AB470" s="30" t="s">
        <v>57</v>
      </c>
      <c r="AC470" s="27"/>
      <c r="AD470" s="31" t="s">
        <v>56</v>
      </c>
      <c r="AE470" s="32" t="str">
        <f t="shared" si="37"/>
        <v>⚠ Missing</v>
      </c>
      <c r="AF470" s="33" t="s">
        <v>61</v>
      </c>
      <c r="AG470" s="33" t="s">
        <v>62</v>
      </c>
      <c r="AH470" s="33" t="s">
        <v>57</v>
      </c>
      <c r="AI470" s="33" t="s">
        <v>56</v>
      </c>
      <c r="AJ470" s="33" t="s">
        <v>60</v>
      </c>
      <c r="AK470" s="33" t="s">
        <v>57</v>
      </c>
      <c r="AL470" s="27"/>
      <c r="AM470" s="34" t="s">
        <v>57</v>
      </c>
      <c r="AN470" s="35" t="str">
        <f t="shared" si="38"/>
        <v>❌ Disc</v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5538</v>
      </c>
      <c r="C471" s="25" t="s">
        <v>5539</v>
      </c>
      <c r="D471" s="23" t="s">
        <v>5501</v>
      </c>
      <c r="E471" s="42">
        <v>46128</v>
      </c>
      <c r="F471" s="26" t="s">
        <v>55</v>
      </c>
      <c r="G471" s="44" t="s">
        <v>57</v>
      </c>
      <c r="H471" s="26" t="s">
        <v>57</v>
      </c>
      <c r="I471" s="44" t="s">
        <v>90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42">
        <v>46196</v>
      </c>
      <c r="O471" s="26" t="s">
        <v>55</v>
      </c>
      <c r="P471" s="44" t="s">
        <v>57</v>
      </c>
      <c r="Q471" s="26" t="s">
        <v>57</v>
      </c>
      <c r="R471" s="44" t="s">
        <v>90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70">
        <v>46248</v>
      </c>
      <c r="X471" s="30" t="s">
        <v>55</v>
      </c>
      <c r="Y471" s="30" t="s">
        <v>57</v>
      </c>
      <c r="Z471" s="30" t="s">
        <v>57</v>
      </c>
      <c r="AA471" s="30" t="s">
        <v>90</v>
      </c>
      <c r="AB471" s="30" t="s">
        <v>57</v>
      </c>
      <c r="AC471" s="27"/>
      <c r="AD471" s="31" t="s">
        <v>56</v>
      </c>
      <c r="AE471" s="32" t="str">
        <f t="shared" si="37"/>
        <v>⚠ Missing</v>
      </c>
      <c r="AF471" s="33" t="s">
        <v>61</v>
      </c>
      <c r="AG471" s="33" t="s">
        <v>62</v>
      </c>
      <c r="AH471" s="33" t="s">
        <v>57</v>
      </c>
      <c r="AI471" s="33" t="s">
        <v>56</v>
      </c>
      <c r="AJ471" s="33" t="s">
        <v>60</v>
      </c>
      <c r="AK471" s="33" t="s">
        <v>57</v>
      </c>
      <c r="AL471" s="27"/>
      <c r="AM471" s="34" t="s">
        <v>57</v>
      </c>
      <c r="AN471" s="35" t="str">
        <f t="shared" si="38"/>
        <v>❌ Disc</v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5540</v>
      </c>
      <c r="C472" s="41" t="s">
        <v>5541</v>
      </c>
      <c r="D472" s="39" t="s">
        <v>5501</v>
      </c>
      <c r="E472" s="42">
        <v>46128</v>
      </c>
      <c r="F472" s="26" t="s">
        <v>55</v>
      </c>
      <c r="G472" s="44" t="s">
        <v>56</v>
      </c>
      <c r="H472" s="26" t="s">
        <v>57</v>
      </c>
      <c r="I472" s="44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42">
        <v>46196</v>
      </c>
      <c r="O472" s="26" t="s">
        <v>55</v>
      </c>
      <c r="P472" s="44" t="s">
        <v>56</v>
      </c>
      <c r="Q472" s="26" t="s">
        <v>57</v>
      </c>
      <c r="R472" s="44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70">
        <v>46248</v>
      </c>
      <c r="X472" s="30" t="s">
        <v>55</v>
      </c>
      <c r="Y472" s="30" t="s">
        <v>56</v>
      </c>
      <c r="Z472" s="30" t="s">
        <v>57</v>
      </c>
      <c r="AA472" s="30" t="s">
        <v>58</v>
      </c>
      <c r="AB472" s="30" t="s">
        <v>56</v>
      </c>
      <c r="AC472" s="27"/>
      <c r="AD472" s="31" t="s">
        <v>57</v>
      </c>
      <c r="AE472" s="32" t="str">
        <f t="shared" si="37"/>
        <v>✓ OK</v>
      </c>
      <c r="AF472" s="33" t="s">
        <v>61</v>
      </c>
      <c r="AG472" s="33" t="s">
        <v>55</v>
      </c>
      <c r="AH472" s="33" t="s">
        <v>56</v>
      </c>
      <c r="AI472" s="33" t="s">
        <v>57</v>
      </c>
      <c r="AJ472" s="33" t="s">
        <v>58</v>
      </c>
      <c r="AK472" s="33" t="s">
        <v>56</v>
      </c>
      <c r="AL472" s="27"/>
      <c r="AM472" s="34" t="s">
        <v>57</v>
      </c>
      <c r="AN472" s="35" t="str">
        <f t="shared" si="38"/>
        <v>✓ OK</v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5542</v>
      </c>
      <c r="C473" s="25" t="s">
        <v>5543</v>
      </c>
      <c r="D473" s="23" t="s">
        <v>5501</v>
      </c>
      <c r="E473" s="42">
        <v>46128</v>
      </c>
      <c r="F473" s="26" t="s">
        <v>55</v>
      </c>
      <c r="G473" s="44" t="s">
        <v>833</v>
      </c>
      <c r="H473" s="26" t="s">
        <v>57</v>
      </c>
      <c r="I473" s="44" t="s">
        <v>833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42">
        <v>46196</v>
      </c>
      <c r="O473" s="26" t="s">
        <v>55</v>
      </c>
      <c r="P473" s="44" t="s">
        <v>833</v>
      </c>
      <c r="Q473" s="26" t="s">
        <v>57</v>
      </c>
      <c r="R473" s="44" t="s">
        <v>833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70">
        <v>46248</v>
      </c>
      <c r="X473" s="30" t="s">
        <v>55</v>
      </c>
      <c r="Y473" s="30" t="s">
        <v>833</v>
      </c>
      <c r="Z473" s="30" t="s">
        <v>57</v>
      </c>
      <c r="AA473" s="30" t="s">
        <v>833</v>
      </c>
      <c r="AB473" s="30" t="s">
        <v>56</v>
      </c>
      <c r="AC473" s="27"/>
      <c r="AD473" s="31" t="s">
        <v>57</v>
      </c>
      <c r="AE473" s="32" t="str">
        <f t="shared" si="37"/>
        <v>✓ OK</v>
      </c>
      <c r="AF473" s="33" t="s">
        <v>61</v>
      </c>
      <c r="AG473" s="33" t="s">
        <v>55</v>
      </c>
      <c r="AH473" s="33" t="s">
        <v>833</v>
      </c>
      <c r="AI473" s="33" t="s">
        <v>57</v>
      </c>
      <c r="AJ473" s="33" t="s">
        <v>833</v>
      </c>
      <c r="AK473" s="33" t="s">
        <v>56</v>
      </c>
      <c r="AL473" s="27"/>
      <c r="AM473" s="34" t="s">
        <v>57</v>
      </c>
      <c r="AN473" s="35" t="str">
        <f t="shared" si="38"/>
        <v>✓ OK</v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5544</v>
      </c>
      <c r="C474" s="41" t="s">
        <v>5545</v>
      </c>
      <c r="D474" s="39" t="s">
        <v>5501</v>
      </c>
      <c r="E474" s="42">
        <v>46128</v>
      </c>
      <c r="F474" s="26" t="s">
        <v>55</v>
      </c>
      <c r="G474" s="44" t="s">
        <v>833</v>
      </c>
      <c r="H474" s="26" t="s">
        <v>57</v>
      </c>
      <c r="I474" s="44" t="s">
        <v>833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42">
        <v>46196</v>
      </c>
      <c r="O474" s="26" t="s">
        <v>55</v>
      </c>
      <c r="P474" s="44" t="s">
        <v>833</v>
      </c>
      <c r="Q474" s="26" t="s">
        <v>57</v>
      </c>
      <c r="R474" s="44" t="s">
        <v>833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70">
        <v>46248</v>
      </c>
      <c r="X474" s="30" t="s">
        <v>55</v>
      </c>
      <c r="Y474" s="30" t="s">
        <v>833</v>
      </c>
      <c r="Z474" s="30" t="s">
        <v>57</v>
      </c>
      <c r="AA474" s="30" t="s">
        <v>833</v>
      </c>
      <c r="AB474" s="30" t="s">
        <v>56</v>
      </c>
      <c r="AC474" s="27"/>
      <c r="AD474" s="31" t="s">
        <v>57</v>
      </c>
      <c r="AE474" s="32" t="str">
        <f t="shared" si="37"/>
        <v>✓ OK</v>
      </c>
      <c r="AF474" s="33" t="s">
        <v>61</v>
      </c>
      <c r="AG474" s="33" t="s">
        <v>55</v>
      </c>
      <c r="AH474" s="33" t="s">
        <v>833</v>
      </c>
      <c r="AI474" s="33" t="s">
        <v>57</v>
      </c>
      <c r="AJ474" s="33" t="s">
        <v>833</v>
      </c>
      <c r="AK474" s="33" t="s">
        <v>56</v>
      </c>
      <c r="AL474" s="27"/>
      <c r="AM474" s="34" t="s">
        <v>57</v>
      </c>
      <c r="AN474" s="35" t="str">
        <f t="shared" si="38"/>
        <v>✓ OK</v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5546</v>
      </c>
      <c r="C475" s="25" t="s">
        <v>5547</v>
      </c>
      <c r="D475" s="23" t="s">
        <v>5501</v>
      </c>
      <c r="E475" s="42">
        <v>46128</v>
      </c>
      <c r="F475" s="26" t="s">
        <v>55</v>
      </c>
      <c r="G475" s="44" t="s">
        <v>833</v>
      </c>
      <c r="H475" s="26" t="s">
        <v>57</v>
      </c>
      <c r="I475" s="44" t="s">
        <v>833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42">
        <v>46196</v>
      </c>
      <c r="O475" s="26" t="s">
        <v>55</v>
      </c>
      <c r="P475" s="44" t="s">
        <v>833</v>
      </c>
      <c r="Q475" s="26" t="s">
        <v>57</v>
      </c>
      <c r="R475" s="44" t="s">
        <v>833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70">
        <v>46248</v>
      </c>
      <c r="X475" s="30" t="s">
        <v>55</v>
      </c>
      <c r="Y475" s="30" t="s">
        <v>833</v>
      </c>
      <c r="Z475" s="30" t="s">
        <v>57</v>
      </c>
      <c r="AA475" s="30" t="s">
        <v>833</v>
      </c>
      <c r="AB475" s="30" t="s">
        <v>56</v>
      </c>
      <c r="AC475" s="27"/>
      <c r="AD475" s="31" t="s">
        <v>57</v>
      </c>
      <c r="AE475" s="32" t="str">
        <f t="shared" si="37"/>
        <v>✓ OK</v>
      </c>
      <c r="AF475" s="33" t="s">
        <v>61</v>
      </c>
      <c r="AG475" s="33" t="s">
        <v>55</v>
      </c>
      <c r="AH475" s="33" t="s">
        <v>833</v>
      </c>
      <c r="AI475" s="33" t="s">
        <v>57</v>
      </c>
      <c r="AJ475" s="33" t="s">
        <v>833</v>
      </c>
      <c r="AK475" s="33" t="s">
        <v>56</v>
      </c>
      <c r="AL475" s="27"/>
      <c r="AM475" s="34" t="s">
        <v>57</v>
      </c>
      <c r="AN475" s="35" t="str">
        <f t="shared" si="38"/>
        <v>✓ OK</v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5548</v>
      </c>
      <c r="C476" s="41" t="s">
        <v>5549</v>
      </c>
      <c r="D476" s="39" t="s">
        <v>5501</v>
      </c>
      <c r="E476" s="42">
        <v>46128</v>
      </c>
      <c r="F476" s="26" t="s">
        <v>55</v>
      </c>
      <c r="G476" s="44" t="s">
        <v>56</v>
      </c>
      <c r="H476" s="26" t="s">
        <v>57</v>
      </c>
      <c r="I476" s="44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42">
        <v>46196</v>
      </c>
      <c r="O476" s="26" t="s">
        <v>55</v>
      </c>
      <c r="P476" s="44" t="s">
        <v>56</v>
      </c>
      <c r="Q476" s="26" t="s">
        <v>57</v>
      </c>
      <c r="R476" s="44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70">
        <v>46248</v>
      </c>
      <c r="X476" s="30" t="s">
        <v>55</v>
      </c>
      <c r="Y476" s="30" t="s">
        <v>56</v>
      </c>
      <c r="Z476" s="30" t="s">
        <v>57</v>
      </c>
      <c r="AA476" s="30" t="s">
        <v>58</v>
      </c>
      <c r="AB476" s="30" t="s">
        <v>56</v>
      </c>
      <c r="AC476" s="27"/>
      <c r="AD476" s="31" t="s">
        <v>57</v>
      </c>
      <c r="AE476" s="32" t="str">
        <f t="shared" si="37"/>
        <v>✓ OK</v>
      </c>
      <c r="AF476" s="33" t="s">
        <v>61</v>
      </c>
      <c r="AG476" s="33" t="s">
        <v>55</v>
      </c>
      <c r="AH476" s="33" t="s">
        <v>56</v>
      </c>
      <c r="AI476" s="33" t="s">
        <v>57</v>
      </c>
      <c r="AJ476" s="33" t="s">
        <v>58</v>
      </c>
      <c r="AK476" s="33" t="s">
        <v>56</v>
      </c>
      <c r="AL476" s="27"/>
      <c r="AM476" s="34" t="s">
        <v>57</v>
      </c>
      <c r="AN476" s="35" t="str">
        <f t="shared" si="38"/>
        <v>✓ OK</v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5550</v>
      </c>
      <c r="C477" s="25" t="s">
        <v>5551</v>
      </c>
      <c r="D477" s="23" t="s">
        <v>5501</v>
      </c>
      <c r="E477" s="42">
        <v>46128</v>
      </c>
      <c r="F477" s="26" t="s">
        <v>55</v>
      </c>
      <c r="G477" s="44" t="s">
        <v>833</v>
      </c>
      <c r="H477" s="26" t="s">
        <v>57</v>
      </c>
      <c r="I477" s="44" t="s">
        <v>833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42">
        <v>46196</v>
      </c>
      <c r="O477" s="26" t="s">
        <v>55</v>
      </c>
      <c r="P477" s="44" t="s">
        <v>833</v>
      </c>
      <c r="Q477" s="26" t="s">
        <v>57</v>
      </c>
      <c r="R477" s="44" t="s">
        <v>833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70">
        <v>46248</v>
      </c>
      <c r="X477" s="30" t="s">
        <v>55</v>
      </c>
      <c r="Y477" s="30" t="s">
        <v>833</v>
      </c>
      <c r="Z477" s="30" t="s">
        <v>57</v>
      </c>
      <c r="AA477" s="30" t="s">
        <v>833</v>
      </c>
      <c r="AB477" s="30" t="s">
        <v>56</v>
      </c>
      <c r="AC477" s="27"/>
      <c r="AD477" s="31" t="s">
        <v>57</v>
      </c>
      <c r="AE477" s="32" t="str">
        <f t="shared" si="37"/>
        <v>✓ OK</v>
      </c>
      <c r="AF477" s="33" t="s">
        <v>61</v>
      </c>
      <c r="AG477" s="33" t="s">
        <v>55</v>
      </c>
      <c r="AH477" s="33" t="s">
        <v>833</v>
      </c>
      <c r="AI477" s="33" t="s">
        <v>57</v>
      </c>
      <c r="AJ477" s="33" t="s">
        <v>833</v>
      </c>
      <c r="AK477" s="33" t="s">
        <v>56</v>
      </c>
      <c r="AL477" s="27"/>
      <c r="AM477" s="34" t="s">
        <v>57</v>
      </c>
      <c r="AN477" s="35" t="str">
        <f t="shared" si="38"/>
        <v>✓ OK</v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5552</v>
      </c>
      <c r="C478" s="41" t="s">
        <v>5553</v>
      </c>
      <c r="D478" s="39" t="s">
        <v>5501</v>
      </c>
      <c r="E478" s="42">
        <v>46128</v>
      </c>
      <c r="F478" s="26" t="s">
        <v>55</v>
      </c>
      <c r="G478" s="44" t="s">
        <v>833</v>
      </c>
      <c r="H478" s="26" t="s">
        <v>57</v>
      </c>
      <c r="I478" s="44" t="s">
        <v>833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42">
        <v>46196</v>
      </c>
      <c r="O478" s="26" t="s">
        <v>55</v>
      </c>
      <c r="P478" s="44" t="s">
        <v>833</v>
      </c>
      <c r="Q478" s="26" t="s">
        <v>57</v>
      </c>
      <c r="R478" s="44" t="s">
        <v>833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70">
        <v>46248</v>
      </c>
      <c r="X478" s="30" t="s">
        <v>55</v>
      </c>
      <c r="Y478" s="30" t="s">
        <v>833</v>
      </c>
      <c r="Z478" s="30" t="s">
        <v>57</v>
      </c>
      <c r="AA478" s="30" t="s">
        <v>833</v>
      </c>
      <c r="AB478" s="30" t="s">
        <v>56</v>
      </c>
      <c r="AC478" s="27"/>
      <c r="AD478" s="31" t="s">
        <v>57</v>
      </c>
      <c r="AE478" s="32" t="str">
        <f t="shared" si="37"/>
        <v>✓ OK</v>
      </c>
      <c r="AF478" s="33" t="s">
        <v>61</v>
      </c>
      <c r="AG478" s="33" t="s">
        <v>55</v>
      </c>
      <c r="AH478" s="33" t="s">
        <v>833</v>
      </c>
      <c r="AI478" s="33" t="s">
        <v>57</v>
      </c>
      <c r="AJ478" s="33" t="s">
        <v>833</v>
      </c>
      <c r="AK478" s="33" t="s">
        <v>56</v>
      </c>
      <c r="AL478" s="27"/>
      <c r="AM478" s="34" t="s">
        <v>57</v>
      </c>
      <c r="AN478" s="35" t="str">
        <f t="shared" si="38"/>
        <v>✓ OK</v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5554</v>
      </c>
      <c r="C479" s="25" t="s">
        <v>5555</v>
      </c>
      <c r="D479" s="23" t="s">
        <v>5501</v>
      </c>
      <c r="E479" s="42">
        <v>46128</v>
      </c>
      <c r="F479" s="26" t="s">
        <v>55</v>
      </c>
      <c r="G479" s="44" t="s">
        <v>833</v>
      </c>
      <c r="H479" s="26" t="s">
        <v>57</v>
      </c>
      <c r="I479" s="44" t="s">
        <v>833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42">
        <v>46196</v>
      </c>
      <c r="O479" s="26" t="s">
        <v>55</v>
      </c>
      <c r="P479" s="44" t="s">
        <v>833</v>
      </c>
      <c r="Q479" s="26" t="s">
        <v>57</v>
      </c>
      <c r="R479" s="44" t="s">
        <v>833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70">
        <v>46248</v>
      </c>
      <c r="X479" s="30" t="s">
        <v>55</v>
      </c>
      <c r="Y479" s="30" t="s">
        <v>833</v>
      </c>
      <c r="Z479" s="30" t="s">
        <v>57</v>
      </c>
      <c r="AA479" s="30" t="s">
        <v>833</v>
      </c>
      <c r="AB479" s="30" t="s">
        <v>56</v>
      </c>
      <c r="AC479" s="27"/>
      <c r="AD479" s="31" t="s">
        <v>57</v>
      </c>
      <c r="AE479" s="32" t="str">
        <f t="shared" si="37"/>
        <v>✓ OK</v>
      </c>
      <c r="AF479" s="33" t="s">
        <v>61</v>
      </c>
      <c r="AG479" s="33" t="s">
        <v>55</v>
      </c>
      <c r="AH479" s="33" t="s">
        <v>833</v>
      </c>
      <c r="AI479" s="33" t="s">
        <v>57</v>
      </c>
      <c r="AJ479" s="33" t="s">
        <v>833</v>
      </c>
      <c r="AK479" s="33" t="s">
        <v>56</v>
      </c>
      <c r="AL479" s="27"/>
      <c r="AM479" s="34" t="s">
        <v>57</v>
      </c>
      <c r="AN479" s="35" t="str">
        <f t="shared" si="38"/>
        <v>✓ OK</v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5556</v>
      </c>
      <c r="C480" s="41" t="s">
        <v>5557</v>
      </c>
      <c r="D480" s="39" t="s">
        <v>5501</v>
      </c>
      <c r="E480" s="42">
        <v>46128</v>
      </c>
      <c r="F480" s="26" t="s">
        <v>55</v>
      </c>
      <c r="G480" s="44" t="s">
        <v>833</v>
      </c>
      <c r="H480" s="26" t="s">
        <v>57</v>
      </c>
      <c r="I480" s="44" t="s">
        <v>833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42">
        <v>46196</v>
      </c>
      <c r="O480" s="26" t="s">
        <v>55</v>
      </c>
      <c r="P480" s="44" t="s">
        <v>833</v>
      </c>
      <c r="Q480" s="26" t="s">
        <v>57</v>
      </c>
      <c r="R480" s="44" t="s">
        <v>833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70">
        <v>46248</v>
      </c>
      <c r="X480" s="30" t="s">
        <v>55</v>
      </c>
      <c r="Y480" s="30" t="s">
        <v>833</v>
      </c>
      <c r="Z480" s="30" t="s">
        <v>57</v>
      </c>
      <c r="AA480" s="30" t="s">
        <v>833</v>
      </c>
      <c r="AB480" s="30" t="s">
        <v>56</v>
      </c>
      <c r="AC480" s="27"/>
      <c r="AD480" s="31" t="s">
        <v>57</v>
      </c>
      <c r="AE480" s="32" t="str">
        <f t="shared" si="37"/>
        <v>✓ OK</v>
      </c>
      <c r="AF480" s="33" t="s">
        <v>61</v>
      </c>
      <c r="AG480" s="33" t="s">
        <v>55</v>
      </c>
      <c r="AH480" s="33" t="s">
        <v>833</v>
      </c>
      <c r="AI480" s="33" t="s">
        <v>57</v>
      </c>
      <c r="AJ480" s="33" t="s">
        <v>833</v>
      </c>
      <c r="AK480" s="33" t="s">
        <v>56</v>
      </c>
      <c r="AL480" s="27"/>
      <c r="AM480" s="34" t="s">
        <v>57</v>
      </c>
      <c r="AN480" s="35" t="str">
        <f t="shared" si="38"/>
        <v>✓ OK</v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5558</v>
      </c>
      <c r="C481" s="25" t="s">
        <v>5559</v>
      </c>
      <c r="D481" s="23" t="s">
        <v>5501</v>
      </c>
      <c r="E481" s="42">
        <v>46128</v>
      </c>
      <c r="F481" s="26" t="s">
        <v>55</v>
      </c>
      <c r="G481" s="44" t="s">
        <v>833</v>
      </c>
      <c r="H481" s="26" t="s">
        <v>57</v>
      </c>
      <c r="I481" s="44" t="s">
        <v>833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42">
        <v>46196</v>
      </c>
      <c r="O481" s="26" t="s">
        <v>55</v>
      </c>
      <c r="P481" s="44" t="s">
        <v>833</v>
      </c>
      <c r="Q481" s="26" t="s">
        <v>57</v>
      </c>
      <c r="R481" s="44" t="s">
        <v>833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70">
        <v>46248</v>
      </c>
      <c r="X481" s="30" t="s">
        <v>55</v>
      </c>
      <c r="Y481" s="30" t="s">
        <v>833</v>
      </c>
      <c r="Z481" s="30" t="s">
        <v>57</v>
      </c>
      <c r="AA481" s="30" t="s">
        <v>833</v>
      </c>
      <c r="AB481" s="30" t="s">
        <v>56</v>
      </c>
      <c r="AC481" s="27"/>
      <c r="AD481" s="31" t="s">
        <v>57</v>
      </c>
      <c r="AE481" s="32" t="str">
        <f t="shared" si="37"/>
        <v>✓ OK</v>
      </c>
      <c r="AF481" s="33" t="s">
        <v>61</v>
      </c>
      <c r="AG481" s="33" t="s">
        <v>55</v>
      </c>
      <c r="AH481" s="33" t="s">
        <v>833</v>
      </c>
      <c r="AI481" s="33" t="s">
        <v>57</v>
      </c>
      <c r="AJ481" s="33" t="s">
        <v>833</v>
      </c>
      <c r="AK481" s="33" t="s">
        <v>56</v>
      </c>
      <c r="AL481" s="27"/>
      <c r="AM481" s="34" t="s">
        <v>57</v>
      </c>
      <c r="AN481" s="35" t="str">
        <f t="shared" si="38"/>
        <v>✓ OK</v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5560</v>
      </c>
      <c r="C482" s="41" t="s">
        <v>5561</v>
      </c>
      <c r="D482" s="39" t="s">
        <v>5501</v>
      </c>
      <c r="E482" s="42">
        <v>46128</v>
      </c>
      <c r="F482" s="26" t="s">
        <v>55</v>
      </c>
      <c r="G482" s="44" t="s">
        <v>833</v>
      </c>
      <c r="H482" s="26" t="s">
        <v>57</v>
      </c>
      <c r="I482" s="44" t="s">
        <v>833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42">
        <v>46196</v>
      </c>
      <c r="O482" s="26" t="s">
        <v>55</v>
      </c>
      <c r="P482" s="44" t="s">
        <v>833</v>
      </c>
      <c r="Q482" s="26" t="s">
        <v>57</v>
      </c>
      <c r="R482" s="44" t="s">
        <v>833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70">
        <v>46248</v>
      </c>
      <c r="X482" s="30" t="s">
        <v>55</v>
      </c>
      <c r="Y482" s="30" t="s">
        <v>833</v>
      </c>
      <c r="Z482" s="30" t="s">
        <v>57</v>
      </c>
      <c r="AA482" s="30" t="s">
        <v>833</v>
      </c>
      <c r="AB482" s="30" t="s">
        <v>56</v>
      </c>
      <c r="AC482" s="27"/>
      <c r="AD482" s="31" t="s">
        <v>57</v>
      </c>
      <c r="AE482" s="32" t="str">
        <f t="shared" si="37"/>
        <v>✓ OK</v>
      </c>
      <c r="AF482" s="33" t="s">
        <v>61</v>
      </c>
      <c r="AG482" s="33" t="s">
        <v>55</v>
      </c>
      <c r="AH482" s="33" t="s">
        <v>833</v>
      </c>
      <c r="AI482" s="33" t="s">
        <v>57</v>
      </c>
      <c r="AJ482" s="33" t="s">
        <v>833</v>
      </c>
      <c r="AK482" s="33" t="s">
        <v>56</v>
      </c>
      <c r="AL482" s="27"/>
      <c r="AM482" s="34" t="s">
        <v>57</v>
      </c>
      <c r="AN482" s="35" t="str">
        <f t="shared" si="38"/>
        <v>✓ OK</v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5562</v>
      </c>
      <c r="C483" s="25" t="s">
        <v>5563</v>
      </c>
      <c r="D483" s="23" t="s">
        <v>5501</v>
      </c>
      <c r="E483" s="42">
        <v>46128</v>
      </c>
      <c r="F483" s="26" t="s">
        <v>55</v>
      </c>
      <c r="G483" s="44" t="s">
        <v>56</v>
      </c>
      <c r="H483" s="26" t="s">
        <v>57</v>
      </c>
      <c r="I483" s="44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42">
        <v>46196</v>
      </c>
      <c r="O483" s="26" t="s">
        <v>55</v>
      </c>
      <c r="P483" s="44" t="s">
        <v>56</v>
      </c>
      <c r="Q483" s="26" t="s">
        <v>57</v>
      </c>
      <c r="R483" s="44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70">
        <v>46248</v>
      </c>
      <c r="X483" s="30" t="s">
        <v>55</v>
      </c>
      <c r="Y483" s="30" t="s">
        <v>56</v>
      </c>
      <c r="Z483" s="30" t="s">
        <v>57</v>
      </c>
      <c r="AA483" s="30" t="s">
        <v>58</v>
      </c>
      <c r="AB483" s="30" t="s">
        <v>56</v>
      </c>
      <c r="AC483" s="27"/>
      <c r="AD483" s="31" t="s">
        <v>57</v>
      </c>
      <c r="AE483" s="32" t="str">
        <f t="shared" si="37"/>
        <v>✓ OK</v>
      </c>
      <c r="AF483" s="33" t="s">
        <v>61</v>
      </c>
      <c r="AG483" s="33" t="s">
        <v>55</v>
      </c>
      <c r="AH483" s="33" t="s">
        <v>56</v>
      </c>
      <c r="AI483" s="33" t="s">
        <v>57</v>
      </c>
      <c r="AJ483" s="33" t="s">
        <v>58</v>
      </c>
      <c r="AK483" s="33" t="s">
        <v>56</v>
      </c>
      <c r="AL483" s="27"/>
      <c r="AM483" s="34" t="s">
        <v>57</v>
      </c>
      <c r="AN483" s="35" t="str">
        <f t="shared" si="38"/>
        <v>✓ OK</v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5564</v>
      </c>
      <c r="C484" s="41" t="s">
        <v>5565</v>
      </c>
      <c r="D484" s="39" t="s">
        <v>5501</v>
      </c>
      <c r="E484" s="42">
        <v>46128</v>
      </c>
      <c r="F484" s="26" t="s">
        <v>55</v>
      </c>
      <c r="G484" s="44" t="s">
        <v>833</v>
      </c>
      <c r="H484" s="26" t="s">
        <v>57</v>
      </c>
      <c r="I484" s="44" t="s">
        <v>833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42">
        <v>46196</v>
      </c>
      <c r="O484" s="26" t="s">
        <v>55</v>
      </c>
      <c r="P484" s="44" t="s">
        <v>833</v>
      </c>
      <c r="Q484" s="26" t="s">
        <v>57</v>
      </c>
      <c r="R484" s="44" t="s">
        <v>833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70">
        <v>46248</v>
      </c>
      <c r="X484" s="30" t="s">
        <v>55</v>
      </c>
      <c r="Y484" s="30" t="s">
        <v>833</v>
      </c>
      <c r="Z484" s="30" t="s">
        <v>57</v>
      </c>
      <c r="AA484" s="30" t="s">
        <v>833</v>
      </c>
      <c r="AB484" s="30" t="s">
        <v>56</v>
      </c>
      <c r="AC484" s="27"/>
      <c r="AD484" s="31" t="s">
        <v>57</v>
      </c>
      <c r="AE484" s="32" t="str">
        <f t="shared" si="37"/>
        <v>✓ OK</v>
      </c>
      <c r="AF484" s="33" t="s">
        <v>61</v>
      </c>
      <c r="AG484" s="33" t="s">
        <v>55</v>
      </c>
      <c r="AH484" s="33" t="s">
        <v>833</v>
      </c>
      <c r="AI484" s="33" t="s">
        <v>57</v>
      </c>
      <c r="AJ484" s="33" t="s">
        <v>833</v>
      </c>
      <c r="AK484" s="33" t="s">
        <v>56</v>
      </c>
      <c r="AL484" s="27"/>
      <c r="AM484" s="34" t="s">
        <v>57</v>
      </c>
      <c r="AN484" s="35" t="str">
        <f t="shared" si="38"/>
        <v>✓ OK</v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5566</v>
      </c>
      <c r="C485" s="25" t="s">
        <v>5567</v>
      </c>
      <c r="D485" s="23" t="s">
        <v>5501</v>
      </c>
      <c r="E485" s="42">
        <v>46128</v>
      </c>
      <c r="F485" s="26" t="s">
        <v>55</v>
      </c>
      <c r="G485" s="44" t="s">
        <v>833</v>
      </c>
      <c r="H485" s="26" t="s">
        <v>57</v>
      </c>
      <c r="I485" s="44" t="s">
        <v>833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42">
        <v>46196</v>
      </c>
      <c r="O485" s="26" t="s">
        <v>55</v>
      </c>
      <c r="P485" s="44" t="s">
        <v>833</v>
      </c>
      <c r="Q485" s="26" t="s">
        <v>57</v>
      </c>
      <c r="R485" s="44" t="s">
        <v>833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70">
        <v>46248</v>
      </c>
      <c r="X485" s="30" t="s">
        <v>55</v>
      </c>
      <c r="Y485" s="30" t="s">
        <v>833</v>
      </c>
      <c r="Z485" s="30" t="s">
        <v>57</v>
      </c>
      <c r="AA485" s="30" t="s">
        <v>833</v>
      </c>
      <c r="AB485" s="30" t="s">
        <v>56</v>
      </c>
      <c r="AC485" s="27"/>
      <c r="AD485" s="31" t="s">
        <v>57</v>
      </c>
      <c r="AE485" s="32" t="str">
        <f t="shared" si="37"/>
        <v>✓ OK</v>
      </c>
      <c r="AF485" s="33" t="s">
        <v>61</v>
      </c>
      <c r="AG485" s="33" t="s">
        <v>55</v>
      </c>
      <c r="AH485" s="33" t="s">
        <v>833</v>
      </c>
      <c r="AI485" s="33" t="s">
        <v>57</v>
      </c>
      <c r="AJ485" s="33" t="s">
        <v>833</v>
      </c>
      <c r="AK485" s="33" t="s">
        <v>56</v>
      </c>
      <c r="AL485" s="27"/>
      <c r="AM485" s="34" t="s">
        <v>57</v>
      </c>
      <c r="AN485" s="35" t="str">
        <f t="shared" si="38"/>
        <v>✓ OK</v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5568</v>
      </c>
      <c r="C486" s="41" t="s">
        <v>5569</v>
      </c>
      <c r="D486" s="39" t="s">
        <v>5501</v>
      </c>
      <c r="E486" s="42">
        <v>46128</v>
      </c>
      <c r="F486" s="26" t="s">
        <v>55</v>
      </c>
      <c r="G486" s="44" t="s">
        <v>833</v>
      </c>
      <c r="H486" s="26" t="s">
        <v>57</v>
      </c>
      <c r="I486" s="44" t="s">
        <v>833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42">
        <v>46196</v>
      </c>
      <c r="O486" s="26" t="s">
        <v>55</v>
      </c>
      <c r="P486" s="44" t="s">
        <v>833</v>
      </c>
      <c r="Q486" s="26" t="s">
        <v>57</v>
      </c>
      <c r="R486" s="44" t="s">
        <v>833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70">
        <v>46248</v>
      </c>
      <c r="X486" s="30" t="s">
        <v>55</v>
      </c>
      <c r="Y486" s="30" t="s">
        <v>833</v>
      </c>
      <c r="Z486" s="30" t="s">
        <v>57</v>
      </c>
      <c r="AA486" s="30" t="s">
        <v>833</v>
      </c>
      <c r="AB486" s="30" t="s">
        <v>56</v>
      </c>
      <c r="AC486" s="27"/>
      <c r="AD486" s="31" t="s">
        <v>57</v>
      </c>
      <c r="AE486" s="32" t="str">
        <f t="shared" si="37"/>
        <v>✓ OK</v>
      </c>
      <c r="AF486" s="33" t="s">
        <v>61</v>
      </c>
      <c r="AG486" s="33" t="s">
        <v>55</v>
      </c>
      <c r="AH486" s="33" t="s">
        <v>833</v>
      </c>
      <c r="AI486" s="33" t="s">
        <v>57</v>
      </c>
      <c r="AJ486" s="33" t="s">
        <v>833</v>
      </c>
      <c r="AK486" s="33" t="s">
        <v>56</v>
      </c>
      <c r="AL486" s="27"/>
      <c r="AM486" s="34" t="s">
        <v>57</v>
      </c>
      <c r="AN486" s="35" t="str">
        <f t="shared" si="38"/>
        <v>✓ OK</v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5570</v>
      </c>
      <c r="C487" s="25" t="s">
        <v>5571</v>
      </c>
      <c r="D487" s="23" t="s">
        <v>5501</v>
      </c>
      <c r="E487" s="42">
        <v>46128</v>
      </c>
      <c r="F487" s="26" t="s">
        <v>55</v>
      </c>
      <c r="G487" s="44" t="s">
        <v>833</v>
      </c>
      <c r="H487" s="26" t="s">
        <v>57</v>
      </c>
      <c r="I487" s="44" t="s">
        <v>833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42">
        <v>46196</v>
      </c>
      <c r="O487" s="26" t="s">
        <v>55</v>
      </c>
      <c r="P487" s="44" t="s">
        <v>833</v>
      </c>
      <c r="Q487" s="26" t="s">
        <v>57</v>
      </c>
      <c r="R487" s="44" t="s">
        <v>833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70">
        <v>46248</v>
      </c>
      <c r="X487" s="30" t="s">
        <v>55</v>
      </c>
      <c r="Y487" s="30" t="s">
        <v>833</v>
      </c>
      <c r="Z487" s="30" t="s">
        <v>57</v>
      </c>
      <c r="AA487" s="30" t="s">
        <v>833</v>
      </c>
      <c r="AB487" s="30" t="s">
        <v>56</v>
      </c>
      <c r="AC487" s="27"/>
      <c r="AD487" s="31" t="s">
        <v>57</v>
      </c>
      <c r="AE487" s="32" t="str">
        <f t="shared" si="37"/>
        <v>✓ OK</v>
      </c>
      <c r="AF487" s="33" t="s">
        <v>61</v>
      </c>
      <c r="AG487" s="33" t="s">
        <v>55</v>
      </c>
      <c r="AH487" s="33" t="s">
        <v>833</v>
      </c>
      <c r="AI487" s="33" t="s">
        <v>57</v>
      </c>
      <c r="AJ487" s="33" t="s">
        <v>833</v>
      </c>
      <c r="AK487" s="33" t="s">
        <v>56</v>
      </c>
      <c r="AL487" s="27"/>
      <c r="AM487" s="34" t="s">
        <v>57</v>
      </c>
      <c r="AN487" s="35" t="str">
        <f t="shared" si="38"/>
        <v>✓ OK</v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5572</v>
      </c>
      <c r="C488" s="41" t="s">
        <v>5573</v>
      </c>
      <c r="D488" s="39" t="s">
        <v>5501</v>
      </c>
      <c r="E488" s="42">
        <v>46128</v>
      </c>
      <c r="F488" s="26" t="s">
        <v>55</v>
      </c>
      <c r="G488" s="44" t="s">
        <v>833</v>
      </c>
      <c r="H488" s="26" t="s">
        <v>57</v>
      </c>
      <c r="I488" s="44" t="s">
        <v>833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42">
        <v>46196</v>
      </c>
      <c r="O488" s="26" t="s">
        <v>55</v>
      </c>
      <c r="P488" s="44" t="s">
        <v>833</v>
      </c>
      <c r="Q488" s="26" t="s">
        <v>57</v>
      </c>
      <c r="R488" s="44" t="s">
        <v>833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70">
        <v>46248</v>
      </c>
      <c r="X488" s="30" t="s">
        <v>55</v>
      </c>
      <c r="Y488" s="30" t="s">
        <v>833</v>
      </c>
      <c r="Z488" s="30" t="s">
        <v>57</v>
      </c>
      <c r="AA488" s="30" t="s">
        <v>833</v>
      </c>
      <c r="AB488" s="30" t="s">
        <v>56</v>
      </c>
      <c r="AC488" s="27"/>
      <c r="AD488" s="31" t="s">
        <v>57</v>
      </c>
      <c r="AE488" s="32" t="str">
        <f t="shared" si="37"/>
        <v>✓ OK</v>
      </c>
      <c r="AF488" s="33" t="s">
        <v>61</v>
      </c>
      <c r="AG488" s="33" t="s">
        <v>55</v>
      </c>
      <c r="AH488" s="33" t="s">
        <v>833</v>
      </c>
      <c r="AI488" s="33" t="s">
        <v>57</v>
      </c>
      <c r="AJ488" s="33" t="s">
        <v>833</v>
      </c>
      <c r="AK488" s="33" t="s">
        <v>56</v>
      </c>
      <c r="AL488" s="27"/>
      <c r="AM488" s="34" t="s">
        <v>57</v>
      </c>
      <c r="AN488" s="35" t="str">
        <f t="shared" si="38"/>
        <v>✓ OK</v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5574</v>
      </c>
      <c r="C489" s="25" t="s">
        <v>5575</v>
      </c>
      <c r="D489" s="23" t="s">
        <v>5501</v>
      </c>
      <c r="E489" s="42">
        <v>46128</v>
      </c>
      <c r="F489" s="26" t="s">
        <v>55</v>
      </c>
      <c r="G489" s="44" t="s">
        <v>833</v>
      </c>
      <c r="H489" s="26" t="s">
        <v>57</v>
      </c>
      <c r="I489" s="44" t="s">
        <v>833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42">
        <v>46196</v>
      </c>
      <c r="O489" s="26" t="s">
        <v>55</v>
      </c>
      <c r="P489" s="44" t="s">
        <v>833</v>
      </c>
      <c r="Q489" s="26" t="s">
        <v>57</v>
      </c>
      <c r="R489" s="44" t="s">
        <v>833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70">
        <v>46248</v>
      </c>
      <c r="X489" s="30" t="s">
        <v>55</v>
      </c>
      <c r="Y489" s="30" t="s">
        <v>833</v>
      </c>
      <c r="Z489" s="30" t="s">
        <v>57</v>
      </c>
      <c r="AA489" s="30" t="s">
        <v>833</v>
      </c>
      <c r="AB489" s="30" t="s">
        <v>56</v>
      </c>
      <c r="AC489" s="27"/>
      <c r="AD489" s="31" t="s">
        <v>57</v>
      </c>
      <c r="AE489" s="32" t="str">
        <f t="shared" si="37"/>
        <v>✓ OK</v>
      </c>
      <c r="AF489" s="33" t="s">
        <v>61</v>
      </c>
      <c r="AG489" s="33" t="s">
        <v>55</v>
      </c>
      <c r="AH489" s="33" t="s">
        <v>833</v>
      </c>
      <c r="AI489" s="33" t="s">
        <v>57</v>
      </c>
      <c r="AJ489" s="33" t="s">
        <v>833</v>
      </c>
      <c r="AK489" s="33" t="s">
        <v>56</v>
      </c>
      <c r="AL489" s="27"/>
      <c r="AM489" s="34" t="s">
        <v>57</v>
      </c>
      <c r="AN489" s="35" t="str">
        <f t="shared" si="38"/>
        <v>✓ OK</v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5576</v>
      </c>
      <c r="C490" s="41" t="s">
        <v>5577</v>
      </c>
      <c r="D490" s="39" t="s">
        <v>5501</v>
      </c>
      <c r="E490" s="42">
        <v>46128</v>
      </c>
      <c r="F490" s="26" t="s">
        <v>55</v>
      </c>
      <c r="G490" s="44" t="s">
        <v>833</v>
      </c>
      <c r="H490" s="26" t="s">
        <v>57</v>
      </c>
      <c r="I490" s="44" t="s">
        <v>833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42">
        <v>46196</v>
      </c>
      <c r="O490" s="26" t="s">
        <v>55</v>
      </c>
      <c r="P490" s="44" t="s">
        <v>833</v>
      </c>
      <c r="Q490" s="26" t="s">
        <v>57</v>
      </c>
      <c r="R490" s="44" t="s">
        <v>833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70">
        <v>46248</v>
      </c>
      <c r="X490" s="30" t="s">
        <v>55</v>
      </c>
      <c r="Y490" s="30" t="s">
        <v>833</v>
      </c>
      <c r="Z490" s="30" t="s">
        <v>57</v>
      </c>
      <c r="AA490" s="30" t="s">
        <v>833</v>
      </c>
      <c r="AB490" s="30" t="s">
        <v>56</v>
      </c>
      <c r="AC490" s="27"/>
      <c r="AD490" s="31" t="s">
        <v>57</v>
      </c>
      <c r="AE490" s="32" t="str">
        <f t="shared" si="37"/>
        <v>✓ OK</v>
      </c>
      <c r="AF490" s="33" t="s">
        <v>61</v>
      </c>
      <c r="AG490" s="33" t="s">
        <v>55</v>
      </c>
      <c r="AH490" s="33" t="s">
        <v>833</v>
      </c>
      <c r="AI490" s="33" t="s">
        <v>57</v>
      </c>
      <c r="AJ490" s="33" t="s">
        <v>833</v>
      </c>
      <c r="AK490" s="33" t="s">
        <v>56</v>
      </c>
      <c r="AL490" s="27"/>
      <c r="AM490" s="34" t="s">
        <v>57</v>
      </c>
      <c r="AN490" s="35" t="str">
        <f t="shared" si="38"/>
        <v>✓ OK</v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5578</v>
      </c>
      <c r="C491" s="25" t="s">
        <v>5579</v>
      </c>
      <c r="D491" s="23" t="s">
        <v>5501</v>
      </c>
      <c r="E491" s="42">
        <v>46128</v>
      </c>
      <c r="F491" s="26" t="s">
        <v>55</v>
      </c>
      <c r="G491" s="44" t="s">
        <v>56</v>
      </c>
      <c r="H491" s="26" t="s">
        <v>57</v>
      </c>
      <c r="I491" s="44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42">
        <v>46196</v>
      </c>
      <c r="O491" s="26" t="s">
        <v>55</v>
      </c>
      <c r="P491" s="44" t="s">
        <v>56</v>
      </c>
      <c r="Q491" s="26" t="s">
        <v>57</v>
      </c>
      <c r="R491" s="44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70">
        <v>46248</v>
      </c>
      <c r="X491" s="30" t="s">
        <v>55</v>
      </c>
      <c r="Y491" s="30" t="s">
        <v>56</v>
      </c>
      <c r="Z491" s="30" t="s">
        <v>57</v>
      </c>
      <c r="AA491" s="30" t="s">
        <v>58</v>
      </c>
      <c r="AB491" s="30" t="s">
        <v>56</v>
      </c>
      <c r="AC491" s="27"/>
      <c r="AD491" s="31" t="s">
        <v>57</v>
      </c>
      <c r="AE491" s="32" t="str">
        <f t="shared" si="37"/>
        <v>✓ OK</v>
      </c>
      <c r="AF491" s="33" t="s">
        <v>61</v>
      </c>
      <c r="AG491" s="33" t="s">
        <v>55</v>
      </c>
      <c r="AH491" s="33" t="s">
        <v>56</v>
      </c>
      <c r="AI491" s="33" t="s">
        <v>57</v>
      </c>
      <c r="AJ491" s="33" t="s">
        <v>58</v>
      </c>
      <c r="AK491" s="33" t="s">
        <v>56</v>
      </c>
      <c r="AL491" s="27"/>
      <c r="AM491" s="34" t="s">
        <v>57</v>
      </c>
      <c r="AN491" s="35" t="str">
        <f t="shared" si="38"/>
        <v>✓ OK</v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5580</v>
      </c>
      <c r="C492" s="41" t="s">
        <v>5581</v>
      </c>
      <c r="D492" s="39" t="s">
        <v>5501</v>
      </c>
      <c r="E492" s="42">
        <v>46128</v>
      </c>
      <c r="F492" s="26" t="s">
        <v>55</v>
      </c>
      <c r="G492" s="44" t="s">
        <v>833</v>
      </c>
      <c r="H492" s="26" t="s">
        <v>57</v>
      </c>
      <c r="I492" s="44" t="s">
        <v>833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42">
        <v>46196</v>
      </c>
      <c r="O492" s="26" t="s">
        <v>55</v>
      </c>
      <c r="P492" s="44" t="s">
        <v>833</v>
      </c>
      <c r="Q492" s="26" t="s">
        <v>57</v>
      </c>
      <c r="R492" s="44" t="s">
        <v>833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70">
        <v>46248</v>
      </c>
      <c r="X492" s="30" t="s">
        <v>55</v>
      </c>
      <c r="Y492" s="30" t="s">
        <v>833</v>
      </c>
      <c r="Z492" s="30" t="s">
        <v>57</v>
      </c>
      <c r="AA492" s="30" t="s">
        <v>833</v>
      </c>
      <c r="AB492" s="30" t="s">
        <v>56</v>
      </c>
      <c r="AC492" s="27"/>
      <c r="AD492" s="31" t="s">
        <v>57</v>
      </c>
      <c r="AE492" s="32" t="str">
        <f t="shared" si="37"/>
        <v>✓ OK</v>
      </c>
      <c r="AF492" s="33" t="s">
        <v>61</v>
      </c>
      <c r="AG492" s="33" t="s">
        <v>55</v>
      </c>
      <c r="AH492" s="33" t="s">
        <v>833</v>
      </c>
      <c r="AI492" s="33" t="s">
        <v>57</v>
      </c>
      <c r="AJ492" s="33" t="s">
        <v>833</v>
      </c>
      <c r="AK492" s="33" t="s">
        <v>56</v>
      </c>
      <c r="AL492" s="27"/>
      <c r="AM492" s="34" t="s">
        <v>57</v>
      </c>
      <c r="AN492" s="35" t="str">
        <f t="shared" si="38"/>
        <v>✓ OK</v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5582</v>
      </c>
      <c r="C493" s="25" t="s">
        <v>5583</v>
      </c>
      <c r="D493" s="23" t="s">
        <v>5501</v>
      </c>
      <c r="E493" s="42">
        <v>46128</v>
      </c>
      <c r="F493" s="26" t="s">
        <v>55</v>
      </c>
      <c r="G493" s="44" t="s">
        <v>833</v>
      </c>
      <c r="H493" s="26" t="s">
        <v>57</v>
      </c>
      <c r="I493" s="44" t="s">
        <v>833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42">
        <v>46196</v>
      </c>
      <c r="O493" s="26" t="s">
        <v>55</v>
      </c>
      <c r="P493" s="44" t="s">
        <v>833</v>
      </c>
      <c r="Q493" s="26" t="s">
        <v>57</v>
      </c>
      <c r="R493" s="44" t="s">
        <v>833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70">
        <v>46248</v>
      </c>
      <c r="X493" s="30" t="s">
        <v>55</v>
      </c>
      <c r="Y493" s="30" t="s">
        <v>833</v>
      </c>
      <c r="Z493" s="30" t="s">
        <v>57</v>
      </c>
      <c r="AA493" s="30" t="s">
        <v>833</v>
      </c>
      <c r="AB493" s="30" t="s">
        <v>56</v>
      </c>
      <c r="AC493" s="27"/>
      <c r="AD493" s="31" t="s">
        <v>57</v>
      </c>
      <c r="AE493" s="32" t="str">
        <f t="shared" si="37"/>
        <v>✓ OK</v>
      </c>
      <c r="AF493" s="33" t="s">
        <v>61</v>
      </c>
      <c r="AG493" s="33" t="s">
        <v>55</v>
      </c>
      <c r="AH493" s="33" t="s">
        <v>833</v>
      </c>
      <c r="AI493" s="33" t="s">
        <v>57</v>
      </c>
      <c r="AJ493" s="33" t="s">
        <v>833</v>
      </c>
      <c r="AK493" s="33" t="s">
        <v>56</v>
      </c>
      <c r="AL493" s="27"/>
      <c r="AM493" s="34" t="s">
        <v>57</v>
      </c>
      <c r="AN493" s="35" t="str">
        <f t="shared" si="38"/>
        <v>✓ OK</v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5584</v>
      </c>
      <c r="C494" s="41" t="s">
        <v>5585</v>
      </c>
      <c r="D494" s="39" t="s">
        <v>5501</v>
      </c>
      <c r="E494" s="42">
        <v>46128</v>
      </c>
      <c r="F494" s="26" t="s">
        <v>55</v>
      </c>
      <c r="G494" s="44" t="s">
        <v>833</v>
      </c>
      <c r="H494" s="26" t="s">
        <v>57</v>
      </c>
      <c r="I494" s="44" t="s">
        <v>833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42">
        <v>46196</v>
      </c>
      <c r="O494" s="26" t="s">
        <v>55</v>
      </c>
      <c r="P494" s="44" t="s">
        <v>833</v>
      </c>
      <c r="Q494" s="26" t="s">
        <v>57</v>
      </c>
      <c r="R494" s="44" t="s">
        <v>833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70">
        <v>46248</v>
      </c>
      <c r="X494" s="30" t="s">
        <v>55</v>
      </c>
      <c r="Y494" s="30" t="s">
        <v>833</v>
      </c>
      <c r="Z494" s="30" t="s">
        <v>57</v>
      </c>
      <c r="AA494" s="30" t="s">
        <v>833</v>
      </c>
      <c r="AB494" s="30" t="s">
        <v>56</v>
      </c>
      <c r="AC494" s="27"/>
      <c r="AD494" s="31" t="s">
        <v>57</v>
      </c>
      <c r="AE494" s="32" t="str">
        <f t="shared" si="37"/>
        <v>✓ OK</v>
      </c>
      <c r="AF494" s="33" t="s">
        <v>61</v>
      </c>
      <c r="AG494" s="33" t="s">
        <v>55</v>
      </c>
      <c r="AH494" s="33" t="s">
        <v>833</v>
      </c>
      <c r="AI494" s="33" t="s">
        <v>57</v>
      </c>
      <c r="AJ494" s="33" t="s">
        <v>833</v>
      </c>
      <c r="AK494" s="33" t="s">
        <v>56</v>
      </c>
      <c r="AL494" s="27"/>
      <c r="AM494" s="34" t="s">
        <v>57</v>
      </c>
      <c r="AN494" s="35" t="str">
        <f t="shared" si="38"/>
        <v>✓ OK</v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5586</v>
      </c>
      <c r="C495" s="25" t="s">
        <v>5587</v>
      </c>
      <c r="D495" s="23" t="s">
        <v>5501</v>
      </c>
      <c r="E495" s="42">
        <v>46128</v>
      </c>
      <c r="F495" s="26" t="s">
        <v>55</v>
      </c>
      <c r="G495" s="44" t="s">
        <v>833</v>
      </c>
      <c r="H495" s="26" t="s">
        <v>57</v>
      </c>
      <c r="I495" s="44" t="s">
        <v>833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42">
        <v>46196</v>
      </c>
      <c r="O495" s="26" t="s">
        <v>55</v>
      </c>
      <c r="P495" s="44" t="s">
        <v>833</v>
      </c>
      <c r="Q495" s="26" t="s">
        <v>57</v>
      </c>
      <c r="R495" s="44" t="s">
        <v>833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70">
        <v>46248</v>
      </c>
      <c r="X495" s="30" t="s">
        <v>55</v>
      </c>
      <c r="Y495" s="30" t="s">
        <v>833</v>
      </c>
      <c r="Z495" s="30" t="s">
        <v>57</v>
      </c>
      <c r="AA495" s="30" t="s">
        <v>833</v>
      </c>
      <c r="AB495" s="30" t="s">
        <v>56</v>
      </c>
      <c r="AC495" s="27"/>
      <c r="AD495" s="31" t="s">
        <v>57</v>
      </c>
      <c r="AE495" s="32" t="str">
        <f t="shared" si="37"/>
        <v>✓ OK</v>
      </c>
      <c r="AF495" s="33" t="s">
        <v>61</v>
      </c>
      <c r="AG495" s="33" t="s">
        <v>55</v>
      </c>
      <c r="AH495" s="33" t="s">
        <v>833</v>
      </c>
      <c r="AI495" s="33" t="s">
        <v>57</v>
      </c>
      <c r="AJ495" s="33" t="s">
        <v>833</v>
      </c>
      <c r="AK495" s="33" t="s">
        <v>56</v>
      </c>
      <c r="AL495" s="27"/>
      <c r="AM495" s="34" t="s">
        <v>57</v>
      </c>
      <c r="AN495" s="35" t="str">
        <f t="shared" si="38"/>
        <v>✓ OK</v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5588</v>
      </c>
      <c r="C496" s="41" t="s">
        <v>5589</v>
      </c>
      <c r="D496" s="39" t="s">
        <v>5501</v>
      </c>
      <c r="E496" s="42">
        <v>46128</v>
      </c>
      <c r="F496" s="26" t="s">
        <v>55</v>
      </c>
      <c r="G496" s="44" t="s">
        <v>833</v>
      </c>
      <c r="H496" s="26" t="s">
        <v>57</v>
      </c>
      <c r="I496" s="44" t="s">
        <v>833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42">
        <v>46196</v>
      </c>
      <c r="O496" s="26" t="s">
        <v>55</v>
      </c>
      <c r="P496" s="44" t="s">
        <v>833</v>
      </c>
      <c r="Q496" s="26" t="s">
        <v>57</v>
      </c>
      <c r="R496" s="44" t="s">
        <v>833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70">
        <v>46248</v>
      </c>
      <c r="X496" s="30" t="s">
        <v>55</v>
      </c>
      <c r="Y496" s="30" t="s">
        <v>833</v>
      </c>
      <c r="Z496" s="30" t="s">
        <v>57</v>
      </c>
      <c r="AA496" s="30" t="s">
        <v>833</v>
      </c>
      <c r="AB496" s="30" t="s">
        <v>56</v>
      </c>
      <c r="AC496" s="27"/>
      <c r="AD496" s="31" t="s">
        <v>57</v>
      </c>
      <c r="AE496" s="32" t="str">
        <f t="shared" si="37"/>
        <v>✓ OK</v>
      </c>
      <c r="AF496" s="33" t="s">
        <v>61</v>
      </c>
      <c r="AG496" s="33" t="s">
        <v>55</v>
      </c>
      <c r="AH496" s="33" t="s">
        <v>833</v>
      </c>
      <c r="AI496" s="33" t="s">
        <v>57</v>
      </c>
      <c r="AJ496" s="33" t="s">
        <v>833</v>
      </c>
      <c r="AK496" s="33" t="s">
        <v>56</v>
      </c>
      <c r="AL496" s="27"/>
      <c r="AM496" s="34" t="s">
        <v>57</v>
      </c>
      <c r="AN496" s="35" t="str">
        <f t="shared" si="38"/>
        <v>✓ OK</v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5590</v>
      </c>
      <c r="C497" s="25" t="s">
        <v>5591</v>
      </c>
      <c r="D497" s="23" t="s">
        <v>5501</v>
      </c>
      <c r="E497" s="42">
        <v>46128</v>
      </c>
      <c r="F497" s="26" t="s">
        <v>55</v>
      </c>
      <c r="G497" s="44" t="s">
        <v>833</v>
      </c>
      <c r="H497" s="26" t="s">
        <v>57</v>
      </c>
      <c r="I497" s="44" t="s">
        <v>833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42">
        <v>46196</v>
      </c>
      <c r="O497" s="26" t="s">
        <v>55</v>
      </c>
      <c r="P497" s="44" t="s">
        <v>833</v>
      </c>
      <c r="Q497" s="26" t="s">
        <v>57</v>
      </c>
      <c r="R497" s="44" t="s">
        <v>833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70">
        <v>46248</v>
      </c>
      <c r="X497" s="30" t="s">
        <v>55</v>
      </c>
      <c r="Y497" s="30" t="s">
        <v>833</v>
      </c>
      <c r="Z497" s="30" t="s">
        <v>57</v>
      </c>
      <c r="AA497" s="30" t="s">
        <v>833</v>
      </c>
      <c r="AB497" s="30" t="s">
        <v>56</v>
      </c>
      <c r="AC497" s="27"/>
      <c r="AD497" s="31" t="s">
        <v>57</v>
      </c>
      <c r="AE497" s="32" t="str">
        <f t="shared" si="37"/>
        <v>✓ OK</v>
      </c>
      <c r="AF497" s="33" t="s">
        <v>61</v>
      </c>
      <c r="AG497" s="33" t="s">
        <v>55</v>
      </c>
      <c r="AH497" s="33" t="s">
        <v>833</v>
      </c>
      <c r="AI497" s="33" t="s">
        <v>57</v>
      </c>
      <c r="AJ497" s="33" t="s">
        <v>833</v>
      </c>
      <c r="AK497" s="33" t="s">
        <v>56</v>
      </c>
      <c r="AL497" s="27"/>
      <c r="AM497" s="34" t="s">
        <v>57</v>
      </c>
      <c r="AN497" s="35" t="str">
        <f t="shared" si="38"/>
        <v>✓ OK</v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5592</v>
      </c>
      <c r="C498" s="41" t="s">
        <v>5593</v>
      </c>
      <c r="D498" s="39" t="s">
        <v>5501</v>
      </c>
      <c r="E498" s="42">
        <v>46128</v>
      </c>
      <c r="F498" s="26" t="s">
        <v>55</v>
      </c>
      <c r="G498" s="44" t="s">
        <v>833</v>
      </c>
      <c r="H498" s="26" t="s">
        <v>57</v>
      </c>
      <c r="I498" s="44" t="s">
        <v>833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42">
        <v>46196</v>
      </c>
      <c r="O498" s="26" t="s">
        <v>55</v>
      </c>
      <c r="P498" s="44" t="s">
        <v>833</v>
      </c>
      <c r="Q498" s="26" t="s">
        <v>57</v>
      </c>
      <c r="R498" s="44" t="s">
        <v>833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70">
        <v>46248</v>
      </c>
      <c r="X498" s="30" t="s">
        <v>55</v>
      </c>
      <c r="Y498" s="30" t="s">
        <v>833</v>
      </c>
      <c r="Z498" s="30" t="s">
        <v>57</v>
      </c>
      <c r="AA498" s="30" t="s">
        <v>833</v>
      </c>
      <c r="AB498" s="30" t="s">
        <v>56</v>
      </c>
      <c r="AC498" s="27"/>
      <c r="AD498" s="31" t="s">
        <v>57</v>
      </c>
      <c r="AE498" s="32" t="str">
        <f t="shared" si="37"/>
        <v>✓ OK</v>
      </c>
      <c r="AF498" s="33" t="s">
        <v>61</v>
      </c>
      <c r="AG498" s="33" t="s">
        <v>55</v>
      </c>
      <c r="AH498" s="33" t="s">
        <v>833</v>
      </c>
      <c r="AI498" s="33" t="s">
        <v>57</v>
      </c>
      <c r="AJ498" s="33" t="s">
        <v>833</v>
      </c>
      <c r="AK498" s="33" t="s">
        <v>56</v>
      </c>
      <c r="AL498" s="27"/>
      <c r="AM498" s="34" t="s">
        <v>57</v>
      </c>
      <c r="AN498" s="35" t="str">
        <f t="shared" si="38"/>
        <v>✓ OK</v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5594</v>
      </c>
      <c r="C499" s="25" t="s">
        <v>5595</v>
      </c>
      <c r="D499" s="23" t="s">
        <v>5501</v>
      </c>
      <c r="E499" s="42">
        <v>46128</v>
      </c>
      <c r="F499" s="26" t="s">
        <v>55</v>
      </c>
      <c r="G499" s="44" t="s">
        <v>833</v>
      </c>
      <c r="H499" s="26" t="s">
        <v>57</v>
      </c>
      <c r="I499" s="44" t="s">
        <v>833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42">
        <v>46196</v>
      </c>
      <c r="O499" s="26" t="s">
        <v>55</v>
      </c>
      <c r="P499" s="44" t="s">
        <v>833</v>
      </c>
      <c r="Q499" s="26" t="s">
        <v>57</v>
      </c>
      <c r="R499" s="44" t="s">
        <v>833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70">
        <v>46248</v>
      </c>
      <c r="X499" s="30" t="s">
        <v>55</v>
      </c>
      <c r="Y499" s="30" t="s">
        <v>833</v>
      </c>
      <c r="Z499" s="30" t="s">
        <v>57</v>
      </c>
      <c r="AA499" s="30" t="s">
        <v>833</v>
      </c>
      <c r="AB499" s="30" t="s">
        <v>56</v>
      </c>
      <c r="AC499" s="27"/>
      <c r="AD499" s="31" t="s">
        <v>57</v>
      </c>
      <c r="AE499" s="32" t="str">
        <f t="shared" si="37"/>
        <v>✓ OK</v>
      </c>
      <c r="AF499" s="33" t="s">
        <v>61</v>
      </c>
      <c r="AG499" s="33" t="s">
        <v>55</v>
      </c>
      <c r="AH499" s="33" t="s">
        <v>833</v>
      </c>
      <c r="AI499" s="33" t="s">
        <v>57</v>
      </c>
      <c r="AJ499" s="33" t="s">
        <v>833</v>
      </c>
      <c r="AK499" s="33" t="s">
        <v>56</v>
      </c>
      <c r="AL499" s="27"/>
      <c r="AM499" s="34" t="s">
        <v>57</v>
      </c>
      <c r="AN499" s="35" t="str">
        <f t="shared" si="38"/>
        <v>✓ OK</v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5596</v>
      </c>
      <c r="C500" s="41" t="s">
        <v>5597</v>
      </c>
      <c r="D500" s="39" t="s">
        <v>5501</v>
      </c>
      <c r="E500" s="42">
        <v>46128</v>
      </c>
      <c r="F500" s="26" t="s">
        <v>55</v>
      </c>
      <c r="G500" s="44" t="s">
        <v>833</v>
      </c>
      <c r="H500" s="26" t="s">
        <v>57</v>
      </c>
      <c r="I500" s="44" t="s">
        <v>833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42">
        <v>46196</v>
      </c>
      <c r="O500" s="26" t="s">
        <v>55</v>
      </c>
      <c r="P500" s="44" t="s">
        <v>833</v>
      </c>
      <c r="Q500" s="26" t="s">
        <v>57</v>
      </c>
      <c r="R500" s="44" t="s">
        <v>833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70">
        <v>46248</v>
      </c>
      <c r="X500" s="30" t="s">
        <v>55</v>
      </c>
      <c r="Y500" s="30" t="s">
        <v>833</v>
      </c>
      <c r="Z500" s="30" t="s">
        <v>57</v>
      </c>
      <c r="AA500" s="30" t="s">
        <v>833</v>
      </c>
      <c r="AB500" s="30" t="s">
        <v>56</v>
      </c>
      <c r="AC500" s="27"/>
      <c r="AD500" s="31" t="s">
        <v>57</v>
      </c>
      <c r="AE500" s="32" t="str">
        <f t="shared" si="37"/>
        <v>✓ OK</v>
      </c>
      <c r="AF500" s="33" t="s">
        <v>61</v>
      </c>
      <c r="AG500" s="33" t="s">
        <v>55</v>
      </c>
      <c r="AH500" s="33" t="s">
        <v>833</v>
      </c>
      <c r="AI500" s="33" t="s">
        <v>57</v>
      </c>
      <c r="AJ500" s="33" t="s">
        <v>833</v>
      </c>
      <c r="AK500" s="33" t="s">
        <v>56</v>
      </c>
      <c r="AL500" s="27"/>
      <c r="AM500" s="34" t="s">
        <v>57</v>
      </c>
      <c r="AN500" s="35" t="str">
        <f t="shared" si="38"/>
        <v>✓ OK</v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5598</v>
      </c>
      <c r="C501" s="25" t="s">
        <v>5599</v>
      </c>
      <c r="D501" s="23" t="s">
        <v>5501</v>
      </c>
      <c r="E501" s="42">
        <v>46128</v>
      </c>
      <c r="F501" s="26" t="s">
        <v>55</v>
      </c>
      <c r="G501" s="44" t="s">
        <v>56</v>
      </c>
      <c r="H501" s="26" t="s">
        <v>57</v>
      </c>
      <c r="I501" s="44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42">
        <v>46196</v>
      </c>
      <c r="O501" s="26" t="s">
        <v>55</v>
      </c>
      <c r="P501" s="44" t="s">
        <v>56</v>
      </c>
      <c r="Q501" s="26" t="s">
        <v>57</v>
      </c>
      <c r="R501" s="44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70">
        <v>46248</v>
      </c>
      <c r="X501" s="30" t="s">
        <v>55</v>
      </c>
      <c r="Y501" s="30" t="s">
        <v>56</v>
      </c>
      <c r="Z501" s="30" t="s">
        <v>57</v>
      </c>
      <c r="AA501" s="30" t="s">
        <v>58</v>
      </c>
      <c r="AB501" s="30" t="s">
        <v>56</v>
      </c>
      <c r="AC501" s="27"/>
      <c r="AD501" s="31" t="s">
        <v>57</v>
      </c>
      <c r="AE501" s="32" t="str">
        <f t="shared" si="37"/>
        <v>✓ OK</v>
      </c>
      <c r="AF501" s="33" t="s">
        <v>61</v>
      </c>
      <c r="AG501" s="33" t="s">
        <v>55</v>
      </c>
      <c r="AH501" s="33" t="s">
        <v>56</v>
      </c>
      <c r="AI501" s="33" t="s">
        <v>57</v>
      </c>
      <c r="AJ501" s="33" t="s">
        <v>58</v>
      </c>
      <c r="AK501" s="33" t="s">
        <v>56</v>
      </c>
      <c r="AL501" s="27"/>
      <c r="AM501" s="34" t="s">
        <v>57</v>
      </c>
      <c r="AN501" s="35" t="str">
        <f t="shared" si="38"/>
        <v>✓ OK</v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5600</v>
      </c>
      <c r="C502" s="41" t="s">
        <v>5601</v>
      </c>
      <c r="D502" s="39" t="s">
        <v>5501</v>
      </c>
      <c r="E502" s="42">
        <v>46128</v>
      </c>
      <c r="F502" s="26" t="s">
        <v>55</v>
      </c>
      <c r="G502" s="44" t="s">
        <v>833</v>
      </c>
      <c r="H502" s="26" t="s">
        <v>57</v>
      </c>
      <c r="I502" s="44" t="s">
        <v>833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42">
        <v>46196</v>
      </c>
      <c r="O502" s="26" t="s">
        <v>55</v>
      </c>
      <c r="P502" s="44" t="s">
        <v>833</v>
      </c>
      <c r="Q502" s="26" t="s">
        <v>57</v>
      </c>
      <c r="R502" s="44" t="s">
        <v>833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70">
        <v>46248</v>
      </c>
      <c r="X502" s="30" t="s">
        <v>55</v>
      </c>
      <c r="Y502" s="30" t="s">
        <v>833</v>
      </c>
      <c r="Z502" s="30" t="s">
        <v>57</v>
      </c>
      <c r="AA502" s="30" t="s">
        <v>833</v>
      </c>
      <c r="AB502" s="30" t="s">
        <v>56</v>
      </c>
      <c r="AC502" s="27"/>
      <c r="AD502" s="31" t="s">
        <v>57</v>
      </c>
      <c r="AE502" s="32" t="str">
        <f t="shared" si="37"/>
        <v>✓ OK</v>
      </c>
      <c r="AF502" s="33" t="s">
        <v>61</v>
      </c>
      <c r="AG502" s="33" t="s">
        <v>55</v>
      </c>
      <c r="AH502" s="33" t="s">
        <v>833</v>
      </c>
      <c r="AI502" s="33" t="s">
        <v>57</v>
      </c>
      <c r="AJ502" s="33" t="s">
        <v>833</v>
      </c>
      <c r="AK502" s="33" t="s">
        <v>56</v>
      </c>
      <c r="AL502" s="27"/>
      <c r="AM502" s="34" t="s">
        <v>57</v>
      </c>
      <c r="AN502" s="35" t="str">
        <f t="shared" si="38"/>
        <v>✓ OK</v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5602</v>
      </c>
      <c r="C503" s="25" t="s">
        <v>5603</v>
      </c>
      <c r="D503" s="23" t="s">
        <v>5501</v>
      </c>
      <c r="E503" s="42">
        <v>46128</v>
      </c>
      <c r="F503" s="26" t="s">
        <v>55</v>
      </c>
      <c r="G503" s="44" t="s">
        <v>56</v>
      </c>
      <c r="H503" s="26" t="s">
        <v>57</v>
      </c>
      <c r="I503" s="44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42">
        <v>46196</v>
      </c>
      <c r="O503" s="26" t="s">
        <v>55</v>
      </c>
      <c r="P503" s="44" t="s">
        <v>56</v>
      </c>
      <c r="Q503" s="26" t="s">
        <v>57</v>
      </c>
      <c r="R503" s="44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70">
        <v>46248</v>
      </c>
      <c r="X503" s="30" t="s">
        <v>55</v>
      </c>
      <c r="Y503" s="30" t="s">
        <v>56</v>
      </c>
      <c r="Z503" s="30" t="s">
        <v>57</v>
      </c>
      <c r="AA503" s="30" t="s">
        <v>58</v>
      </c>
      <c r="AB503" s="30" t="s">
        <v>56</v>
      </c>
      <c r="AC503" s="27"/>
      <c r="AD503" s="31" t="s">
        <v>57</v>
      </c>
      <c r="AE503" s="32" t="str">
        <f t="shared" si="37"/>
        <v>✓ OK</v>
      </c>
      <c r="AF503" s="33" t="s">
        <v>61</v>
      </c>
      <c r="AG503" s="33" t="s">
        <v>55</v>
      </c>
      <c r="AH503" s="33" t="s">
        <v>56</v>
      </c>
      <c r="AI503" s="33" t="s">
        <v>57</v>
      </c>
      <c r="AJ503" s="33" t="s">
        <v>58</v>
      </c>
      <c r="AK503" s="33" t="s">
        <v>56</v>
      </c>
      <c r="AL503" s="27"/>
      <c r="AM503" s="34" t="s">
        <v>57</v>
      </c>
      <c r="AN503" s="35" t="str">
        <f t="shared" si="38"/>
        <v>✓ OK</v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5604</v>
      </c>
      <c r="C504" s="41" t="s">
        <v>5605</v>
      </c>
      <c r="D504" s="39" t="s">
        <v>5501</v>
      </c>
      <c r="E504" s="42">
        <v>46128</v>
      </c>
      <c r="F504" s="26" t="s">
        <v>55</v>
      </c>
      <c r="G504" s="44" t="s">
        <v>833</v>
      </c>
      <c r="H504" s="26" t="s">
        <v>57</v>
      </c>
      <c r="I504" s="44" t="s">
        <v>833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42">
        <v>46196</v>
      </c>
      <c r="O504" s="26" t="s">
        <v>55</v>
      </c>
      <c r="P504" s="44" t="s">
        <v>833</v>
      </c>
      <c r="Q504" s="26" t="s">
        <v>57</v>
      </c>
      <c r="R504" s="44" t="s">
        <v>833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70">
        <v>46248</v>
      </c>
      <c r="X504" s="30" t="s">
        <v>55</v>
      </c>
      <c r="Y504" s="30" t="s">
        <v>833</v>
      </c>
      <c r="Z504" s="30" t="s">
        <v>57</v>
      </c>
      <c r="AA504" s="30" t="s">
        <v>833</v>
      </c>
      <c r="AB504" s="30" t="s">
        <v>56</v>
      </c>
      <c r="AC504" s="27"/>
      <c r="AD504" s="31" t="s">
        <v>57</v>
      </c>
      <c r="AE504" s="32" t="str">
        <f t="shared" si="37"/>
        <v>✓ OK</v>
      </c>
      <c r="AF504" s="33" t="s">
        <v>61</v>
      </c>
      <c r="AG504" s="33" t="s">
        <v>55</v>
      </c>
      <c r="AH504" s="33" t="s">
        <v>833</v>
      </c>
      <c r="AI504" s="33" t="s">
        <v>57</v>
      </c>
      <c r="AJ504" s="33" t="s">
        <v>833</v>
      </c>
      <c r="AK504" s="33" t="s">
        <v>56</v>
      </c>
      <c r="AL504" s="27"/>
      <c r="AM504" s="34" t="s">
        <v>57</v>
      </c>
      <c r="AN504" s="35" t="str">
        <f t="shared" si="38"/>
        <v>✓ OK</v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5606</v>
      </c>
      <c r="C505" s="25" t="s">
        <v>5607</v>
      </c>
      <c r="D505" s="23" t="s">
        <v>5501</v>
      </c>
      <c r="E505" s="42">
        <v>46128</v>
      </c>
      <c r="F505" s="26" t="s">
        <v>55</v>
      </c>
      <c r="G505" s="44" t="s">
        <v>833</v>
      </c>
      <c r="H505" s="26" t="s">
        <v>57</v>
      </c>
      <c r="I505" s="44" t="s">
        <v>833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42">
        <v>46196</v>
      </c>
      <c r="O505" s="26" t="s">
        <v>55</v>
      </c>
      <c r="P505" s="44" t="s">
        <v>833</v>
      </c>
      <c r="Q505" s="26" t="s">
        <v>57</v>
      </c>
      <c r="R505" s="44" t="s">
        <v>833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70">
        <v>46248</v>
      </c>
      <c r="X505" s="30" t="s">
        <v>55</v>
      </c>
      <c r="Y505" s="30" t="s">
        <v>833</v>
      </c>
      <c r="Z505" s="30" t="s">
        <v>57</v>
      </c>
      <c r="AA505" s="30" t="s">
        <v>833</v>
      </c>
      <c r="AB505" s="30" t="s">
        <v>56</v>
      </c>
      <c r="AC505" s="27"/>
      <c r="AD505" s="31" t="s">
        <v>57</v>
      </c>
      <c r="AE505" s="32" t="str">
        <f t="shared" si="37"/>
        <v>✓ OK</v>
      </c>
      <c r="AF505" s="33" t="s">
        <v>61</v>
      </c>
      <c r="AG505" s="33" t="s">
        <v>55</v>
      </c>
      <c r="AH505" s="33" t="s">
        <v>833</v>
      </c>
      <c r="AI505" s="33" t="s">
        <v>57</v>
      </c>
      <c r="AJ505" s="33" t="s">
        <v>833</v>
      </c>
      <c r="AK505" s="33" t="s">
        <v>56</v>
      </c>
      <c r="AL505" s="27"/>
      <c r="AM505" s="34" t="s">
        <v>57</v>
      </c>
      <c r="AN505" s="35" t="str">
        <f t="shared" si="38"/>
        <v>✓ OK</v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5608</v>
      </c>
      <c r="C506" s="41" t="s">
        <v>5609</v>
      </c>
      <c r="D506" s="39" t="s">
        <v>5501</v>
      </c>
      <c r="E506" s="42">
        <v>46128</v>
      </c>
      <c r="F506" s="26" t="s">
        <v>55</v>
      </c>
      <c r="G506" s="44" t="s">
        <v>833</v>
      </c>
      <c r="H506" s="26" t="s">
        <v>57</v>
      </c>
      <c r="I506" s="44" t="s">
        <v>833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42">
        <v>46196</v>
      </c>
      <c r="O506" s="26" t="s">
        <v>55</v>
      </c>
      <c r="P506" s="44" t="s">
        <v>833</v>
      </c>
      <c r="Q506" s="26" t="s">
        <v>57</v>
      </c>
      <c r="R506" s="44" t="s">
        <v>833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70">
        <v>46248</v>
      </c>
      <c r="X506" s="30" t="s">
        <v>55</v>
      </c>
      <c r="Y506" s="30" t="s">
        <v>833</v>
      </c>
      <c r="Z506" s="30" t="s">
        <v>57</v>
      </c>
      <c r="AA506" s="30" t="s">
        <v>833</v>
      </c>
      <c r="AB506" s="30" t="s">
        <v>56</v>
      </c>
      <c r="AC506" s="27"/>
      <c r="AD506" s="31" t="s">
        <v>57</v>
      </c>
      <c r="AE506" s="32" t="str">
        <f t="shared" si="37"/>
        <v>✓ OK</v>
      </c>
      <c r="AF506" s="33" t="s">
        <v>61</v>
      </c>
      <c r="AG506" s="33" t="s">
        <v>55</v>
      </c>
      <c r="AH506" s="33" t="s">
        <v>833</v>
      </c>
      <c r="AI506" s="33" t="s">
        <v>57</v>
      </c>
      <c r="AJ506" s="33" t="s">
        <v>833</v>
      </c>
      <c r="AK506" s="33" t="s">
        <v>56</v>
      </c>
      <c r="AL506" s="27"/>
      <c r="AM506" s="34" t="s">
        <v>57</v>
      </c>
      <c r="AN506" s="35" t="str">
        <f t="shared" si="38"/>
        <v>✓ OK</v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5610</v>
      </c>
      <c r="C507" s="25" t="s">
        <v>5611</v>
      </c>
      <c r="D507" s="23" t="s">
        <v>5501</v>
      </c>
      <c r="E507" s="42">
        <v>46128</v>
      </c>
      <c r="F507" s="26" t="s">
        <v>55</v>
      </c>
      <c r="G507" s="44" t="s">
        <v>833</v>
      </c>
      <c r="H507" s="26" t="s">
        <v>57</v>
      </c>
      <c r="I507" s="44" t="s">
        <v>833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42">
        <v>46196</v>
      </c>
      <c r="O507" s="26" t="s">
        <v>55</v>
      </c>
      <c r="P507" s="44" t="s">
        <v>833</v>
      </c>
      <c r="Q507" s="26" t="s">
        <v>57</v>
      </c>
      <c r="R507" s="44" t="s">
        <v>833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70">
        <v>46248</v>
      </c>
      <c r="X507" s="30" t="s">
        <v>55</v>
      </c>
      <c r="Y507" s="30" t="s">
        <v>833</v>
      </c>
      <c r="Z507" s="30" t="s">
        <v>57</v>
      </c>
      <c r="AA507" s="30" t="s">
        <v>833</v>
      </c>
      <c r="AB507" s="30" t="s">
        <v>56</v>
      </c>
      <c r="AC507" s="27"/>
      <c r="AD507" s="31" t="s">
        <v>57</v>
      </c>
      <c r="AE507" s="32" t="str">
        <f t="shared" si="37"/>
        <v>✓ OK</v>
      </c>
      <c r="AF507" s="33" t="s">
        <v>61</v>
      </c>
      <c r="AG507" s="33" t="s">
        <v>55</v>
      </c>
      <c r="AH507" s="33" t="s">
        <v>833</v>
      </c>
      <c r="AI507" s="33" t="s">
        <v>57</v>
      </c>
      <c r="AJ507" s="33" t="s">
        <v>833</v>
      </c>
      <c r="AK507" s="33" t="s">
        <v>56</v>
      </c>
      <c r="AL507" s="27"/>
      <c r="AM507" s="34" t="s">
        <v>57</v>
      </c>
      <c r="AN507" s="35" t="str">
        <f t="shared" si="38"/>
        <v>✓ OK</v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5612</v>
      </c>
      <c r="C508" s="41" t="s">
        <v>5613</v>
      </c>
      <c r="D508" s="39" t="s">
        <v>5501</v>
      </c>
      <c r="E508" s="42">
        <v>46128</v>
      </c>
      <c r="F508" s="26" t="s">
        <v>55</v>
      </c>
      <c r="G508" s="44" t="s">
        <v>833</v>
      </c>
      <c r="H508" s="26" t="s">
        <v>57</v>
      </c>
      <c r="I508" s="44" t="s">
        <v>833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42">
        <v>46196</v>
      </c>
      <c r="O508" s="26" t="s">
        <v>55</v>
      </c>
      <c r="P508" s="44" t="s">
        <v>833</v>
      </c>
      <c r="Q508" s="26" t="s">
        <v>57</v>
      </c>
      <c r="R508" s="44" t="s">
        <v>833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70">
        <v>46248</v>
      </c>
      <c r="X508" s="30" t="s">
        <v>55</v>
      </c>
      <c r="Y508" s="30" t="s">
        <v>833</v>
      </c>
      <c r="Z508" s="30" t="s">
        <v>57</v>
      </c>
      <c r="AA508" s="30" t="s">
        <v>833</v>
      </c>
      <c r="AB508" s="30" t="s">
        <v>56</v>
      </c>
      <c r="AC508" s="27"/>
      <c r="AD508" s="31" t="s">
        <v>57</v>
      </c>
      <c r="AE508" s="32" t="str">
        <f t="shared" si="37"/>
        <v>✓ OK</v>
      </c>
      <c r="AF508" s="33" t="s">
        <v>61</v>
      </c>
      <c r="AG508" s="33" t="s">
        <v>55</v>
      </c>
      <c r="AH508" s="33" t="s">
        <v>833</v>
      </c>
      <c r="AI508" s="33" t="s">
        <v>57</v>
      </c>
      <c r="AJ508" s="33" t="s">
        <v>833</v>
      </c>
      <c r="AK508" s="33" t="s">
        <v>56</v>
      </c>
      <c r="AL508" s="27"/>
      <c r="AM508" s="34" t="s">
        <v>57</v>
      </c>
      <c r="AN508" s="35" t="str">
        <f t="shared" si="38"/>
        <v>✓ OK</v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5614</v>
      </c>
      <c r="C509" s="25" t="s">
        <v>5615</v>
      </c>
      <c r="D509" s="23" t="s">
        <v>5501</v>
      </c>
      <c r="E509" s="42">
        <v>46128</v>
      </c>
      <c r="F509" s="26" t="s">
        <v>55</v>
      </c>
      <c r="G509" s="44" t="s">
        <v>833</v>
      </c>
      <c r="H509" s="26" t="s">
        <v>57</v>
      </c>
      <c r="I509" s="44" t="s">
        <v>833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42">
        <v>46196</v>
      </c>
      <c r="O509" s="26" t="s">
        <v>55</v>
      </c>
      <c r="P509" s="44" t="s">
        <v>833</v>
      </c>
      <c r="Q509" s="26" t="s">
        <v>57</v>
      </c>
      <c r="R509" s="44" t="s">
        <v>833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70">
        <v>46248</v>
      </c>
      <c r="X509" s="30" t="s">
        <v>55</v>
      </c>
      <c r="Y509" s="30" t="s">
        <v>833</v>
      </c>
      <c r="Z509" s="30" t="s">
        <v>57</v>
      </c>
      <c r="AA509" s="30" t="s">
        <v>833</v>
      </c>
      <c r="AB509" s="30" t="s">
        <v>56</v>
      </c>
      <c r="AC509" s="27"/>
      <c r="AD509" s="31" t="s">
        <v>57</v>
      </c>
      <c r="AE509" s="32" t="str">
        <f t="shared" si="37"/>
        <v>✓ OK</v>
      </c>
      <c r="AF509" s="33" t="s">
        <v>61</v>
      </c>
      <c r="AG509" s="33" t="s">
        <v>55</v>
      </c>
      <c r="AH509" s="33" t="s">
        <v>833</v>
      </c>
      <c r="AI509" s="33" t="s">
        <v>57</v>
      </c>
      <c r="AJ509" s="33" t="s">
        <v>833</v>
      </c>
      <c r="AK509" s="33" t="s">
        <v>56</v>
      </c>
      <c r="AL509" s="27"/>
      <c r="AM509" s="34" t="s">
        <v>57</v>
      </c>
      <c r="AN509" s="35" t="str">
        <f t="shared" si="38"/>
        <v>✓ OK</v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5616</v>
      </c>
      <c r="C510" s="41" t="s">
        <v>5617</v>
      </c>
      <c r="D510" s="39" t="s">
        <v>5501</v>
      </c>
      <c r="E510" s="42">
        <v>46128</v>
      </c>
      <c r="F510" s="26" t="s">
        <v>55</v>
      </c>
      <c r="G510" s="44" t="s">
        <v>833</v>
      </c>
      <c r="H510" s="26" t="s">
        <v>57</v>
      </c>
      <c r="I510" s="44" t="s">
        <v>833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42">
        <v>46196</v>
      </c>
      <c r="O510" s="26" t="s">
        <v>55</v>
      </c>
      <c r="P510" s="44" t="s">
        <v>833</v>
      </c>
      <c r="Q510" s="26" t="s">
        <v>57</v>
      </c>
      <c r="R510" s="44" t="s">
        <v>833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70">
        <v>46248</v>
      </c>
      <c r="X510" s="30" t="s">
        <v>55</v>
      </c>
      <c r="Y510" s="30" t="s">
        <v>833</v>
      </c>
      <c r="Z510" s="30" t="s">
        <v>57</v>
      </c>
      <c r="AA510" s="30" t="s">
        <v>833</v>
      </c>
      <c r="AB510" s="30" t="s">
        <v>56</v>
      </c>
      <c r="AC510" s="27"/>
      <c r="AD510" s="31" t="s">
        <v>57</v>
      </c>
      <c r="AE510" s="32" t="str">
        <f t="shared" si="37"/>
        <v>✓ OK</v>
      </c>
      <c r="AF510" s="33" t="s">
        <v>61</v>
      </c>
      <c r="AG510" s="33" t="s">
        <v>55</v>
      </c>
      <c r="AH510" s="33" t="s">
        <v>833</v>
      </c>
      <c r="AI510" s="33" t="s">
        <v>57</v>
      </c>
      <c r="AJ510" s="33" t="s">
        <v>833</v>
      </c>
      <c r="AK510" s="33" t="s">
        <v>56</v>
      </c>
      <c r="AL510" s="27"/>
      <c r="AM510" s="34" t="s">
        <v>57</v>
      </c>
      <c r="AN510" s="35" t="str">
        <f t="shared" si="38"/>
        <v>✓ OK</v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5618</v>
      </c>
      <c r="C511" s="25" t="s">
        <v>5619</v>
      </c>
      <c r="D511" s="23" t="s">
        <v>5501</v>
      </c>
      <c r="E511" s="42">
        <v>46128</v>
      </c>
      <c r="F511" s="26" t="s">
        <v>55</v>
      </c>
      <c r="G511" s="44" t="s">
        <v>833</v>
      </c>
      <c r="H511" s="26" t="s">
        <v>57</v>
      </c>
      <c r="I511" s="44" t="s">
        <v>833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42">
        <v>46196</v>
      </c>
      <c r="O511" s="26" t="s">
        <v>55</v>
      </c>
      <c r="P511" s="44" t="s">
        <v>833</v>
      </c>
      <c r="Q511" s="26" t="s">
        <v>57</v>
      </c>
      <c r="R511" s="44" t="s">
        <v>833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70">
        <v>46248</v>
      </c>
      <c r="X511" s="30" t="s">
        <v>55</v>
      </c>
      <c r="Y511" s="30" t="s">
        <v>833</v>
      </c>
      <c r="Z511" s="30" t="s">
        <v>57</v>
      </c>
      <c r="AA511" s="30" t="s">
        <v>833</v>
      </c>
      <c r="AB511" s="30" t="s">
        <v>56</v>
      </c>
      <c r="AC511" s="27"/>
      <c r="AD511" s="31" t="s">
        <v>57</v>
      </c>
      <c r="AE511" s="32" t="str">
        <f t="shared" si="37"/>
        <v>✓ OK</v>
      </c>
      <c r="AF511" s="33" t="s">
        <v>61</v>
      </c>
      <c r="AG511" s="33" t="s">
        <v>55</v>
      </c>
      <c r="AH511" s="33" t="s">
        <v>833</v>
      </c>
      <c r="AI511" s="33" t="s">
        <v>57</v>
      </c>
      <c r="AJ511" s="33" t="s">
        <v>833</v>
      </c>
      <c r="AK511" s="33" t="s">
        <v>56</v>
      </c>
      <c r="AL511" s="27"/>
      <c r="AM511" s="34" t="s">
        <v>57</v>
      </c>
      <c r="AN511" s="35" t="str">
        <f t="shared" si="38"/>
        <v>✓ OK</v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5620</v>
      </c>
      <c r="C512" s="41" t="s">
        <v>5621</v>
      </c>
      <c r="D512" s="39" t="s">
        <v>5501</v>
      </c>
      <c r="E512" s="42">
        <v>46128</v>
      </c>
      <c r="F512" s="26" t="s">
        <v>55</v>
      </c>
      <c r="G512" s="44" t="s">
        <v>56</v>
      </c>
      <c r="H512" s="26" t="s">
        <v>57</v>
      </c>
      <c r="I512" s="44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42">
        <v>46196</v>
      </c>
      <c r="O512" s="26" t="s">
        <v>55</v>
      </c>
      <c r="P512" s="44" t="s">
        <v>56</v>
      </c>
      <c r="Q512" s="26" t="s">
        <v>57</v>
      </c>
      <c r="R512" s="44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70">
        <v>46248</v>
      </c>
      <c r="X512" s="30" t="s">
        <v>55</v>
      </c>
      <c r="Y512" s="30" t="s">
        <v>56</v>
      </c>
      <c r="Z512" s="30" t="s">
        <v>57</v>
      </c>
      <c r="AA512" s="30" t="s">
        <v>58</v>
      </c>
      <c r="AB512" s="30" t="s">
        <v>56</v>
      </c>
      <c r="AC512" s="27"/>
      <c r="AD512" s="31" t="s">
        <v>57</v>
      </c>
      <c r="AE512" s="32" t="str">
        <f t="shared" si="37"/>
        <v>✓ OK</v>
      </c>
      <c r="AF512" s="33" t="s">
        <v>61</v>
      </c>
      <c r="AG512" s="33" t="s">
        <v>55</v>
      </c>
      <c r="AH512" s="33" t="s">
        <v>56</v>
      </c>
      <c r="AI512" s="33" t="s">
        <v>57</v>
      </c>
      <c r="AJ512" s="33" t="s">
        <v>58</v>
      </c>
      <c r="AK512" s="33" t="s">
        <v>56</v>
      </c>
      <c r="AL512" s="27"/>
      <c r="AM512" s="34" t="s">
        <v>57</v>
      </c>
      <c r="AN512" s="35" t="str">
        <f t="shared" si="38"/>
        <v>✓ OK</v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5622</v>
      </c>
      <c r="C513" s="25" t="s">
        <v>5623</v>
      </c>
      <c r="D513" s="23" t="s">
        <v>5501</v>
      </c>
      <c r="E513" s="42">
        <v>46128</v>
      </c>
      <c r="F513" s="26" t="s">
        <v>55</v>
      </c>
      <c r="G513" s="44" t="s">
        <v>833</v>
      </c>
      <c r="H513" s="26" t="s">
        <v>57</v>
      </c>
      <c r="I513" s="44" t="s">
        <v>833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42">
        <v>46196</v>
      </c>
      <c r="O513" s="26" t="s">
        <v>55</v>
      </c>
      <c r="P513" s="44" t="s">
        <v>833</v>
      </c>
      <c r="Q513" s="26" t="s">
        <v>57</v>
      </c>
      <c r="R513" s="44" t="s">
        <v>833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70">
        <v>46248</v>
      </c>
      <c r="X513" s="30" t="s">
        <v>55</v>
      </c>
      <c r="Y513" s="30" t="s">
        <v>833</v>
      </c>
      <c r="Z513" s="30" t="s">
        <v>57</v>
      </c>
      <c r="AA513" s="30" t="s">
        <v>833</v>
      </c>
      <c r="AB513" s="30" t="s">
        <v>56</v>
      </c>
      <c r="AC513" s="27"/>
      <c r="AD513" s="31" t="s">
        <v>57</v>
      </c>
      <c r="AE513" s="32" t="str">
        <f t="shared" si="37"/>
        <v>✓ OK</v>
      </c>
      <c r="AF513" s="33" t="s">
        <v>61</v>
      </c>
      <c r="AG513" s="33" t="s">
        <v>55</v>
      </c>
      <c r="AH513" s="33" t="s">
        <v>833</v>
      </c>
      <c r="AI513" s="33" t="s">
        <v>57</v>
      </c>
      <c r="AJ513" s="33" t="s">
        <v>833</v>
      </c>
      <c r="AK513" s="33" t="s">
        <v>56</v>
      </c>
      <c r="AL513" s="27"/>
      <c r="AM513" s="34" t="s">
        <v>57</v>
      </c>
      <c r="AN513" s="35" t="str">
        <f t="shared" si="38"/>
        <v>✓ OK</v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5624</v>
      </c>
      <c r="C514" s="41" t="s">
        <v>5625</v>
      </c>
      <c r="D514" s="39" t="s">
        <v>5501</v>
      </c>
      <c r="E514" s="42">
        <v>46128</v>
      </c>
      <c r="F514" s="26" t="s">
        <v>55</v>
      </c>
      <c r="G514" s="44" t="s">
        <v>833</v>
      </c>
      <c r="H514" s="26" t="s">
        <v>57</v>
      </c>
      <c r="I514" s="44" t="s">
        <v>833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42">
        <v>46196</v>
      </c>
      <c r="O514" s="26" t="s">
        <v>55</v>
      </c>
      <c r="P514" s="44" t="s">
        <v>833</v>
      </c>
      <c r="Q514" s="26" t="s">
        <v>57</v>
      </c>
      <c r="R514" s="44" t="s">
        <v>833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70">
        <v>46248</v>
      </c>
      <c r="X514" s="30" t="s">
        <v>55</v>
      </c>
      <c r="Y514" s="30" t="s">
        <v>833</v>
      </c>
      <c r="Z514" s="30" t="s">
        <v>57</v>
      </c>
      <c r="AA514" s="30" t="s">
        <v>833</v>
      </c>
      <c r="AB514" s="30" t="s">
        <v>56</v>
      </c>
      <c r="AC514" s="27"/>
      <c r="AD514" s="31" t="s">
        <v>57</v>
      </c>
      <c r="AE514" s="32" t="str">
        <f t="shared" si="37"/>
        <v>✓ OK</v>
      </c>
      <c r="AF514" s="33" t="s">
        <v>61</v>
      </c>
      <c r="AG514" s="33" t="s">
        <v>55</v>
      </c>
      <c r="AH514" s="33" t="s">
        <v>833</v>
      </c>
      <c r="AI514" s="33" t="s">
        <v>57</v>
      </c>
      <c r="AJ514" s="33" t="s">
        <v>833</v>
      </c>
      <c r="AK514" s="33" t="s">
        <v>56</v>
      </c>
      <c r="AL514" s="27"/>
      <c r="AM514" s="34" t="s">
        <v>57</v>
      </c>
      <c r="AN514" s="35" t="str">
        <f t="shared" si="38"/>
        <v>✓ OK</v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5626</v>
      </c>
      <c r="C515" s="25" t="s">
        <v>5627</v>
      </c>
      <c r="D515" s="23" t="s">
        <v>5501</v>
      </c>
      <c r="E515" s="42">
        <v>46128</v>
      </c>
      <c r="F515" s="26" t="s">
        <v>55</v>
      </c>
      <c r="G515" s="44" t="s">
        <v>833</v>
      </c>
      <c r="H515" s="26" t="s">
        <v>57</v>
      </c>
      <c r="I515" s="44" t="s">
        <v>833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42">
        <v>46196</v>
      </c>
      <c r="O515" s="26" t="s">
        <v>55</v>
      </c>
      <c r="P515" s="44" t="s">
        <v>833</v>
      </c>
      <c r="Q515" s="26" t="s">
        <v>57</v>
      </c>
      <c r="R515" s="44" t="s">
        <v>833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70">
        <v>46248</v>
      </c>
      <c r="X515" s="30" t="s">
        <v>55</v>
      </c>
      <c r="Y515" s="30" t="s">
        <v>833</v>
      </c>
      <c r="Z515" s="30" t="s">
        <v>57</v>
      </c>
      <c r="AA515" s="30" t="s">
        <v>833</v>
      </c>
      <c r="AB515" s="30" t="s">
        <v>56</v>
      </c>
      <c r="AC515" s="27"/>
      <c r="AD515" s="31" t="s">
        <v>57</v>
      </c>
      <c r="AE515" s="32" t="str">
        <f t="shared" si="37"/>
        <v>✓ OK</v>
      </c>
      <c r="AF515" s="33" t="s">
        <v>61</v>
      </c>
      <c r="AG515" s="33" t="s">
        <v>55</v>
      </c>
      <c r="AH515" s="33" t="s">
        <v>833</v>
      </c>
      <c r="AI515" s="33" t="s">
        <v>57</v>
      </c>
      <c r="AJ515" s="33" t="s">
        <v>833</v>
      </c>
      <c r="AK515" s="33" t="s">
        <v>56</v>
      </c>
      <c r="AL515" s="27"/>
      <c r="AM515" s="34" t="s">
        <v>57</v>
      </c>
      <c r="AN515" s="35" t="str">
        <f t="shared" si="38"/>
        <v>✓ OK</v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5628</v>
      </c>
      <c r="C516" s="41" t="s">
        <v>5629</v>
      </c>
      <c r="D516" s="39" t="s">
        <v>5501</v>
      </c>
      <c r="E516" s="42">
        <v>46128</v>
      </c>
      <c r="F516" s="26" t="s">
        <v>55</v>
      </c>
      <c r="G516" s="44" t="s">
        <v>833</v>
      </c>
      <c r="H516" s="26" t="s">
        <v>57</v>
      </c>
      <c r="I516" s="44" t="s">
        <v>833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42">
        <v>46196</v>
      </c>
      <c r="O516" s="26" t="s">
        <v>55</v>
      </c>
      <c r="P516" s="44" t="s">
        <v>833</v>
      </c>
      <c r="Q516" s="26" t="s">
        <v>57</v>
      </c>
      <c r="R516" s="44" t="s">
        <v>833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70">
        <v>46248</v>
      </c>
      <c r="X516" s="30" t="s">
        <v>55</v>
      </c>
      <c r="Y516" s="30" t="s">
        <v>833</v>
      </c>
      <c r="Z516" s="30" t="s">
        <v>57</v>
      </c>
      <c r="AA516" s="30" t="s">
        <v>833</v>
      </c>
      <c r="AB516" s="30" t="s">
        <v>56</v>
      </c>
      <c r="AC516" s="27"/>
      <c r="AD516" s="31" t="s">
        <v>57</v>
      </c>
      <c r="AE516" s="32" t="str">
        <f t="shared" si="37"/>
        <v>✓ OK</v>
      </c>
      <c r="AF516" s="33" t="s">
        <v>61</v>
      </c>
      <c r="AG516" s="33" t="s">
        <v>55</v>
      </c>
      <c r="AH516" s="33" t="s">
        <v>833</v>
      </c>
      <c r="AI516" s="33" t="s">
        <v>57</v>
      </c>
      <c r="AJ516" s="33" t="s">
        <v>833</v>
      </c>
      <c r="AK516" s="33" t="s">
        <v>56</v>
      </c>
      <c r="AL516" s="27"/>
      <c r="AM516" s="34" t="s">
        <v>57</v>
      </c>
      <c r="AN516" s="35" t="str">
        <f t="shared" si="38"/>
        <v>✓ OK</v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516">
    <cfRule type="expression" dxfId="108" priority="15">
      <formula>MOD(ROW(),2)=0</formula>
    </cfRule>
  </conditionalFormatting>
  <conditionalFormatting sqref="G5:G516">
    <cfRule type="expression" dxfId="107" priority="17">
      <formula>G5="Yes"</formula>
    </cfRule>
    <cfRule type="expression" dxfId="106" priority="18">
      <formula>G5="No"</formula>
    </cfRule>
    <cfRule type="expression" dxfId="105" priority="19">
      <formula>MOD(ROW(),2)=0</formula>
    </cfRule>
  </conditionalFormatting>
  <conditionalFormatting sqref="H5:H516">
    <cfRule type="expression" dxfId="104" priority="20">
      <formula>H5="Yes"</formula>
    </cfRule>
  </conditionalFormatting>
  <conditionalFormatting sqref="I5:I516">
    <cfRule type="expression" dxfId="103" priority="16">
      <formula>MOD(ROW(),2)=0</formula>
    </cfRule>
  </conditionalFormatting>
  <conditionalFormatting sqref="J5:J516">
    <cfRule type="expression" dxfId="102" priority="21">
      <formula>J5="Yes"</formula>
    </cfRule>
    <cfRule type="expression" dxfId="101" priority="22">
      <formula>J5="No"</formula>
    </cfRule>
  </conditionalFormatting>
  <conditionalFormatting sqref="J5:L516 H5:H516">
    <cfRule type="expression" dxfId="100" priority="23">
      <formula>MOD(ROW(),2)=0</formula>
    </cfRule>
  </conditionalFormatting>
  <conditionalFormatting sqref="M5:M516">
    <cfRule type="expression" dxfId="99" priority="24">
      <formula>M5="✓ OK"</formula>
    </cfRule>
    <cfRule type="expression" dxfId="98" priority="25">
      <formula>M5="❌ Disc"</formula>
    </cfRule>
    <cfRule type="expression" dxfId="97" priority="26">
      <formula>M5="⚠ Missing"</formula>
    </cfRule>
    <cfRule type="expression" dxfId="96" priority="27">
      <formula>M5="⚠ Check"</formula>
    </cfRule>
  </conditionalFormatting>
  <conditionalFormatting sqref="N5:O516">
    <cfRule type="expression" dxfId="95" priority="1">
      <formula>MOD(ROW(),2)=0</formula>
    </cfRule>
  </conditionalFormatting>
  <conditionalFormatting sqref="P5:P516">
    <cfRule type="expression" dxfId="94" priority="4">
      <formula>P5="Yes"</formula>
    </cfRule>
    <cfRule type="expression" dxfId="93" priority="5">
      <formula>P5="No"</formula>
    </cfRule>
    <cfRule type="expression" dxfId="92" priority="6">
      <formula>MOD(ROW(),2)=0</formula>
    </cfRule>
  </conditionalFormatting>
  <conditionalFormatting sqref="Q5:Q516">
    <cfRule type="expression" dxfId="91" priority="7">
      <formula>Q5="Yes"</formula>
    </cfRule>
  </conditionalFormatting>
  <conditionalFormatting sqref="R5:R516">
    <cfRule type="expression" dxfId="90" priority="3">
      <formula>MOD(ROW(),2)=0</formula>
    </cfRule>
  </conditionalFormatting>
  <conditionalFormatting sqref="S5:S516">
    <cfRule type="expression" dxfId="89" priority="8">
      <formula>S5="Yes"</formula>
    </cfRule>
    <cfRule type="expression" dxfId="88" priority="9">
      <formula>S5="No"</formula>
    </cfRule>
  </conditionalFormatting>
  <conditionalFormatting sqref="S5:U516 Q5:Q516">
    <cfRule type="expression" dxfId="87" priority="10">
      <formula>MOD(ROW(),2)=0</formula>
    </cfRule>
  </conditionalFormatting>
  <conditionalFormatting sqref="V5:V516">
    <cfRule type="expression" dxfId="86" priority="11">
      <formula>V5="✓ OK"</formula>
    </cfRule>
    <cfRule type="expression" dxfId="85" priority="12">
      <formula>V5="❌ Disc"</formula>
    </cfRule>
    <cfRule type="expression" dxfId="84" priority="13">
      <formula>V5="⚠ Missing"</formula>
    </cfRule>
    <cfRule type="expression" dxfId="83" priority="14">
      <formula>V5="⚠ Check"</formula>
    </cfRule>
  </conditionalFormatting>
  <conditionalFormatting sqref="M5:M516 V5:AW516">
    <cfRule type="expression" dxfId="82" priority="69">
      <formula>MOD(ROW(),2)=0</formula>
    </cfRule>
  </conditionalFormatting>
  <conditionalFormatting sqref="Y5:Y516">
    <cfRule type="expression" dxfId="81" priority="46">
      <formula>Y5="Yes"</formula>
    </cfRule>
    <cfRule type="expression" dxfId="80" priority="47">
      <formula>Y5="No"</formula>
    </cfRule>
  </conditionalFormatting>
  <conditionalFormatting sqref="Z5:Z516">
    <cfRule type="expression" dxfId="79" priority="48">
      <formula>Z5="Yes"</formula>
    </cfRule>
  </conditionalFormatting>
  <conditionalFormatting sqref="AB5:AB516">
    <cfRule type="expression" dxfId="78" priority="50">
      <formula>AB5="No"</formula>
    </cfRule>
    <cfRule type="expression" dxfId="77" priority="49">
      <formula>AB5="Yes"</formula>
    </cfRule>
  </conditionalFormatting>
  <conditionalFormatting sqref="AE5:AE516">
    <cfRule type="expression" dxfId="76" priority="45">
      <formula>AE5="⚠ Check"</formula>
    </cfRule>
    <cfRule type="expression" dxfId="75" priority="43">
      <formula>AE5="❌ Disc"</formula>
    </cfRule>
    <cfRule type="expression" dxfId="74" priority="42">
      <formula>AE5="✓ OK"</formula>
    </cfRule>
    <cfRule type="expression" dxfId="73" priority="44">
      <formula>AE5="⚠ Missing"</formula>
    </cfRule>
  </conditionalFormatting>
  <conditionalFormatting sqref="AH5:AH516">
    <cfRule type="expression" dxfId="72" priority="55">
      <formula>AH5="Yes"</formula>
    </cfRule>
    <cfRule type="expression" dxfId="71" priority="56">
      <formula>AH5="No"</formula>
    </cfRule>
  </conditionalFormatting>
  <conditionalFormatting sqref="AI5:AI516">
    <cfRule type="expression" dxfId="70" priority="57">
      <formula>AI5="Yes"</formula>
    </cfRule>
  </conditionalFormatting>
  <conditionalFormatting sqref="AK5:AK516">
    <cfRule type="expression" dxfId="69" priority="58">
      <formula>AK5="Yes"</formula>
    </cfRule>
    <cfRule type="expression" dxfId="68" priority="59">
      <formula>AK5="No"</formula>
    </cfRule>
  </conditionalFormatting>
  <conditionalFormatting sqref="AN5:AN516">
    <cfRule type="expression" dxfId="67" priority="51">
      <formula>AN5="✓ OK"</formula>
    </cfRule>
    <cfRule type="expression" dxfId="66" priority="52">
      <formula>AN5="❌ Disc"</formula>
    </cfRule>
    <cfRule type="expression" dxfId="65" priority="53">
      <formula>AN5="⚠ Missing"</formula>
    </cfRule>
    <cfRule type="expression" dxfId="64" priority="54">
      <formula>AN5="⚠ Check"</formula>
    </cfRule>
  </conditionalFormatting>
  <conditionalFormatting sqref="AQ5:AQ516">
    <cfRule type="expression" dxfId="63" priority="64">
      <formula>AQ5="Yes"</formula>
    </cfRule>
    <cfRule type="expression" dxfId="62" priority="65">
      <formula>AQ5="No"</formula>
    </cfRule>
  </conditionalFormatting>
  <conditionalFormatting sqref="AR5:AR516">
    <cfRule type="expression" dxfId="61" priority="66">
      <formula>AR5="Yes"</formula>
    </cfRule>
  </conditionalFormatting>
  <conditionalFormatting sqref="AT5:AT516">
    <cfRule type="expression" dxfId="60" priority="67">
      <formula>AT5="Yes"</formula>
    </cfRule>
    <cfRule type="expression" dxfId="59" priority="68">
      <formula>AT5="No"</formula>
    </cfRule>
  </conditionalFormatting>
  <conditionalFormatting sqref="AW5:AW516">
    <cfRule type="expression" dxfId="58" priority="60">
      <formula>AW5="✓ OK"</formula>
    </cfRule>
    <cfRule type="expression" dxfId="57" priority="61">
      <formula>AW5="❌ Disc"</formula>
    </cfRule>
    <cfRule type="expression" dxfId="56" priority="62">
      <formula>AW5="⚠ Missing"</formula>
    </cfRule>
    <cfRule type="expression" dxfId="55" priority="63">
      <formula>AW5="⚠ Check"</formula>
    </cfRule>
  </conditionalFormatting>
  <dataValidations count="4">
    <dataValidation type="list" allowBlank="1" sqref="H5:H516 J5:J516 Q5:Q516 S5:S516 Y5:Z516 AB5:AB516 AT5:AT516 AH5:AI516 AQ5:AR516 AK5:AK516" xr:uid="{00000000-0002-0000-0B00-000000000000}">
      <formula1>"Yes,No"</formula1>
    </dataValidation>
    <dataValidation type="list" allowBlank="1" sqref="AA5:AA516 AS5:AS516 AJ5:AJ516" xr:uid="{00000000-0002-0000-0B00-000001000000}">
      <formula1>"Good finish,Minor defect,Major defect,Discontinued,Not Available"</formula1>
    </dataValidation>
    <dataValidation type="list" allowBlank="1" sqref="I5:I516 R5:R516" xr:uid="{00000000-0002-0000-0B00-000002000000}">
      <formula1>"Represented by Sample,Good finish,Minor defect,Major defect,Discontinued,Not Available"</formula1>
    </dataValidation>
    <dataValidation type="list" allowBlank="1" sqref="G5:G516 P5:P516" xr:uid="{00000000-0002-0000-0B00-000003000000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AB288" activePane="bottomRight" state="frozen"/>
      <selection pane="topRight" sqref="A1:AW1"/>
      <selection pane="bottomLeft" sqref="A1:AW1"/>
      <selection pane="bottomRight" activeCell="AB293" sqref="AB29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73" t="s">
        <v>5630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</row>
    <row r="2" spans="1:49" ht="15" customHeight="1" x14ac:dyDescent="0.3">
      <c r="A2" s="79" t="s">
        <v>33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</row>
    <row r="3" spans="1:49" ht="19.95" customHeight="1" x14ac:dyDescent="0.3">
      <c r="A3" s="22"/>
      <c r="B3" s="22"/>
      <c r="C3" s="22"/>
      <c r="D3" s="22"/>
      <c r="E3" s="80" t="s">
        <v>34</v>
      </c>
      <c r="F3" s="76"/>
      <c r="G3" s="76"/>
      <c r="H3" s="76"/>
      <c r="I3" s="76"/>
      <c r="J3" s="76"/>
      <c r="K3" s="76"/>
      <c r="L3" s="76"/>
      <c r="M3" s="77"/>
      <c r="N3" s="82" t="s">
        <v>35</v>
      </c>
      <c r="O3" s="76"/>
      <c r="P3" s="76"/>
      <c r="Q3" s="76"/>
      <c r="R3" s="76"/>
      <c r="S3" s="76"/>
      <c r="T3" s="76"/>
      <c r="U3" s="76"/>
      <c r="V3" s="77"/>
      <c r="W3" s="78" t="s">
        <v>36</v>
      </c>
      <c r="X3" s="76"/>
      <c r="Y3" s="76"/>
      <c r="Z3" s="76"/>
      <c r="AA3" s="76"/>
      <c r="AB3" s="76"/>
      <c r="AC3" s="76"/>
      <c r="AD3" s="76"/>
      <c r="AE3" s="77"/>
      <c r="AF3" s="81" t="s">
        <v>37</v>
      </c>
      <c r="AG3" s="76"/>
      <c r="AH3" s="76"/>
      <c r="AI3" s="76"/>
      <c r="AJ3" s="76"/>
      <c r="AK3" s="76"/>
      <c r="AL3" s="76"/>
      <c r="AM3" s="76"/>
      <c r="AN3" s="77"/>
      <c r="AO3" s="75" t="s">
        <v>38</v>
      </c>
      <c r="AP3" s="76"/>
      <c r="AQ3" s="76"/>
      <c r="AR3" s="76"/>
      <c r="AS3" s="76"/>
      <c r="AT3" s="76"/>
      <c r="AU3" s="76"/>
      <c r="AV3" s="76"/>
      <c r="AW3" s="7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5631</v>
      </c>
      <c r="C5" s="25" t="s">
        <v>5632</v>
      </c>
      <c r="D5" s="23" t="s">
        <v>5633</v>
      </c>
      <c r="E5" s="42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69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70">
        <v>46248</v>
      </c>
      <c r="X5" s="30" t="s">
        <v>55</v>
      </c>
      <c r="Y5" s="30" t="s">
        <v>56</v>
      </c>
      <c r="Z5" s="30" t="s">
        <v>57</v>
      </c>
      <c r="AA5" s="30" t="s">
        <v>58</v>
      </c>
      <c r="AB5" s="30" t="s">
        <v>56</v>
      </c>
      <c r="AC5" s="27"/>
      <c r="AD5" s="31" t="s">
        <v>57</v>
      </c>
      <c r="AE5" s="32" t="str">
        <f t="shared" ref="AE5:AE68" si="2">IF(W5="","",IF(Z5="Yes","❌ Disc",IF(Y5="No","⚠ Missing",IF(AB5="Yes","✓ OK","⚠ Check"))))</f>
        <v>✓ OK</v>
      </c>
      <c r="AF5" s="33" t="s">
        <v>61</v>
      </c>
      <c r="AG5" s="33" t="s">
        <v>55</v>
      </c>
      <c r="AH5" s="33" t="s">
        <v>56</v>
      </c>
      <c r="AI5" s="33" t="s">
        <v>57</v>
      </c>
      <c r="AJ5" s="33" t="s">
        <v>58</v>
      </c>
      <c r="AK5" s="33" t="s">
        <v>56</v>
      </c>
      <c r="AL5" s="27"/>
      <c r="AM5" s="34" t="s">
        <v>57</v>
      </c>
      <c r="AN5" s="35" t="str">
        <f t="shared" ref="AN5:AN68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5634</v>
      </c>
      <c r="C6" s="41" t="s">
        <v>5635</v>
      </c>
      <c r="D6" s="39" t="s">
        <v>5633</v>
      </c>
      <c r="E6" s="42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69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70">
        <v>46248</v>
      </c>
      <c r="X6" s="30" t="s">
        <v>55</v>
      </c>
      <c r="Y6" s="30" t="s">
        <v>56</v>
      </c>
      <c r="Z6" s="30" t="s">
        <v>57</v>
      </c>
      <c r="AA6" s="30" t="s">
        <v>58</v>
      </c>
      <c r="AB6" s="30" t="s">
        <v>56</v>
      </c>
      <c r="AC6" s="27"/>
      <c r="AD6" s="31" t="s">
        <v>57</v>
      </c>
      <c r="AE6" s="32" t="str">
        <f t="shared" si="2"/>
        <v>✓ OK</v>
      </c>
      <c r="AF6" s="33" t="s">
        <v>61</v>
      </c>
      <c r="AG6" s="33" t="s">
        <v>55</v>
      </c>
      <c r="AH6" s="33" t="s">
        <v>56</v>
      </c>
      <c r="AI6" s="33" t="s">
        <v>57</v>
      </c>
      <c r="AJ6" s="33" t="s">
        <v>58</v>
      </c>
      <c r="AK6" s="33" t="s">
        <v>56</v>
      </c>
      <c r="AL6" s="27"/>
      <c r="AM6" s="34" t="s">
        <v>57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5636</v>
      </c>
      <c r="C7" s="25" t="s">
        <v>5637</v>
      </c>
      <c r="D7" s="23" t="s">
        <v>5633</v>
      </c>
      <c r="E7" s="42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69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70">
        <v>46248</v>
      </c>
      <c r="X7" s="30" t="s">
        <v>55</v>
      </c>
      <c r="Y7" s="30" t="s">
        <v>56</v>
      </c>
      <c r="Z7" s="30" t="s">
        <v>57</v>
      </c>
      <c r="AA7" s="30" t="s">
        <v>58</v>
      </c>
      <c r="AB7" s="30" t="s">
        <v>56</v>
      </c>
      <c r="AC7" s="27"/>
      <c r="AD7" s="31" t="s">
        <v>57</v>
      </c>
      <c r="AE7" s="32" t="str">
        <f t="shared" si="2"/>
        <v>✓ OK</v>
      </c>
      <c r="AF7" s="33" t="s">
        <v>61</v>
      </c>
      <c r="AG7" s="33" t="s">
        <v>55</v>
      </c>
      <c r="AH7" s="33" t="s">
        <v>56</v>
      </c>
      <c r="AI7" s="33" t="s">
        <v>57</v>
      </c>
      <c r="AJ7" s="33" t="s">
        <v>58</v>
      </c>
      <c r="AK7" s="33" t="s">
        <v>56</v>
      </c>
      <c r="AL7" s="27"/>
      <c r="AM7" s="34" t="s">
        <v>57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5638</v>
      </c>
      <c r="C8" s="41" t="s">
        <v>5639</v>
      </c>
      <c r="D8" s="39" t="s">
        <v>5633</v>
      </c>
      <c r="E8" s="42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69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70">
        <v>46248</v>
      </c>
      <c r="X8" s="30" t="s">
        <v>55</v>
      </c>
      <c r="Y8" s="30" t="s">
        <v>56</v>
      </c>
      <c r="Z8" s="30" t="s">
        <v>57</v>
      </c>
      <c r="AA8" s="30" t="s">
        <v>58</v>
      </c>
      <c r="AB8" s="30" t="s">
        <v>56</v>
      </c>
      <c r="AC8" s="27"/>
      <c r="AD8" s="31" t="s">
        <v>57</v>
      </c>
      <c r="AE8" s="32" t="str">
        <f t="shared" si="2"/>
        <v>✓ OK</v>
      </c>
      <c r="AF8" s="33" t="s">
        <v>61</v>
      </c>
      <c r="AG8" s="33" t="s">
        <v>55</v>
      </c>
      <c r="AH8" s="33" t="s">
        <v>56</v>
      </c>
      <c r="AI8" s="33" t="s">
        <v>57</v>
      </c>
      <c r="AJ8" s="33" t="s">
        <v>58</v>
      </c>
      <c r="AK8" s="33" t="s">
        <v>56</v>
      </c>
      <c r="AL8" s="27"/>
      <c r="AM8" s="34" t="s">
        <v>57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5640</v>
      </c>
      <c r="C9" s="25" t="s">
        <v>5641</v>
      </c>
      <c r="D9" s="23" t="s">
        <v>5633</v>
      </c>
      <c r="E9" s="42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69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70">
        <v>46248</v>
      </c>
      <c r="X9" s="30" t="s">
        <v>55</v>
      </c>
      <c r="Y9" s="30" t="s">
        <v>56</v>
      </c>
      <c r="Z9" s="30" t="s">
        <v>57</v>
      </c>
      <c r="AA9" s="30" t="s">
        <v>58</v>
      </c>
      <c r="AB9" s="30" t="s">
        <v>56</v>
      </c>
      <c r="AC9" s="27"/>
      <c r="AD9" s="31" t="s">
        <v>57</v>
      </c>
      <c r="AE9" s="32" t="str">
        <f t="shared" si="2"/>
        <v>✓ OK</v>
      </c>
      <c r="AF9" s="33" t="s">
        <v>61</v>
      </c>
      <c r="AG9" s="33" t="s">
        <v>55</v>
      </c>
      <c r="AH9" s="33" t="s">
        <v>56</v>
      </c>
      <c r="AI9" s="33" t="s">
        <v>57</v>
      </c>
      <c r="AJ9" s="33" t="s">
        <v>58</v>
      </c>
      <c r="AK9" s="33" t="s">
        <v>56</v>
      </c>
      <c r="AL9" s="27"/>
      <c r="AM9" s="34" t="s">
        <v>57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5642</v>
      </c>
      <c r="C10" s="41" t="s">
        <v>5643</v>
      </c>
      <c r="D10" s="39" t="s">
        <v>5633</v>
      </c>
      <c r="E10" s="42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69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70">
        <v>46248</v>
      </c>
      <c r="X10" s="30" t="s">
        <v>55</v>
      </c>
      <c r="Y10" s="30" t="s">
        <v>56</v>
      </c>
      <c r="Z10" s="30" t="s">
        <v>57</v>
      </c>
      <c r="AA10" s="30" t="s">
        <v>58</v>
      </c>
      <c r="AB10" s="30" t="s">
        <v>56</v>
      </c>
      <c r="AC10" s="27"/>
      <c r="AD10" s="31" t="s">
        <v>57</v>
      </c>
      <c r="AE10" s="32" t="str">
        <f t="shared" si="2"/>
        <v>✓ OK</v>
      </c>
      <c r="AF10" s="33" t="s">
        <v>61</v>
      </c>
      <c r="AG10" s="33" t="s">
        <v>55</v>
      </c>
      <c r="AH10" s="33" t="s">
        <v>56</v>
      </c>
      <c r="AI10" s="33" t="s">
        <v>57</v>
      </c>
      <c r="AJ10" s="33" t="s">
        <v>58</v>
      </c>
      <c r="AK10" s="33" t="s">
        <v>56</v>
      </c>
      <c r="AL10" s="27"/>
      <c r="AM10" s="34" t="s">
        <v>57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5644</v>
      </c>
      <c r="C11" s="25" t="s">
        <v>5645</v>
      </c>
      <c r="D11" s="23" t="s">
        <v>5633</v>
      </c>
      <c r="E11" s="42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69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70">
        <v>46248</v>
      </c>
      <c r="X11" s="30" t="s">
        <v>55</v>
      </c>
      <c r="Y11" s="30" t="s">
        <v>56</v>
      </c>
      <c r="Z11" s="30" t="s">
        <v>57</v>
      </c>
      <c r="AA11" s="30" t="s">
        <v>58</v>
      </c>
      <c r="AB11" s="30" t="s">
        <v>56</v>
      </c>
      <c r="AC11" s="27"/>
      <c r="AD11" s="31" t="s">
        <v>57</v>
      </c>
      <c r="AE11" s="32" t="str">
        <f t="shared" si="2"/>
        <v>✓ OK</v>
      </c>
      <c r="AF11" s="33" t="s">
        <v>61</v>
      </c>
      <c r="AG11" s="33" t="s">
        <v>55</v>
      </c>
      <c r="AH11" s="33" t="s">
        <v>56</v>
      </c>
      <c r="AI11" s="33" t="s">
        <v>57</v>
      </c>
      <c r="AJ11" s="33" t="s">
        <v>58</v>
      </c>
      <c r="AK11" s="33" t="s">
        <v>56</v>
      </c>
      <c r="AL11" s="27"/>
      <c r="AM11" s="34" t="s">
        <v>57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5646</v>
      </c>
      <c r="C12" s="41" t="s">
        <v>5647</v>
      </c>
      <c r="D12" s="39" t="s">
        <v>5633</v>
      </c>
      <c r="E12" s="42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69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70">
        <v>46248</v>
      </c>
      <c r="X12" s="30" t="s">
        <v>55</v>
      </c>
      <c r="Y12" s="30" t="s">
        <v>56</v>
      </c>
      <c r="Z12" s="30" t="s">
        <v>57</v>
      </c>
      <c r="AA12" s="30" t="s">
        <v>58</v>
      </c>
      <c r="AB12" s="30" t="s">
        <v>56</v>
      </c>
      <c r="AC12" s="27"/>
      <c r="AD12" s="31" t="s">
        <v>57</v>
      </c>
      <c r="AE12" s="32" t="str">
        <f t="shared" si="2"/>
        <v>✓ OK</v>
      </c>
      <c r="AF12" s="33" t="s">
        <v>61</v>
      </c>
      <c r="AG12" s="33" t="s">
        <v>55</v>
      </c>
      <c r="AH12" s="33" t="s">
        <v>56</v>
      </c>
      <c r="AI12" s="33" t="s">
        <v>57</v>
      </c>
      <c r="AJ12" s="33" t="s">
        <v>58</v>
      </c>
      <c r="AK12" s="33" t="s">
        <v>56</v>
      </c>
      <c r="AL12" s="27"/>
      <c r="AM12" s="34" t="s">
        <v>57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5648</v>
      </c>
      <c r="C13" s="25" t="s">
        <v>5649</v>
      </c>
      <c r="D13" s="23" t="s">
        <v>5633</v>
      </c>
      <c r="E13" s="42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69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70">
        <v>46248</v>
      </c>
      <c r="X13" s="30" t="s">
        <v>55</v>
      </c>
      <c r="Y13" s="30" t="s">
        <v>56</v>
      </c>
      <c r="Z13" s="30" t="s">
        <v>57</v>
      </c>
      <c r="AA13" s="30" t="s">
        <v>58</v>
      </c>
      <c r="AB13" s="30" t="s">
        <v>56</v>
      </c>
      <c r="AC13" s="27"/>
      <c r="AD13" s="31" t="s">
        <v>57</v>
      </c>
      <c r="AE13" s="32" t="str">
        <f t="shared" si="2"/>
        <v>✓ OK</v>
      </c>
      <c r="AF13" s="33" t="s">
        <v>61</v>
      </c>
      <c r="AG13" s="33" t="s">
        <v>55</v>
      </c>
      <c r="AH13" s="33" t="s">
        <v>56</v>
      </c>
      <c r="AI13" s="33" t="s">
        <v>57</v>
      </c>
      <c r="AJ13" s="33" t="s">
        <v>58</v>
      </c>
      <c r="AK13" s="33" t="s">
        <v>56</v>
      </c>
      <c r="AL13" s="27"/>
      <c r="AM13" s="34" t="s">
        <v>57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5650</v>
      </c>
      <c r="C14" s="41" t="s">
        <v>5651</v>
      </c>
      <c r="D14" s="39" t="s">
        <v>5633</v>
      </c>
      <c r="E14" s="42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69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70">
        <v>46248</v>
      </c>
      <c r="X14" s="30" t="s">
        <v>55</v>
      </c>
      <c r="Y14" s="30" t="s">
        <v>56</v>
      </c>
      <c r="Z14" s="30" t="s">
        <v>57</v>
      </c>
      <c r="AA14" s="30" t="s">
        <v>58</v>
      </c>
      <c r="AB14" s="30" t="s">
        <v>56</v>
      </c>
      <c r="AC14" s="27"/>
      <c r="AD14" s="31" t="s">
        <v>57</v>
      </c>
      <c r="AE14" s="32" t="str">
        <f t="shared" si="2"/>
        <v>✓ OK</v>
      </c>
      <c r="AF14" s="33" t="s">
        <v>61</v>
      </c>
      <c r="AG14" s="33" t="s">
        <v>55</v>
      </c>
      <c r="AH14" s="33" t="s">
        <v>56</v>
      </c>
      <c r="AI14" s="33" t="s">
        <v>57</v>
      </c>
      <c r="AJ14" s="33" t="s">
        <v>58</v>
      </c>
      <c r="AK14" s="33" t="s">
        <v>56</v>
      </c>
      <c r="AL14" s="27"/>
      <c r="AM14" s="34" t="s">
        <v>57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5652</v>
      </c>
      <c r="C15" s="25" t="s">
        <v>5653</v>
      </c>
      <c r="D15" s="23" t="s">
        <v>5633</v>
      </c>
      <c r="E15" s="42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69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70">
        <v>46248</v>
      </c>
      <c r="X15" s="30" t="s">
        <v>55</v>
      </c>
      <c r="Y15" s="30" t="s">
        <v>56</v>
      </c>
      <c r="Z15" s="30" t="s">
        <v>57</v>
      </c>
      <c r="AA15" s="30" t="s">
        <v>58</v>
      </c>
      <c r="AB15" s="30" t="s">
        <v>56</v>
      </c>
      <c r="AC15" s="27"/>
      <c r="AD15" s="31" t="s">
        <v>57</v>
      </c>
      <c r="AE15" s="32" t="str">
        <f t="shared" si="2"/>
        <v>✓ OK</v>
      </c>
      <c r="AF15" s="33" t="s">
        <v>61</v>
      </c>
      <c r="AG15" s="33" t="s">
        <v>55</v>
      </c>
      <c r="AH15" s="33" t="s">
        <v>56</v>
      </c>
      <c r="AI15" s="33" t="s">
        <v>57</v>
      </c>
      <c r="AJ15" s="33" t="s">
        <v>58</v>
      </c>
      <c r="AK15" s="33" t="s">
        <v>56</v>
      </c>
      <c r="AL15" s="27"/>
      <c r="AM15" s="34" t="s">
        <v>57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5654</v>
      </c>
      <c r="C16" s="41" t="s">
        <v>5655</v>
      </c>
      <c r="D16" s="39" t="s">
        <v>5633</v>
      </c>
      <c r="E16" s="42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69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70">
        <v>46248</v>
      </c>
      <c r="X16" s="30" t="s">
        <v>55</v>
      </c>
      <c r="Y16" s="30" t="s">
        <v>56</v>
      </c>
      <c r="Z16" s="30" t="s">
        <v>57</v>
      </c>
      <c r="AA16" s="30" t="s">
        <v>58</v>
      </c>
      <c r="AB16" s="30" t="s">
        <v>56</v>
      </c>
      <c r="AC16" s="27"/>
      <c r="AD16" s="31" t="s">
        <v>57</v>
      </c>
      <c r="AE16" s="32" t="str">
        <f t="shared" si="2"/>
        <v>✓ OK</v>
      </c>
      <c r="AF16" s="33" t="s">
        <v>61</v>
      </c>
      <c r="AG16" s="33" t="s">
        <v>55</v>
      </c>
      <c r="AH16" s="33" t="s">
        <v>56</v>
      </c>
      <c r="AI16" s="33" t="s">
        <v>57</v>
      </c>
      <c r="AJ16" s="33" t="s">
        <v>58</v>
      </c>
      <c r="AK16" s="33" t="s">
        <v>56</v>
      </c>
      <c r="AL16" s="27"/>
      <c r="AM16" s="34" t="s">
        <v>57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5656</v>
      </c>
      <c r="C17" s="25" t="s">
        <v>5657</v>
      </c>
      <c r="D17" s="23" t="s">
        <v>5633</v>
      </c>
      <c r="E17" s="42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69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70">
        <v>46248</v>
      </c>
      <c r="X17" s="30" t="s">
        <v>55</v>
      </c>
      <c r="Y17" s="30" t="s">
        <v>56</v>
      </c>
      <c r="Z17" s="30" t="s">
        <v>57</v>
      </c>
      <c r="AA17" s="30" t="s">
        <v>58</v>
      </c>
      <c r="AB17" s="30" t="s">
        <v>56</v>
      </c>
      <c r="AC17" s="27"/>
      <c r="AD17" s="31" t="s">
        <v>57</v>
      </c>
      <c r="AE17" s="32" t="str">
        <f t="shared" si="2"/>
        <v>✓ OK</v>
      </c>
      <c r="AF17" s="33" t="s">
        <v>61</v>
      </c>
      <c r="AG17" s="33" t="s">
        <v>55</v>
      </c>
      <c r="AH17" s="33" t="s">
        <v>56</v>
      </c>
      <c r="AI17" s="33" t="s">
        <v>57</v>
      </c>
      <c r="AJ17" s="33" t="s">
        <v>58</v>
      </c>
      <c r="AK17" s="33" t="s">
        <v>56</v>
      </c>
      <c r="AL17" s="27"/>
      <c r="AM17" s="34" t="s">
        <v>57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5658</v>
      </c>
      <c r="C18" s="41" t="s">
        <v>5659</v>
      </c>
      <c r="D18" s="39" t="s">
        <v>5633</v>
      </c>
      <c r="E18" s="42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69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70">
        <v>46248</v>
      </c>
      <c r="X18" s="30" t="s">
        <v>55</v>
      </c>
      <c r="Y18" s="30" t="s">
        <v>56</v>
      </c>
      <c r="Z18" s="30" t="s">
        <v>57</v>
      </c>
      <c r="AA18" s="30" t="s">
        <v>58</v>
      </c>
      <c r="AB18" s="30" t="s">
        <v>56</v>
      </c>
      <c r="AC18" s="27"/>
      <c r="AD18" s="31" t="s">
        <v>57</v>
      </c>
      <c r="AE18" s="32" t="str">
        <f t="shared" si="2"/>
        <v>✓ OK</v>
      </c>
      <c r="AF18" s="33" t="s">
        <v>61</v>
      </c>
      <c r="AG18" s="33" t="s">
        <v>55</v>
      </c>
      <c r="AH18" s="33" t="s">
        <v>56</v>
      </c>
      <c r="AI18" s="33" t="s">
        <v>57</v>
      </c>
      <c r="AJ18" s="33" t="s">
        <v>58</v>
      </c>
      <c r="AK18" s="33" t="s">
        <v>56</v>
      </c>
      <c r="AL18" s="27"/>
      <c r="AM18" s="34" t="s">
        <v>57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5660</v>
      </c>
      <c r="C19" s="25" t="s">
        <v>5661</v>
      </c>
      <c r="D19" s="23" t="s">
        <v>5633</v>
      </c>
      <c r="E19" s="42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69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70">
        <v>46248</v>
      </c>
      <c r="X19" s="30" t="s">
        <v>55</v>
      </c>
      <c r="Y19" s="30" t="s">
        <v>56</v>
      </c>
      <c r="Z19" s="30" t="s">
        <v>57</v>
      </c>
      <c r="AA19" s="30" t="s">
        <v>58</v>
      </c>
      <c r="AB19" s="30" t="s">
        <v>56</v>
      </c>
      <c r="AC19" s="27"/>
      <c r="AD19" s="31" t="s">
        <v>57</v>
      </c>
      <c r="AE19" s="32" t="str">
        <f t="shared" si="2"/>
        <v>✓ OK</v>
      </c>
      <c r="AF19" s="33" t="s">
        <v>61</v>
      </c>
      <c r="AG19" s="33" t="s">
        <v>55</v>
      </c>
      <c r="AH19" s="33" t="s">
        <v>56</v>
      </c>
      <c r="AI19" s="33" t="s">
        <v>57</v>
      </c>
      <c r="AJ19" s="33" t="s">
        <v>58</v>
      </c>
      <c r="AK19" s="33" t="s">
        <v>56</v>
      </c>
      <c r="AL19" s="27"/>
      <c r="AM19" s="34" t="s">
        <v>57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5662</v>
      </c>
      <c r="C20" s="41" t="s">
        <v>5663</v>
      </c>
      <c r="D20" s="39" t="s">
        <v>5633</v>
      </c>
      <c r="E20" s="42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69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70">
        <v>46248</v>
      </c>
      <c r="X20" s="30" t="s">
        <v>55</v>
      </c>
      <c r="Y20" s="30" t="s">
        <v>56</v>
      </c>
      <c r="Z20" s="30" t="s">
        <v>57</v>
      </c>
      <c r="AA20" s="30" t="s">
        <v>58</v>
      </c>
      <c r="AB20" s="30" t="s">
        <v>56</v>
      </c>
      <c r="AC20" s="27"/>
      <c r="AD20" s="31" t="s">
        <v>57</v>
      </c>
      <c r="AE20" s="32" t="str">
        <f t="shared" si="2"/>
        <v>✓ OK</v>
      </c>
      <c r="AF20" s="33" t="s">
        <v>61</v>
      </c>
      <c r="AG20" s="33" t="s">
        <v>55</v>
      </c>
      <c r="AH20" s="33" t="s">
        <v>56</v>
      </c>
      <c r="AI20" s="33" t="s">
        <v>57</v>
      </c>
      <c r="AJ20" s="33" t="s">
        <v>58</v>
      </c>
      <c r="AK20" s="33" t="s">
        <v>56</v>
      </c>
      <c r="AL20" s="27"/>
      <c r="AM20" s="34" t="s">
        <v>57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5664</v>
      </c>
      <c r="C21" s="25" t="s">
        <v>5665</v>
      </c>
      <c r="D21" s="23" t="s">
        <v>5633</v>
      </c>
      <c r="E21" s="42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69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70">
        <v>46248</v>
      </c>
      <c r="X21" s="30" t="s">
        <v>55</v>
      </c>
      <c r="Y21" s="30" t="s">
        <v>56</v>
      </c>
      <c r="Z21" s="30" t="s">
        <v>57</v>
      </c>
      <c r="AA21" s="30" t="s">
        <v>58</v>
      </c>
      <c r="AB21" s="30" t="s">
        <v>56</v>
      </c>
      <c r="AC21" s="27"/>
      <c r="AD21" s="31" t="s">
        <v>57</v>
      </c>
      <c r="AE21" s="32" t="str">
        <f t="shared" si="2"/>
        <v>✓ OK</v>
      </c>
      <c r="AF21" s="33" t="s">
        <v>61</v>
      </c>
      <c r="AG21" s="33" t="s">
        <v>55</v>
      </c>
      <c r="AH21" s="33" t="s">
        <v>56</v>
      </c>
      <c r="AI21" s="33" t="s">
        <v>57</v>
      </c>
      <c r="AJ21" s="33" t="s">
        <v>58</v>
      </c>
      <c r="AK21" s="33" t="s">
        <v>56</v>
      </c>
      <c r="AL21" s="27"/>
      <c r="AM21" s="34" t="s">
        <v>57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5666</v>
      </c>
      <c r="C22" s="41" t="s">
        <v>5667</v>
      </c>
      <c r="D22" s="39" t="s">
        <v>5633</v>
      </c>
      <c r="E22" s="42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69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70">
        <v>46248</v>
      </c>
      <c r="X22" s="30" t="s">
        <v>55</v>
      </c>
      <c r="Y22" s="30" t="s">
        <v>56</v>
      </c>
      <c r="Z22" s="30" t="s">
        <v>57</v>
      </c>
      <c r="AA22" s="30" t="s">
        <v>58</v>
      </c>
      <c r="AB22" s="30" t="s">
        <v>56</v>
      </c>
      <c r="AC22" s="27"/>
      <c r="AD22" s="31" t="s">
        <v>57</v>
      </c>
      <c r="AE22" s="32" t="str">
        <f t="shared" si="2"/>
        <v>✓ OK</v>
      </c>
      <c r="AF22" s="33" t="s">
        <v>61</v>
      </c>
      <c r="AG22" s="33" t="s">
        <v>55</v>
      </c>
      <c r="AH22" s="33" t="s">
        <v>56</v>
      </c>
      <c r="AI22" s="33" t="s">
        <v>57</v>
      </c>
      <c r="AJ22" s="33" t="s">
        <v>58</v>
      </c>
      <c r="AK22" s="33" t="s">
        <v>56</v>
      </c>
      <c r="AL22" s="27"/>
      <c r="AM22" s="34" t="s">
        <v>57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5668</v>
      </c>
      <c r="C23" s="25" t="s">
        <v>5669</v>
      </c>
      <c r="D23" s="23" t="s">
        <v>5633</v>
      </c>
      <c r="E23" s="42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69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70">
        <v>46248</v>
      </c>
      <c r="X23" s="30" t="s">
        <v>55</v>
      </c>
      <c r="Y23" s="30" t="s">
        <v>56</v>
      </c>
      <c r="Z23" s="30" t="s">
        <v>57</v>
      </c>
      <c r="AA23" s="30" t="s">
        <v>58</v>
      </c>
      <c r="AB23" s="30" t="s">
        <v>56</v>
      </c>
      <c r="AC23" s="27"/>
      <c r="AD23" s="31" t="s">
        <v>57</v>
      </c>
      <c r="AE23" s="32" t="str">
        <f t="shared" si="2"/>
        <v>✓ OK</v>
      </c>
      <c r="AF23" s="33" t="s">
        <v>61</v>
      </c>
      <c r="AG23" s="33" t="s">
        <v>55</v>
      </c>
      <c r="AH23" s="33" t="s">
        <v>56</v>
      </c>
      <c r="AI23" s="33" t="s">
        <v>57</v>
      </c>
      <c r="AJ23" s="33" t="s">
        <v>58</v>
      </c>
      <c r="AK23" s="33" t="s">
        <v>56</v>
      </c>
      <c r="AL23" s="27"/>
      <c r="AM23" s="34" t="s">
        <v>57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5670</v>
      </c>
      <c r="C24" s="41" t="s">
        <v>5671</v>
      </c>
      <c r="D24" s="39" t="s">
        <v>5633</v>
      </c>
      <c r="E24" s="42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69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70">
        <v>46248</v>
      </c>
      <c r="X24" s="30" t="s">
        <v>55</v>
      </c>
      <c r="Y24" s="30" t="s">
        <v>56</v>
      </c>
      <c r="Z24" s="30" t="s">
        <v>57</v>
      </c>
      <c r="AA24" s="30" t="s">
        <v>58</v>
      </c>
      <c r="AB24" s="30" t="s">
        <v>56</v>
      </c>
      <c r="AC24" s="27"/>
      <c r="AD24" s="31" t="s">
        <v>57</v>
      </c>
      <c r="AE24" s="32" t="str">
        <f t="shared" si="2"/>
        <v>✓ OK</v>
      </c>
      <c r="AF24" s="33" t="s">
        <v>61</v>
      </c>
      <c r="AG24" s="33" t="s">
        <v>55</v>
      </c>
      <c r="AH24" s="33" t="s">
        <v>56</v>
      </c>
      <c r="AI24" s="33" t="s">
        <v>57</v>
      </c>
      <c r="AJ24" s="33" t="s">
        <v>58</v>
      </c>
      <c r="AK24" s="33" t="s">
        <v>56</v>
      </c>
      <c r="AL24" s="27"/>
      <c r="AM24" s="34" t="s">
        <v>57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5672</v>
      </c>
      <c r="C25" s="25" t="s">
        <v>5673</v>
      </c>
      <c r="D25" s="23" t="s">
        <v>5633</v>
      </c>
      <c r="E25" s="42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69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70">
        <v>46248</v>
      </c>
      <c r="X25" s="30" t="s">
        <v>55</v>
      </c>
      <c r="Y25" s="30" t="s">
        <v>56</v>
      </c>
      <c r="Z25" s="30" t="s">
        <v>57</v>
      </c>
      <c r="AA25" s="30" t="s">
        <v>58</v>
      </c>
      <c r="AB25" s="30" t="s">
        <v>56</v>
      </c>
      <c r="AC25" s="27"/>
      <c r="AD25" s="31" t="s">
        <v>57</v>
      </c>
      <c r="AE25" s="32" t="str">
        <f t="shared" si="2"/>
        <v>✓ OK</v>
      </c>
      <c r="AF25" s="33" t="s">
        <v>61</v>
      </c>
      <c r="AG25" s="33" t="s">
        <v>55</v>
      </c>
      <c r="AH25" s="33" t="s">
        <v>56</v>
      </c>
      <c r="AI25" s="33" t="s">
        <v>57</v>
      </c>
      <c r="AJ25" s="33" t="s">
        <v>58</v>
      </c>
      <c r="AK25" s="33" t="s">
        <v>56</v>
      </c>
      <c r="AL25" s="27"/>
      <c r="AM25" s="34" t="s">
        <v>57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5674</v>
      </c>
      <c r="C26" s="41" t="s">
        <v>5675</v>
      </c>
      <c r="D26" s="39" t="s">
        <v>5633</v>
      </c>
      <c r="E26" s="42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69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70">
        <v>46248</v>
      </c>
      <c r="X26" s="30" t="s">
        <v>55</v>
      </c>
      <c r="Y26" s="30" t="s">
        <v>56</v>
      </c>
      <c r="Z26" s="30" t="s">
        <v>57</v>
      </c>
      <c r="AA26" s="30" t="s">
        <v>58</v>
      </c>
      <c r="AB26" s="30" t="s">
        <v>56</v>
      </c>
      <c r="AC26" s="27"/>
      <c r="AD26" s="31" t="s">
        <v>57</v>
      </c>
      <c r="AE26" s="32" t="str">
        <f t="shared" si="2"/>
        <v>✓ OK</v>
      </c>
      <c r="AF26" s="33" t="s">
        <v>61</v>
      </c>
      <c r="AG26" s="33" t="s">
        <v>55</v>
      </c>
      <c r="AH26" s="33" t="s">
        <v>56</v>
      </c>
      <c r="AI26" s="33" t="s">
        <v>57</v>
      </c>
      <c r="AJ26" s="33" t="s">
        <v>58</v>
      </c>
      <c r="AK26" s="33" t="s">
        <v>56</v>
      </c>
      <c r="AL26" s="27"/>
      <c r="AM26" s="34" t="s">
        <v>57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5676</v>
      </c>
      <c r="C27" s="25" t="s">
        <v>5677</v>
      </c>
      <c r="D27" s="23" t="s">
        <v>5633</v>
      </c>
      <c r="E27" s="42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69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70">
        <v>46248</v>
      </c>
      <c r="X27" s="30" t="s">
        <v>55</v>
      </c>
      <c r="Y27" s="30" t="s">
        <v>56</v>
      </c>
      <c r="Z27" s="30" t="s">
        <v>57</v>
      </c>
      <c r="AA27" s="30" t="s">
        <v>58</v>
      </c>
      <c r="AB27" s="30" t="s">
        <v>56</v>
      </c>
      <c r="AC27" s="27"/>
      <c r="AD27" s="31" t="s">
        <v>57</v>
      </c>
      <c r="AE27" s="32" t="str">
        <f t="shared" si="2"/>
        <v>✓ OK</v>
      </c>
      <c r="AF27" s="33" t="s">
        <v>61</v>
      </c>
      <c r="AG27" s="33" t="s">
        <v>55</v>
      </c>
      <c r="AH27" s="33" t="s">
        <v>56</v>
      </c>
      <c r="AI27" s="33" t="s">
        <v>57</v>
      </c>
      <c r="AJ27" s="33" t="s">
        <v>58</v>
      </c>
      <c r="AK27" s="33" t="s">
        <v>56</v>
      </c>
      <c r="AL27" s="27"/>
      <c r="AM27" s="34" t="s">
        <v>57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5678</v>
      </c>
      <c r="C28" s="41" t="s">
        <v>5679</v>
      </c>
      <c r="D28" s="39" t="s">
        <v>5633</v>
      </c>
      <c r="E28" s="42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69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70">
        <v>46248</v>
      </c>
      <c r="X28" s="30" t="s">
        <v>55</v>
      </c>
      <c r="Y28" s="30" t="s">
        <v>56</v>
      </c>
      <c r="Z28" s="30" t="s">
        <v>57</v>
      </c>
      <c r="AA28" s="30" t="s">
        <v>58</v>
      </c>
      <c r="AB28" s="30" t="s">
        <v>56</v>
      </c>
      <c r="AC28" s="27"/>
      <c r="AD28" s="31" t="s">
        <v>57</v>
      </c>
      <c r="AE28" s="32" t="str">
        <f t="shared" si="2"/>
        <v>✓ OK</v>
      </c>
      <c r="AF28" s="33" t="s">
        <v>61</v>
      </c>
      <c r="AG28" s="33" t="s">
        <v>55</v>
      </c>
      <c r="AH28" s="33" t="s">
        <v>56</v>
      </c>
      <c r="AI28" s="33" t="s">
        <v>57</v>
      </c>
      <c r="AJ28" s="33" t="s">
        <v>58</v>
      </c>
      <c r="AK28" s="33" t="s">
        <v>56</v>
      </c>
      <c r="AL28" s="27"/>
      <c r="AM28" s="34" t="s">
        <v>57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5680</v>
      </c>
      <c r="C29" s="25" t="s">
        <v>5681</v>
      </c>
      <c r="D29" s="23" t="s">
        <v>5633</v>
      </c>
      <c r="E29" s="42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69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70">
        <v>46248</v>
      </c>
      <c r="X29" s="30" t="s">
        <v>55</v>
      </c>
      <c r="Y29" s="30" t="s">
        <v>56</v>
      </c>
      <c r="Z29" s="30" t="s">
        <v>57</v>
      </c>
      <c r="AA29" s="30" t="s">
        <v>58</v>
      </c>
      <c r="AB29" s="30" t="s">
        <v>56</v>
      </c>
      <c r="AC29" s="27"/>
      <c r="AD29" s="31" t="s">
        <v>57</v>
      </c>
      <c r="AE29" s="32" t="str">
        <f t="shared" si="2"/>
        <v>✓ OK</v>
      </c>
      <c r="AF29" s="33" t="s">
        <v>61</v>
      </c>
      <c r="AG29" s="33" t="s">
        <v>55</v>
      </c>
      <c r="AH29" s="33" t="s">
        <v>56</v>
      </c>
      <c r="AI29" s="33" t="s">
        <v>57</v>
      </c>
      <c r="AJ29" s="33" t="s">
        <v>58</v>
      </c>
      <c r="AK29" s="33" t="s">
        <v>56</v>
      </c>
      <c r="AL29" s="27"/>
      <c r="AM29" s="34" t="s">
        <v>57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5682</v>
      </c>
      <c r="C30" s="41" t="s">
        <v>5683</v>
      </c>
      <c r="D30" s="39" t="s">
        <v>5633</v>
      </c>
      <c r="E30" s="42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69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70">
        <v>46248</v>
      </c>
      <c r="X30" s="30" t="s">
        <v>55</v>
      </c>
      <c r="Y30" s="30" t="s">
        <v>56</v>
      </c>
      <c r="Z30" s="30" t="s">
        <v>57</v>
      </c>
      <c r="AA30" s="30" t="s">
        <v>58</v>
      </c>
      <c r="AB30" s="30" t="s">
        <v>56</v>
      </c>
      <c r="AC30" s="27"/>
      <c r="AD30" s="31" t="s">
        <v>57</v>
      </c>
      <c r="AE30" s="32" t="str">
        <f t="shared" si="2"/>
        <v>✓ OK</v>
      </c>
      <c r="AF30" s="33" t="s">
        <v>61</v>
      </c>
      <c r="AG30" s="33" t="s">
        <v>55</v>
      </c>
      <c r="AH30" s="33" t="s">
        <v>56</v>
      </c>
      <c r="AI30" s="33" t="s">
        <v>57</v>
      </c>
      <c r="AJ30" s="33" t="s">
        <v>58</v>
      </c>
      <c r="AK30" s="33" t="s">
        <v>56</v>
      </c>
      <c r="AL30" s="27"/>
      <c r="AM30" s="34" t="s">
        <v>57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5684</v>
      </c>
      <c r="C31" s="25" t="s">
        <v>5685</v>
      </c>
      <c r="D31" s="23" t="s">
        <v>5633</v>
      </c>
      <c r="E31" s="42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69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70">
        <v>46248</v>
      </c>
      <c r="X31" s="30" t="s">
        <v>55</v>
      </c>
      <c r="Y31" s="30" t="s">
        <v>56</v>
      </c>
      <c r="Z31" s="30" t="s">
        <v>57</v>
      </c>
      <c r="AA31" s="30" t="s">
        <v>58</v>
      </c>
      <c r="AB31" s="30" t="s">
        <v>56</v>
      </c>
      <c r="AC31" s="27"/>
      <c r="AD31" s="31" t="s">
        <v>57</v>
      </c>
      <c r="AE31" s="32" t="str">
        <f t="shared" si="2"/>
        <v>✓ OK</v>
      </c>
      <c r="AF31" s="33" t="s">
        <v>61</v>
      </c>
      <c r="AG31" s="33" t="s">
        <v>55</v>
      </c>
      <c r="AH31" s="33" t="s">
        <v>56</v>
      </c>
      <c r="AI31" s="33" t="s">
        <v>57</v>
      </c>
      <c r="AJ31" s="33" t="s">
        <v>58</v>
      </c>
      <c r="AK31" s="33" t="s">
        <v>56</v>
      </c>
      <c r="AL31" s="27"/>
      <c r="AM31" s="34" t="s">
        <v>57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5686</v>
      </c>
      <c r="C32" s="41" t="s">
        <v>5687</v>
      </c>
      <c r="D32" s="39" t="s">
        <v>5633</v>
      </c>
      <c r="E32" s="42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69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70">
        <v>46248</v>
      </c>
      <c r="X32" s="30" t="s">
        <v>55</v>
      </c>
      <c r="Y32" s="30" t="s">
        <v>56</v>
      </c>
      <c r="Z32" s="30" t="s">
        <v>57</v>
      </c>
      <c r="AA32" s="30" t="s">
        <v>58</v>
      </c>
      <c r="AB32" s="30" t="s">
        <v>56</v>
      </c>
      <c r="AC32" s="27"/>
      <c r="AD32" s="31" t="s">
        <v>57</v>
      </c>
      <c r="AE32" s="32" t="str">
        <f t="shared" si="2"/>
        <v>✓ OK</v>
      </c>
      <c r="AF32" s="33" t="s">
        <v>61</v>
      </c>
      <c r="AG32" s="33" t="s">
        <v>55</v>
      </c>
      <c r="AH32" s="33" t="s">
        <v>56</v>
      </c>
      <c r="AI32" s="33" t="s">
        <v>57</v>
      </c>
      <c r="AJ32" s="33" t="s">
        <v>58</v>
      </c>
      <c r="AK32" s="33" t="s">
        <v>56</v>
      </c>
      <c r="AL32" s="27"/>
      <c r="AM32" s="34" t="s">
        <v>57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5688</v>
      </c>
      <c r="C33" s="25" t="s">
        <v>5689</v>
      </c>
      <c r="D33" s="23" t="s">
        <v>5633</v>
      </c>
      <c r="E33" s="42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69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70">
        <v>46248</v>
      </c>
      <c r="X33" s="30" t="s">
        <v>55</v>
      </c>
      <c r="Y33" s="30" t="s">
        <v>56</v>
      </c>
      <c r="Z33" s="30" t="s">
        <v>57</v>
      </c>
      <c r="AA33" s="30" t="s">
        <v>58</v>
      </c>
      <c r="AB33" s="30" t="s">
        <v>56</v>
      </c>
      <c r="AC33" s="27"/>
      <c r="AD33" s="31" t="s">
        <v>57</v>
      </c>
      <c r="AE33" s="32" t="str">
        <f t="shared" si="2"/>
        <v>✓ OK</v>
      </c>
      <c r="AF33" s="33" t="s">
        <v>61</v>
      </c>
      <c r="AG33" s="33" t="s">
        <v>55</v>
      </c>
      <c r="AH33" s="33" t="s">
        <v>56</v>
      </c>
      <c r="AI33" s="33" t="s">
        <v>57</v>
      </c>
      <c r="AJ33" s="33" t="s">
        <v>58</v>
      </c>
      <c r="AK33" s="33" t="s">
        <v>56</v>
      </c>
      <c r="AL33" s="27"/>
      <c r="AM33" s="34" t="s">
        <v>57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5690</v>
      </c>
      <c r="C34" s="41" t="s">
        <v>5691</v>
      </c>
      <c r="D34" s="39" t="s">
        <v>5633</v>
      </c>
      <c r="E34" s="42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69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70">
        <v>46248</v>
      </c>
      <c r="X34" s="30" t="s">
        <v>55</v>
      </c>
      <c r="Y34" s="30" t="s">
        <v>56</v>
      </c>
      <c r="Z34" s="30" t="s">
        <v>57</v>
      </c>
      <c r="AA34" s="30" t="s">
        <v>58</v>
      </c>
      <c r="AB34" s="30" t="s">
        <v>56</v>
      </c>
      <c r="AC34" s="27"/>
      <c r="AD34" s="31" t="s">
        <v>57</v>
      </c>
      <c r="AE34" s="32" t="str">
        <f t="shared" si="2"/>
        <v>✓ OK</v>
      </c>
      <c r="AF34" s="33" t="s">
        <v>61</v>
      </c>
      <c r="AG34" s="33" t="s">
        <v>55</v>
      </c>
      <c r="AH34" s="33" t="s">
        <v>56</v>
      </c>
      <c r="AI34" s="33" t="s">
        <v>57</v>
      </c>
      <c r="AJ34" s="33" t="s">
        <v>58</v>
      </c>
      <c r="AK34" s="33" t="s">
        <v>56</v>
      </c>
      <c r="AL34" s="27"/>
      <c r="AM34" s="34" t="s">
        <v>57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5692</v>
      </c>
      <c r="C35" s="25" t="s">
        <v>5693</v>
      </c>
      <c r="D35" s="23" t="s">
        <v>5633</v>
      </c>
      <c r="E35" s="42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69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70">
        <v>46248</v>
      </c>
      <c r="X35" s="30" t="s">
        <v>55</v>
      </c>
      <c r="Y35" s="30" t="s">
        <v>56</v>
      </c>
      <c r="Z35" s="30" t="s">
        <v>57</v>
      </c>
      <c r="AA35" s="30" t="s">
        <v>58</v>
      </c>
      <c r="AB35" s="30" t="s">
        <v>56</v>
      </c>
      <c r="AC35" s="27"/>
      <c r="AD35" s="31" t="s">
        <v>57</v>
      </c>
      <c r="AE35" s="32" t="str">
        <f t="shared" si="2"/>
        <v>✓ OK</v>
      </c>
      <c r="AF35" s="33" t="s">
        <v>61</v>
      </c>
      <c r="AG35" s="33" t="s">
        <v>55</v>
      </c>
      <c r="AH35" s="33" t="s">
        <v>56</v>
      </c>
      <c r="AI35" s="33" t="s">
        <v>57</v>
      </c>
      <c r="AJ35" s="33" t="s">
        <v>58</v>
      </c>
      <c r="AK35" s="33" t="s">
        <v>56</v>
      </c>
      <c r="AL35" s="27"/>
      <c r="AM35" s="34" t="s">
        <v>57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5694</v>
      </c>
      <c r="C36" s="41" t="s">
        <v>5695</v>
      </c>
      <c r="D36" s="39" t="s">
        <v>5633</v>
      </c>
      <c r="E36" s="42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69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70">
        <v>46248</v>
      </c>
      <c r="X36" s="30" t="s">
        <v>55</v>
      </c>
      <c r="Y36" s="30" t="s">
        <v>56</v>
      </c>
      <c r="Z36" s="30" t="s">
        <v>57</v>
      </c>
      <c r="AA36" s="30" t="s">
        <v>58</v>
      </c>
      <c r="AB36" s="30" t="s">
        <v>56</v>
      </c>
      <c r="AC36" s="27"/>
      <c r="AD36" s="31" t="s">
        <v>57</v>
      </c>
      <c r="AE36" s="32" t="str">
        <f t="shared" si="2"/>
        <v>✓ OK</v>
      </c>
      <c r="AF36" s="33" t="s">
        <v>61</v>
      </c>
      <c r="AG36" s="33" t="s">
        <v>55</v>
      </c>
      <c r="AH36" s="33" t="s">
        <v>56</v>
      </c>
      <c r="AI36" s="33" t="s">
        <v>57</v>
      </c>
      <c r="AJ36" s="33" t="s">
        <v>58</v>
      </c>
      <c r="AK36" s="33" t="s">
        <v>56</v>
      </c>
      <c r="AL36" s="27"/>
      <c r="AM36" s="34" t="s">
        <v>57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5696</v>
      </c>
      <c r="C37" s="25" t="s">
        <v>5697</v>
      </c>
      <c r="D37" s="23" t="s">
        <v>5633</v>
      </c>
      <c r="E37" s="42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69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70">
        <v>46248</v>
      </c>
      <c r="X37" s="30" t="s">
        <v>55</v>
      </c>
      <c r="Y37" s="30" t="s">
        <v>56</v>
      </c>
      <c r="Z37" s="30" t="s">
        <v>57</v>
      </c>
      <c r="AA37" s="30" t="s">
        <v>58</v>
      </c>
      <c r="AB37" s="30" t="s">
        <v>56</v>
      </c>
      <c r="AC37" s="27"/>
      <c r="AD37" s="31" t="s">
        <v>57</v>
      </c>
      <c r="AE37" s="32" t="str">
        <f t="shared" si="2"/>
        <v>✓ OK</v>
      </c>
      <c r="AF37" s="33" t="s">
        <v>61</v>
      </c>
      <c r="AG37" s="33" t="s">
        <v>55</v>
      </c>
      <c r="AH37" s="33" t="s">
        <v>56</v>
      </c>
      <c r="AI37" s="33" t="s">
        <v>57</v>
      </c>
      <c r="AJ37" s="33" t="s">
        <v>58</v>
      </c>
      <c r="AK37" s="33" t="s">
        <v>56</v>
      </c>
      <c r="AL37" s="27"/>
      <c r="AM37" s="34" t="s">
        <v>57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5698</v>
      </c>
      <c r="C38" s="41" t="s">
        <v>5699</v>
      </c>
      <c r="D38" s="39" t="s">
        <v>5633</v>
      </c>
      <c r="E38" s="42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69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70">
        <v>46248</v>
      </c>
      <c r="X38" s="30" t="s">
        <v>55</v>
      </c>
      <c r="Y38" s="30" t="s">
        <v>56</v>
      </c>
      <c r="Z38" s="30" t="s">
        <v>57</v>
      </c>
      <c r="AA38" s="30" t="s">
        <v>58</v>
      </c>
      <c r="AB38" s="30" t="s">
        <v>56</v>
      </c>
      <c r="AC38" s="27"/>
      <c r="AD38" s="31" t="s">
        <v>57</v>
      </c>
      <c r="AE38" s="32" t="str">
        <f t="shared" si="2"/>
        <v>✓ OK</v>
      </c>
      <c r="AF38" s="33" t="s">
        <v>61</v>
      </c>
      <c r="AG38" s="33" t="s">
        <v>55</v>
      </c>
      <c r="AH38" s="33" t="s">
        <v>56</v>
      </c>
      <c r="AI38" s="33" t="s">
        <v>57</v>
      </c>
      <c r="AJ38" s="33" t="s">
        <v>58</v>
      </c>
      <c r="AK38" s="33" t="s">
        <v>56</v>
      </c>
      <c r="AL38" s="27"/>
      <c r="AM38" s="34" t="s">
        <v>57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5700</v>
      </c>
      <c r="C39" s="25" t="s">
        <v>5701</v>
      </c>
      <c r="D39" s="23" t="s">
        <v>5633</v>
      </c>
      <c r="E39" s="42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69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70">
        <v>46248</v>
      </c>
      <c r="X39" s="30" t="s">
        <v>55</v>
      </c>
      <c r="Y39" s="30" t="s">
        <v>56</v>
      </c>
      <c r="Z39" s="30" t="s">
        <v>57</v>
      </c>
      <c r="AA39" s="30" t="s">
        <v>58</v>
      </c>
      <c r="AB39" s="30" t="s">
        <v>56</v>
      </c>
      <c r="AC39" s="27"/>
      <c r="AD39" s="31" t="s">
        <v>57</v>
      </c>
      <c r="AE39" s="32" t="str">
        <f t="shared" si="2"/>
        <v>✓ OK</v>
      </c>
      <c r="AF39" s="33" t="s">
        <v>61</v>
      </c>
      <c r="AG39" s="33" t="s">
        <v>55</v>
      </c>
      <c r="AH39" s="33" t="s">
        <v>56</v>
      </c>
      <c r="AI39" s="33" t="s">
        <v>57</v>
      </c>
      <c r="AJ39" s="33" t="s">
        <v>58</v>
      </c>
      <c r="AK39" s="33" t="s">
        <v>56</v>
      </c>
      <c r="AL39" s="27"/>
      <c r="AM39" s="34" t="s">
        <v>57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5702</v>
      </c>
      <c r="C40" s="41" t="s">
        <v>5703</v>
      </c>
      <c r="D40" s="39" t="s">
        <v>5633</v>
      </c>
      <c r="E40" s="42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69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70">
        <v>46248</v>
      </c>
      <c r="X40" s="30" t="s">
        <v>55</v>
      </c>
      <c r="Y40" s="30" t="s">
        <v>56</v>
      </c>
      <c r="Z40" s="30" t="s">
        <v>57</v>
      </c>
      <c r="AA40" s="30" t="s">
        <v>58</v>
      </c>
      <c r="AB40" s="30" t="s">
        <v>56</v>
      </c>
      <c r="AC40" s="27"/>
      <c r="AD40" s="31" t="s">
        <v>57</v>
      </c>
      <c r="AE40" s="32" t="str">
        <f t="shared" si="2"/>
        <v>✓ OK</v>
      </c>
      <c r="AF40" s="33" t="s">
        <v>61</v>
      </c>
      <c r="AG40" s="33" t="s">
        <v>55</v>
      </c>
      <c r="AH40" s="33" t="s">
        <v>56</v>
      </c>
      <c r="AI40" s="33" t="s">
        <v>57</v>
      </c>
      <c r="AJ40" s="33" t="s">
        <v>58</v>
      </c>
      <c r="AK40" s="33" t="s">
        <v>56</v>
      </c>
      <c r="AL40" s="27"/>
      <c r="AM40" s="34" t="s">
        <v>57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5704</v>
      </c>
      <c r="C41" s="25" t="s">
        <v>5705</v>
      </c>
      <c r="D41" s="23" t="s">
        <v>5633</v>
      </c>
      <c r="E41" s="42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69">
        <v>46196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70">
        <v>46248</v>
      </c>
      <c r="X41" s="30" t="s">
        <v>55</v>
      </c>
      <c r="Y41" s="30" t="s">
        <v>56</v>
      </c>
      <c r="Z41" s="30" t="s">
        <v>57</v>
      </c>
      <c r="AA41" s="30" t="s">
        <v>58</v>
      </c>
      <c r="AB41" s="30" t="s">
        <v>56</v>
      </c>
      <c r="AC41" s="27"/>
      <c r="AD41" s="31" t="s">
        <v>57</v>
      </c>
      <c r="AE41" s="32" t="str">
        <f t="shared" si="2"/>
        <v>✓ OK</v>
      </c>
      <c r="AF41" s="33" t="s">
        <v>61</v>
      </c>
      <c r="AG41" s="33" t="s">
        <v>55</v>
      </c>
      <c r="AH41" s="33" t="s">
        <v>56</v>
      </c>
      <c r="AI41" s="33" t="s">
        <v>57</v>
      </c>
      <c r="AJ41" s="33" t="s">
        <v>58</v>
      </c>
      <c r="AK41" s="33" t="s">
        <v>56</v>
      </c>
      <c r="AL41" s="27"/>
      <c r="AM41" s="34" t="s">
        <v>57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5706</v>
      </c>
      <c r="C42" s="41" t="s">
        <v>5707</v>
      </c>
      <c r="D42" s="39" t="s">
        <v>5633</v>
      </c>
      <c r="E42" s="42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69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70">
        <v>46248</v>
      </c>
      <c r="X42" s="30" t="s">
        <v>55</v>
      </c>
      <c r="Y42" s="30" t="s">
        <v>56</v>
      </c>
      <c r="Z42" s="30" t="s">
        <v>57</v>
      </c>
      <c r="AA42" s="30" t="s">
        <v>58</v>
      </c>
      <c r="AB42" s="30" t="s">
        <v>56</v>
      </c>
      <c r="AC42" s="27"/>
      <c r="AD42" s="31" t="s">
        <v>57</v>
      </c>
      <c r="AE42" s="32" t="str">
        <f t="shared" si="2"/>
        <v>✓ OK</v>
      </c>
      <c r="AF42" s="33" t="s">
        <v>61</v>
      </c>
      <c r="AG42" s="33" t="s">
        <v>55</v>
      </c>
      <c r="AH42" s="33" t="s">
        <v>56</v>
      </c>
      <c r="AI42" s="33" t="s">
        <v>57</v>
      </c>
      <c r="AJ42" s="33" t="s">
        <v>58</v>
      </c>
      <c r="AK42" s="33" t="s">
        <v>56</v>
      </c>
      <c r="AL42" s="27"/>
      <c r="AM42" s="34" t="s">
        <v>57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5708</v>
      </c>
      <c r="C43" s="25" t="s">
        <v>5709</v>
      </c>
      <c r="D43" s="23" t="s">
        <v>5633</v>
      </c>
      <c r="E43" s="42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69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70">
        <v>46248</v>
      </c>
      <c r="X43" s="30" t="s">
        <v>55</v>
      </c>
      <c r="Y43" s="30" t="s">
        <v>56</v>
      </c>
      <c r="Z43" s="30" t="s">
        <v>57</v>
      </c>
      <c r="AA43" s="30" t="s">
        <v>58</v>
      </c>
      <c r="AB43" s="30" t="s">
        <v>56</v>
      </c>
      <c r="AC43" s="27"/>
      <c r="AD43" s="31" t="s">
        <v>57</v>
      </c>
      <c r="AE43" s="32" t="str">
        <f t="shared" si="2"/>
        <v>✓ OK</v>
      </c>
      <c r="AF43" s="33" t="s">
        <v>61</v>
      </c>
      <c r="AG43" s="33" t="s">
        <v>55</v>
      </c>
      <c r="AH43" s="33" t="s">
        <v>56</v>
      </c>
      <c r="AI43" s="33" t="s">
        <v>57</v>
      </c>
      <c r="AJ43" s="33" t="s">
        <v>58</v>
      </c>
      <c r="AK43" s="33" t="s">
        <v>56</v>
      </c>
      <c r="AL43" s="27"/>
      <c r="AM43" s="34" t="s">
        <v>57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5710</v>
      </c>
      <c r="C44" s="41" t="s">
        <v>5711</v>
      </c>
      <c r="D44" s="39" t="s">
        <v>5633</v>
      </c>
      <c r="E44" s="42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69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70">
        <v>46248</v>
      </c>
      <c r="X44" s="30" t="s">
        <v>55</v>
      </c>
      <c r="Y44" s="30" t="s">
        <v>56</v>
      </c>
      <c r="Z44" s="30" t="s">
        <v>57</v>
      </c>
      <c r="AA44" s="30" t="s">
        <v>58</v>
      </c>
      <c r="AB44" s="30" t="s">
        <v>56</v>
      </c>
      <c r="AC44" s="27"/>
      <c r="AD44" s="31" t="s">
        <v>57</v>
      </c>
      <c r="AE44" s="32" t="str">
        <f t="shared" si="2"/>
        <v>✓ OK</v>
      </c>
      <c r="AF44" s="33" t="s">
        <v>61</v>
      </c>
      <c r="AG44" s="33" t="s">
        <v>55</v>
      </c>
      <c r="AH44" s="33" t="s">
        <v>56</v>
      </c>
      <c r="AI44" s="33" t="s">
        <v>57</v>
      </c>
      <c r="AJ44" s="33" t="s">
        <v>58</v>
      </c>
      <c r="AK44" s="33" t="s">
        <v>56</v>
      </c>
      <c r="AL44" s="27"/>
      <c r="AM44" s="34" t="s">
        <v>57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5712</v>
      </c>
      <c r="C45" s="25" t="s">
        <v>5713</v>
      </c>
      <c r="D45" s="23" t="s">
        <v>5633</v>
      </c>
      <c r="E45" s="42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69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70">
        <v>46248</v>
      </c>
      <c r="X45" s="30" t="s">
        <v>55</v>
      </c>
      <c r="Y45" s="30" t="s">
        <v>56</v>
      </c>
      <c r="Z45" s="30" t="s">
        <v>57</v>
      </c>
      <c r="AA45" s="30" t="s">
        <v>58</v>
      </c>
      <c r="AB45" s="30" t="s">
        <v>56</v>
      </c>
      <c r="AC45" s="27"/>
      <c r="AD45" s="31" t="s">
        <v>57</v>
      </c>
      <c r="AE45" s="32" t="str">
        <f t="shared" si="2"/>
        <v>✓ OK</v>
      </c>
      <c r="AF45" s="33" t="s">
        <v>61</v>
      </c>
      <c r="AG45" s="33" t="s">
        <v>55</v>
      </c>
      <c r="AH45" s="33" t="s">
        <v>56</v>
      </c>
      <c r="AI45" s="33" t="s">
        <v>57</v>
      </c>
      <c r="AJ45" s="33" t="s">
        <v>58</v>
      </c>
      <c r="AK45" s="33" t="s">
        <v>56</v>
      </c>
      <c r="AL45" s="27"/>
      <c r="AM45" s="34" t="s">
        <v>57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5714</v>
      </c>
      <c r="C46" s="41" t="s">
        <v>5715</v>
      </c>
      <c r="D46" s="39" t="s">
        <v>5633</v>
      </c>
      <c r="E46" s="42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69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70">
        <v>46248</v>
      </c>
      <c r="X46" s="30" t="s">
        <v>55</v>
      </c>
      <c r="Y46" s="30" t="s">
        <v>56</v>
      </c>
      <c r="Z46" s="30" t="s">
        <v>57</v>
      </c>
      <c r="AA46" s="30" t="s">
        <v>58</v>
      </c>
      <c r="AB46" s="30" t="s">
        <v>56</v>
      </c>
      <c r="AC46" s="27"/>
      <c r="AD46" s="31" t="s">
        <v>57</v>
      </c>
      <c r="AE46" s="32" t="str">
        <f t="shared" si="2"/>
        <v>✓ OK</v>
      </c>
      <c r="AF46" s="33" t="s">
        <v>61</v>
      </c>
      <c r="AG46" s="33" t="s">
        <v>55</v>
      </c>
      <c r="AH46" s="33" t="s">
        <v>56</v>
      </c>
      <c r="AI46" s="33" t="s">
        <v>57</v>
      </c>
      <c r="AJ46" s="33" t="s">
        <v>58</v>
      </c>
      <c r="AK46" s="33" t="s">
        <v>56</v>
      </c>
      <c r="AL46" s="27"/>
      <c r="AM46" s="34" t="s">
        <v>57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5716</v>
      </c>
      <c r="C47" s="25" t="s">
        <v>5717</v>
      </c>
      <c r="D47" s="23" t="s">
        <v>5633</v>
      </c>
      <c r="E47" s="42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69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70">
        <v>46248</v>
      </c>
      <c r="X47" s="30" t="s">
        <v>55</v>
      </c>
      <c r="Y47" s="30" t="s">
        <v>56</v>
      </c>
      <c r="Z47" s="30" t="s">
        <v>57</v>
      </c>
      <c r="AA47" s="30" t="s">
        <v>58</v>
      </c>
      <c r="AB47" s="30" t="s">
        <v>56</v>
      </c>
      <c r="AC47" s="27"/>
      <c r="AD47" s="31" t="s">
        <v>57</v>
      </c>
      <c r="AE47" s="32" t="str">
        <f t="shared" si="2"/>
        <v>✓ OK</v>
      </c>
      <c r="AF47" s="33" t="s">
        <v>61</v>
      </c>
      <c r="AG47" s="33" t="s">
        <v>55</v>
      </c>
      <c r="AH47" s="33" t="s">
        <v>56</v>
      </c>
      <c r="AI47" s="33" t="s">
        <v>57</v>
      </c>
      <c r="AJ47" s="33" t="s">
        <v>58</v>
      </c>
      <c r="AK47" s="33" t="s">
        <v>56</v>
      </c>
      <c r="AL47" s="27"/>
      <c r="AM47" s="34" t="s">
        <v>57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5718</v>
      </c>
      <c r="C48" s="41" t="s">
        <v>5719</v>
      </c>
      <c r="D48" s="39" t="s">
        <v>5633</v>
      </c>
      <c r="E48" s="42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69">
        <v>46196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70">
        <v>46248</v>
      </c>
      <c r="X48" s="30" t="s">
        <v>55</v>
      </c>
      <c r="Y48" s="30" t="s">
        <v>56</v>
      </c>
      <c r="Z48" s="30" t="s">
        <v>57</v>
      </c>
      <c r="AA48" s="30" t="s">
        <v>58</v>
      </c>
      <c r="AB48" s="30" t="s">
        <v>56</v>
      </c>
      <c r="AC48" s="27"/>
      <c r="AD48" s="31" t="s">
        <v>57</v>
      </c>
      <c r="AE48" s="32" t="str">
        <f t="shared" si="2"/>
        <v>✓ OK</v>
      </c>
      <c r="AF48" s="33" t="s">
        <v>61</v>
      </c>
      <c r="AG48" s="33" t="s">
        <v>55</v>
      </c>
      <c r="AH48" s="33" t="s">
        <v>56</v>
      </c>
      <c r="AI48" s="33" t="s">
        <v>57</v>
      </c>
      <c r="AJ48" s="33" t="s">
        <v>58</v>
      </c>
      <c r="AK48" s="33" t="s">
        <v>56</v>
      </c>
      <c r="AL48" s="27"/>
      <c r="AM48" s="34" t="s">
        <v>57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5720</v>
      </c>
      <c r="C49" s="25" t="s">
        <v>5721</v>
      </c>
      <c r="D49" s="23" t="s">
        <v>5633</v>
      </c>
      <c r="E49" s="42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69">
        <v>46196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70">
        <v>46248</v>
      </c>
      <c r="X49" s="30" t="s">
        <v>55</v>
      </c>
      <c r="Y49" s="30" t="s">
        <v>56</v>
      </c>
      <c r="Z49" s="30" t="s">
        <v>57</v>
      </c>
      <c r="AA49" s="30" t="s">
        <v>58</v>
      </c>
      <c r="AB49" s="30" t="s">
        <v>56</v>
      </c>
      <c r="AC49" s="27"/>
      <c r="AD49" s="31" t="s">
        <v>57</v>
      </c>
      <c r="AE49" s="32" t="str">
        <f t="shared" si="2"/>
        <v>✓ OK</v>
      </c>
      <c r="AF49" s="33" t="s">
        <v>61</v>
      </c>
      <c r="AG49" s="33" t="s">
        <v>55</v>
      </c>
      <c r="AH49" s="33" t="s">
        <v>56</v>
      </c>
      <c r="AI49" s="33" t="s">
        <v>57</v>
      </c>
      <c r="AJ49" s="33" t="s">
        <v>58</v>
      </c>
      <c r="AK49" s="33" t="s">
        <v>56</v>
      </c>
      <c r="AL49" s="27"/>
      <c r="AM49" s="34" t="s">
        <v>57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5722</v>
      </c>
      <c r="C50" s="41" t="s">
        <v>5723</v>
      </c>
      <c r="D50" s="39" t="s">
        <v>5633</v>
      </c>
      <c r="E50" s="42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69">
        <v>46196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70">
        <v>46248</v>
      </c>
      <c r="X50" s="30" t="s">
        <v>55</v>
      </c>
      <c r="Y50" s="30" t="s">
        <v>56</v>
      </c>
      <c r="Z50" s="30" t="s">
        <v>57</v>
      </c>
      <c r="AA50" s="30" t="s">
        <v>58</v>
      </c>
      <c r="AB50" s="30" t="s">
        <v>56</v>
      </c>
      <c r="AC50" s="27"/>
      <c r="AD50" s="31" t="s">
        <v>57</v>
      </c>
      <c r="AE50" s="32" t="str">
        <f t="shared" si="2"/>
        <v>✓ OK</v>
      </c>
      <c r="AF50" s="33" t="s">
        <v>61</v>
      </c>
      <c r="AG50" s="33" t="s">
        <v>55</v>
      </c>
      <c r="AH50" s="33" t="s">
        <v>56</v>
      </c>
      <c r="AI50" s="33" t="s">
        <v>57</v>
      </c>
      <c r="AJ50" s="33" t="s">
        <v>58</v>
      </c>
      <c r="AK50" s="33" t="s">
        <v>56</v>
      </c>
      <c r="AL50" s="27"/>
      <c r="AM50" s="34" t="s">
        <v>57</v>
      </c>
      <c r="AN50" s="35" t="str">
        <f t="shared" si="3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5724</v>
      </c>
      <c r="C51" s="25" t="s">
        <v>5725</v>
      </c>
      <c r="D51" s="23" t="s">
        <v>5633</v>
      </c>
      <c r="E51" s="42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69">
        <v>46196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70">
        <v>46248</v>
      </c>
      <c r="X51" s="30" t="s">
        <v>55</v>
      </c>
      <c r="Y51" s="30" t="s">
        <v>56</v>
      </c>
      <c r="Z51" s="30" t="s">
        <v>57</v>
      </c>
      <c r="AA51" s="30" t="s">
        <v>58</v>
      </c>
      <c r="AB51" s="30" t="s">
        <v>56</v>
      </c>
      <c r="AC51" s="27"/>
      <c r="AD51" s="31" t="s">
        <v>57</v>
      </c>
      <c r="AE51" s="32" t="str">
        <f t="shared" si="2"/>
        <v>✓ OK</v>
      </c>
      <c r="AF51" s="33" t="s">
        <v>61</v>
      </c>
      <c r="AG51" s="33" t="s">
        <v>55</v>
      </c>
      <c r="AH51" s="33" t="s">
        <v>56</v>
      </c>
      <c r="AI51" s="33" t="s">
        <v>57</v>
      </c>
      <c r="AJ51" s="33" t="s">
        <v>58</v>
      </c>
      <c r="AK51" s="33" t="s">
        <v>56</v>
      </c>
      <c r="AL51" s="27"/>
      <c r="AM51" s="34" t="s">
        <v>57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5726</v>
      </c>
      <c r="C52" s="41" t="s">
        <v>5727</v>
      </c>
      <c r="D52" s="39" t="s">
        <v>5633</v>
      </c>
      <c r="E52" s="42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69">
        <v>46196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70">
        <v>46248</v>
      </c>
      <c r="X52" s="30" t="s">
        <v>55</v>
      </c>
      <c r="Y52" s="30" t="s">
        <v>56</v>
      </c>
      <c r="Z52" s="30" t="s">
        <v>57</v>
      </c>
      <c r="AA52" s="30" t="s">
        <v>58</v>
      </c>
      <c r="AB52" s="30" t="s">
        <v>56</v>
      </c>
      <c r="AC52" s="27"/>
      <c r="AD52" s="31" t="s">
        <v>57</v>
      </c>
      <c r="AE52" s="32" t="str">
        <f t="shared" si="2"/>
        <v>✓ OK</v>
      </c>
      <c r="AF52" s="33" t="s">
        <v>61</v>
      </c>
      <c r="AG52" s="33" t="s">
        <v>55</v>
      </c>
      <c r="AH52" s="33" t="s">
        <v>56</v>
      </c>
      <c r="AI52" s="33" t="s">
        <v>57</v>
      </c>
      <c r="AJ52" s="33" t="s">
        <v>58</v>
      </c>
      <c r="AK52" s="33" t="s">
        <v>56</v>
      </c>
      <c r="AL52" s="27"/>
      <c r="AM52" s="34" t="s">
        <v>57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5728</v>
      </c>
      <c r="C53" s="25" t="s">
        <v>5729</v>
      </c>
      <c r="D53" s="23" t="s">
        <v>5633</v>
      </c>
      <c r="E53" s="42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69">
        <v>46196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70">
        <v>46248</v>
      </c>
      <c r="X53" s="30" t="s">
        <v>55</v>
      </c>
      <c r="Y53" s="30" t="s">
        <v>56</v>
      </c>
      <c r="Z53" s="30" t="s">
        <v>57</v>
      </c>
      <c r="AA53" s="30" t="s">
        <v>58</v>
      </c>
      <c r="AB53" s="30" t="s">
        <v>56</v>
      </c>
      <c r="AC53" s="27"/>
      <c r="AD53" s="31" t="s">
        <v>57</v>
      </c>
      <c r="AE53" s="32" t="str">
        <f t="shared" si="2"/>
        <v>✓ OK</v>
      </c>
      <c r="AF53" s="33" t="s">
        <v>61</v>
      </c>
      <c r="AG53" s="33" t="s">
        <v>55</v>
      </c>
      <c r="AH53" s="33" t="s">
        <v>56</v>
      </c>
      <c r="AI53" s="33" t="s">
        <v>57</v>
      </c>
      <c r="AJ53" s="33" t="s">
        <v>58</v>
      </c>
      <c r="AK53" s="33" t="s">
        <v>56</v>
      </c>
      <c r="AL53" s="27"/>
      <c r="AM53" s="34" t="s">
        <v>57</v>
      </c>
      <c r="AN53" s="35" t="str">
        <f t="shared" si="3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5730</v>
      </c>
      <c r="C54" s="41" t="s">
        <v>5731</v>
      </c>
      <c r="D54" s="39" t="s">
        <v>5633</v>
      </c>
      <c r="E54" s="42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69">
        <v>46196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70">
        <v>46248</v>
      </c>
      <c r="X54" s="30" t="s">
        <v>55</v>
      </c>
      <c r="Y54" s="30" t="s">
        <v>56</v>
      </c>
      <c r="Z54" s="30" t="s">
        <v>57</v>
      </c>
      <c r="AA54" s="30" t="s">
        <v>58</v>
      </c>
      <c r="AB54" s="30" t="s">
        <v>56</v>
      </c>
      <c r="AC54" s="27"/>
      <c r="AD54" s="31" t="s">
        <v>57</v>
      </c>
      <c r="AE54" s="32" t="str">
        <f t="shared" si="2"/>
        <v>✓ OK</v>
      </c>
      <c r="AF54" s="33" t="s">
        <v>61</v>
      </c>
      <c r="AG54" s="33" t="s">
        <v>55</v>
      </c>
      <c r="AH54" s="33" t="s">
        <v>56</v>
      </c>
      <c r="AI54" s="33" t="s">
        <v>57</v>
      </c>
      <c r="AJ54" s="33" t="s">
        <v>58</v>
      </c>
      <c r="AK54" s="33" t="s">
        <v>56</v>
      </c>
      <c r="AL54" s="27"/>
      <c r="AM54" s="34" t="s">
        <v>57</v>
      </c>
      <c r="AN54" s="35" t="str">
        <f t="shared" si="3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5732</v>
      </c>
      <c r="C55" s="25" t="s">
        <v>5733</v>
      </c>
      <c r="D55" s="23" t="s">
        <v>5633</v>
      </c>
      <c r="E55" s="42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69">
        <v>46196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70">
        <v>46248</v>
      </c>
      <c r="X55" s="30" t="s">
        <v>55</v>
      </c>
      <c r="Y55" s="30" t="s">
        <v>56</v>
      </c>
      <c r="Z55" s="30" t="s">
        <v>57</v>
      </c>
      <c r="AA55" s="30" t="s">
        <v>58</v>
      </c>
      <c r="AB55" s="30" t="s">
        <v>56</v>
      </c>
      <c r="AC55" s="27"/>
      <c r="AD55" s="31" t="s">
        <v>57</v>
      </c>
      <c r="AE55" s="32" t="str">
        <f t="shared" si="2"/>
        <v>✓ OK</v>
      </c>
      <c r="AF55" s="33" t="s">
        <v>61</v>
      </c>
      <c r="AG55" s="33" t="s">
        <v>55</v>
      </c>
      <c r="AH55" s="33" t="s">
        <v>56</v>
      </c>
      <c r="AI55" s="33" t="s">
        <v>57</v>
      </c>
      <c r="AJ55" s="33" t="s">
        <v>58</v>
      </c>
      <c r="AK55" s="33" t="s">
        <v>56</v>
      </c>
      <c r="AL55" s="27"/>
      <c r="AM55" s="34" t="s">
        <v>57</v>
      </c>
      <c r="AN55" s="35" t="str">
        <f t="shared" si="3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5734</v>
      </c>
      <c r="C56" s="41" t="s">
        <v>5735</v>
      </c>
      <c r="D56" s="39" t="s">
        <v>5633</v>
      </c>
      <c r="E56" s="42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69">
        <v>46196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70">
        <v>46248</v>
      </c>
      <c r="X56" s="30" t="s">
        <v>55</v>
      </c>
      <c r="Y56" s="30" t="s">
        <v>56</v>
      </c>
      <c r="Z56" s="30" t="s">
        <v>57</v>
      </c>
      <c r="AA56" s="30" t="s">
        <v>58</v>
      </c>
      <c r="AB56" s="30" t="s">
        <v>56</v>
      </c>
      <c r="AC56" s="27"/>
      <c r="AD56" s="31" t="s">
        <v>57</v>
      </c>
      <c r="AE56" s="32" t="str">
        <f t="shared" si="2"/>
        <v>✓ OK</v>
      </c>
      <c r="AF56" s="33" t="s">
        <v>61</v>
      </c>
      <c r="AG56" s="33" t="s">
        <v>55</v>
      </c>
      <c r="AH56" s="33" t="s">
        <v>56</v>
      </c>
      <c r="AI56" s="33" t="s">
        <v>57</v>
      </c>
      <c r="AJ56" s="33" t="s">
        <v>58</v>
      </c>
      <c r="AK56" s="33" t="s">
        <v>56</v>
      </c>
      <c r="AL56" s="27"/>
      <c r="AM56" s="34" t="s">
        <v>57</v>
      </c>
      <c r="AN56" s="35" t="str">
        <f t="shared" si="3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5736</v>
      </c>
      <c r="C57" s="25" t="s">
        <v>5737</v>
      </c>
      <c r="D57" s="23" t="s">
        <v>5633</v>
      </c>
      <c r="E57" s="42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69">
        <v>46196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70">
        <v>46248</v>
      </c>
      <c r="X57" s="30" t="s">
        <v>55</v>
      </c>
      <c r="Y57" s="30" t="s">
        <v>56</v>
      </c>
      <c r="Z57" s="30" t="s">
        <v>57</v>
      </c>
      <c r="AA57" s="30" t="s">
        <v>58</v>
      </c>
      <c r="AB57" s="30" t="s">
        <v>56</v>
      </c>
      <c r="AC57" s="27"/>
      <c r="AD57" s="31" t="s">
        <v>57</v>
      </c>
      <c r="AE57" s="32" t="str">
        <f t="shared" si="2"/>
        <v>✓ OK</v>
      </c>
      <c r="AF57" s="33" t="s">
        <v>61</v>
      </c>
      <c r="AG57" s="33" t="s">
        <v>55</v>
      </c>
      <c r="AH57" s="33" t="s">
        <v>56</v>
      </c>
      <c r="AI57" s="33" t="s">
        <v>57</v>
      </c>
      <c r="AJ57" s="33" t="s">
        <v>58</v>
      </c>
      <c r="AK57" s="33" t="s">
        <v>56</v>
      </c>
      <c r="AL57" s="27"/>
      <c r="AM57" s="34" t="s">
        <v>57</v>
      </c>
      <c r="AN57" s="35" t="str">
        <f t="shared" si="3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5738</v>
      </c>
      <c r="C58" s="41" t="s">
        <v>5739</v>
      </c>
      <c r="D58" s="39" t="s">
        <v>5740</v>
      </c>
      <c r="E58" s="42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69">
        <v>46196</v>
      </c>
      <c r="O58" s="26" t="s">
        <v>55</v>
      </c>
      <c r="P58" s="26" t="s">
        <v>57</v>
      </c>
      <c r="Q58" s="26" t="s">
        <v>56</v>
      </c>
      <c r="R58" s="26" t="s">
        <v>60</v>
      </c>
      <c r="S58" s="26" t="s">
        <v>57</v>
      </c>
      <c r="T58" s="27"/>
      <c r="U58" s="28" t="s">
        <v>57</v>
      </c>
      <c r="V58" s="29" t="str">
        <f t="shared" si="1"/>
        <v>❌ Disc</v>
      </c>
      <c r="W58" s="70">
        <v>46248</v>
      </c>
      <c r="X58" s="30" t="s">
        <v>55</v>
      </c>
      <c r="Y58" s="30" t="s">
        <v>57</v>
      </c>
      <c r="Z58" s="30" t="s">
        <v>56</v>
      </c>
      <c r="AA58" s="30" t="s">
        <v>60</v>
      </c>
      <c r="AB58" s="30" t="s">
        <v>57</v>
      </c>
      <c r="AC58" s="27"/>
      <c r="AD58" s="31" t="s">
        <v>57</v>
      </c>
      <c r="AE58" s="32" t="str">
        <f t="shared" si="2"/>
        <v>❌ Disc</v>
      </c>
      <c r="AF58" s="33" t="s">
        <v>61</v>
      </c>
      <c r="AG58" s="33" t="s">
        <v>55</v>
      </c>
      <c r="AH58" s="33" t="s">
        <v>57</v>
      </c>
      <c r="AI58" s="33" t="s">
        <v>56</v>
      </c>
      <c r="AJ58" s="33" t="s">
        <v>60</v>
      </c>
      <c r="AK58" s="33" t="s">
        <v>57</v>
      </c>
      <c r="AL58" s="27"/>
      <c r="AM58" s="34" t="s">
        <v>57</v>
      </c>
      <c r="AN58" s="35" t="str">
        <f t="shared" si="3"/>
        <v>❌ Disc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5741</v>
      </c>
      <c r="C59" s="25" t="s">
        <v>5742</v>
      </c>
      <c r="D59" s="23" t="s">
        <v>5740</v>
      </c>
      <c r="E59" s="42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69">
        <v>46196</v>
      </c>
      <c r="O59" s="26" t="s">
        <v>55</v>
      </c>
      <c r="P59" s="26" t="s">
        <v>57</v>
      </c>
      <c r="Q59" s="26" t="s">
        <v>56</v>
      </c>
      <c r="R59" s="26" t="s">
        <v>60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70">
        <v>46248</v>
      </c>
      <c r="X59" s="30" t="s">
        <v>55</v>
      </c>
      <c r="Y59" s="30" t="s">
        <v>57</v>
      </c>
      <c r="Z59" s="30" t="s">
        <v>56</v>
      </c>
      <c r="AA59" s="30" t="s">
        <v>60</v>
      </c>
      <c r="AB59" s="30" t="s">
        <v>57</v>
      </c>
      <c r="AC59" s="27"/>
      <c r="AD59" s="31" t="s">
        <v>57</v>
      </c>
      <c r="AE59" s="32" t="str">
        <f t="shared" si="2"/>
        <v>❌ Disc</v>
      </c>
      <c r="AF59" s="33" t="s">
        <v>61</v>
      </c>
      <c r="AG59" s="33" t="s">
        <v>55</v>
      </c>
      <c r="AH59" s="33" t="s">
        <v>57</v>
      </c>
      <c r="AI59" s="33" t="s">
        <v>56</v>
      </c>
      <c r="AJ59" s="33" t="s">
        <v>60</v>
      </c>
      <c r="AK59" s="33" t="s">
        <v>57</v>
      </c>
      <c r="AL59" s="27"/>
      <c r="AM59" s="34" t="s">
        <v>57</v>
      </c>
      <c r="AN59" s="35" t="str">
        <f t="shared" si="3"/>
        <v>❌ Disc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5743</v>
      </c>
      <c r="C60" s="41" t="s">
        <v>5744</v>
      </c>
      <c r="D60" s="39" t="s">
        <v>5740</v>
      </c>
      <c r="E60" s="42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69">
        <v>46196</v>
      </c>
      <c r="O60" s="26" t="s">
        <v>55</v>
      </c>
      <c r="P60" s="26" t="s">
        <v>57</v>
      </c>
      <c r="Q60" s="26" t="s">
        <v>56</v>
      </c>
      <c r="R60" s="26" t="s">
        <v>60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70">
        <v>46248</v>
      </c>
      <c r="X60" s="30" t="s">
        <v>55</v>
      </c>
      <c r="Y60" s="30" t="s">
        <v>57</v>
      </c>
      <c r="Z60" s="30" t="s">
        <v>56</v>
      </c>
      <c r="AA60" s="30" t="s">
        <v>60</v>
      </c>
      <c r="AB60" s="30" t="s">
        <v>57</v>
      </c>
      <c r="AC60" s="27"/>
      <c r="AD60" s="31" t="s">
        <v>57</v>
      </c>
      <c r="AE60" s="32" t="str">
        <f t="shared" si="2"/>
        <v>❌ Disc</v>
      </c>
      <c r="AF60" s="33" t="s">
        <v>61</v>
      </c>
      <c r="AG60" s="33" t="s">
        <v>55</v>
      </c>
      <c r="AH60" s="33" t="s">
        <v>57</v>
      </c>
      <c r="AI60" s="33" t="s">
        <v>56</v>
      </c>
      <c r="AJ60" s="33" t="s">
        <v>60</v>
      </c>
      <c r="AK60" s="33" t="s">
        <v>57</v>
      </c>
      <c r="AL60" s="27"/>
      <c r="AM60" s="34" t="s">
        <v>57</v>
      </c>
      <c r="AN60" s="35" t="str">
        <f t="shared" si="3"/>
        <v>❌ Disc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5745</v>
      </c>
      <c r="C61" s="25" t="s">
        <v>5746</v>
      </c>
      <c r="D61" s="23" t="s">
        <v>5740</v>
      </c>
      <c r="E61" s="42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69">
        <v>46196</v>
      </c>
      <c r="O61" s="26" t="s">
        <v>55</v>
      </c>
      <c r="P61" s="26" t="s">
        <v>57</v>
      </c>
      <c r="Q61" s="26" t="s">
        <v>56</v>
      </c>
      <c r="R61" s="26" t="s">
        <v>60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70">
        <v>46248</v>
      </c>
      <c r="X61" s="30" t="s">
        <v>55</v>
      </c>
      <c r="Y61" s="30" t="s">
        <v>57</v>
      </c>
      <c r="Z61" s="30" t="s">
        <v>56</v>
      </c>
      <c r="AA61" s="30" t="s">
        <v>60</v>
      </c>
      <c r="AB61" s="30" t="s">
        <v>57</v>
      </c>
      <c r="AC61" s="27"/>
      <c r="AD61" s="31" t="s">
        <v>57</v>
      </c>
      <c r="AE61" s="32" t="str">
        <f t="shared" si="2"/>
        <v>❌ Disc</v>
      </c>
      <c r="AF61" s="33" t="s">
        <v>61</v>
      </c>
      <c r="AG61" s="33" t="s">
        <v>55</v>
      </c>
      <c r="AH61" s="33" t="s">
        <v>57</v>
      </c>
      <c r="AI61" s="33" t="s">
        <v>56</v>
      </c>
      <c r="AJ61" s="33" t="s">
        <v>60</v>
      </c>
      <c r="AK61" s="33" t="s">
        <v>57</v>
      </c>
      <c r="AL61" s="27"/>
      <c r="AM61" s="34" t="s">
        <v>57</v>
      </c>
      <c r="AN61" s="35" t="str">
        <f t="shared" si="3"/>
        <v>❌ Disc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5747</v>
      </c>
      <c r="C62" s="41" t="s">
        <v>5748</v>
      </c>
      <c r="D62" s="39" t="s">
        <v>5740</v>
      </c>
      <c r="E62" s="42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69">
        <v>46196</v>
      </c>
      <c r="O62" s="26" t="s">
        <v>55</v>
      </c>
      <c r="P62" s="26" t="s">
        <v>57</v>
      </c>
      <c r="Q62" s="26" t="s">
        <v>56</v>
      </c>
      <c r="R62" s="26" t="s">
        <v>60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70">
        <v>46248</v>
      </c>
      <c r="X62" s="30" t="s">
        <v>55</v>
      </c>
      <c r="Y62" s="30" t="s">
        <v>57</v>
      </c>
      <c r="Z62" s="30" t="s">
        <v>56</v>
      </c>
      <c r="AA62" s="30" t="s">
        <v>60</v>
      </c>
      <c r="AB62" s="30" t="s">
        <v>57</v>
      </c>
      <c r="AC62" s="27"/>
      <c r="AD62" s="31" t="s">
        <v>57</v>
      </c>
      <c r="AE62" s="32" t="str">
        <f t="shared" si="2"/>
        <v>❌ Disc</v>
      </c>
      <c r="AF62" s="33" t="s">
        <v>61</v>
      </c>
      <c r="AG62" s="33" t="s">
        <v>55</v>
      </c>
      <c r="AH62" s="33" t="s">
        <v>57</v>
      </c>
      <c r="AI62" s="33" t="s">
        <v>56</v>
      </c>
      <c r="AJ62" s="33" t="s">
        <v>60</v>
      </c>
      <c r="AK62" s="33" t="s">
        <v>57</v>
      </c>
      <c r="AL62" s="27"/>
      <c r="AM62" s="34" t="s">
        <v>57</v>
      </c>
      <c r="AN62" s="35" t="str">
        <f t="shared" si="3"/>
        <v>❌ Disc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5749</v>
      </c>
      <c r="C63" s="25" t="s">
        <v>5750</v>
      </c>
      <c r="D63" s="23" t="s">
        <v>5740</v>
      </c>
      <c r="E63" s="42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69">
        <v>46196</v>
      </c>
      <c r="O63" s="26" t="s">
        <v>55</v>
      </c>
      <c r="P63" s="26" t="s">
        <v>57</v>
      </c>
      <c r="Q63" s="26" t="s">
        <v>56</v>
      </c>
      <c r="R63" s="26" t="s">
        <v>60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70">
        <v>46248</v>
      </c>
      <c r="X63" s="30" t="s">
        <v>55</v>
      </c>
      <c r="Y63" s="30" t="s">
        <v>57</v>
      </c>
      <c r="Z63" s="30" t="s">
        <v>56</v>
      </c>
      <c r="AA63" s="30" t="s">
        <v>60</v>
      </c>
      <c r="AB63" s="30" t="s">
        <v>57</v>
      </c>
      <c r="AC63" s="27"/>
      <c r="AD63" s="31" t="s">
        <v>57</v>
      </c>
      <c r="AE63" s="32" t="str">
        <f t="shared" si="2"/>
        <v>❌ Disc</v>
      </c>
      <c r="AF63" s="33" t="s">
        <v>61</v>
      </c>
      <c r="AG63" s="33" t="s">
        <v>55</v>
      </c>
      <c r="AH63" s="33" t="s">
        <v>57</v>
      </c>
      <c r="AI63" s="33" t="s">
        <v>56</v>
      </c>
      <c r="AJ63" s="33" t="s">
        <v>60</v>
      </c>
      <c r="AK63" s="33" t="s">
        <v>57</v>
      </c>
      <c r="AL63" s="27"/>
      <c r="AM63" s="34" t="s">
        <v>57</v>
      </c>
      <c r="AN63" s="35" t="str">
        <f t="shared" si="3"/>
        <v>❌ Disc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5751</v>
      </c>
      <c r="C64" s="41" t="s">
        <v>5752</v>
      </c>
      <c r="D64" s="39" t="s">
        <v>5740</v>
      </c>
      <c r="E64" s="42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69">
        <v>46196</v>
      </c>
      <c r="O64" s="26" t="s">
        <v>55</v>
      </c>
      <c r="P64" s="26" t="s">
        <v>57</v>
      </c>
      <c r="Q64" s="26" t="s">
        <v>56</v>
      </c>
      <c r="R64" s="26" t="s">
        <v>60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70">
        <v>46248</v>
      </c>
      <c r="X64" s="30" t="s">
        <v>55</v>
      </c>
      <c r="Y64" s="30" t="s">
        <v>57</v>
      </c>
      <c r="Z64" s="30" t="s">
        <v>56</v>
      </c>
      <c r="AA64" s="30" t="s">
        <v>60</v>
      </c>
      <c r="AB64" s="30" t="s">
        <v>57</v>
      </c>
      <c r="AC64" s="27"/>
      <c r="AD64" s="31" t="s">
        <v>57</v>
      </c>
      <c r="AE64" s="32" t="str">
        <f t="shared" si="2"/>
        <v>❌ Disc</v>
      </c>
      <c r="AF64" s="33" t="s">
        <v>61</v>
      </c>
      <c r="AG64" s="33" t="s">
        <v>55</v>
      </c>
      <c r="AH64" s="33" t="s">
        <v>57</v>
      </c>
      <c r="AI64" s="33" t="s">
        <v>56</v>
      </c>
      <c r="AJ64" s="33" t="s">
        <v>60</v>
      </c>
      <c r="AK64" s="33" t="s">
        <v>57</v>
      </c>
      <c r="AL64" s="27"/>
      <c r="AM64" s="34" t="s">
        <v>57</v>
      </c>
      <c r="AN64" s="35" t="str">
        <f t="shared" si="3"/>
        <v>❌ Disc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5753</v>
      </c>
      <c r="C65" s="25" t="s">
        <v>5754</v>
      </c>
      <c r="D65" s="23" t="s">
        <v>5740</v>
      </c>
      <c r="E65" s="42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69">
        <v>46196</v>
      </c>
      <c r="O65" s="26" t="s">
        <v>55</v>
      </c>
      <c r="P65" s="26" t="s">
        <v>57</v>
      </c>
      <c r="Q65" s="26" t="s">
        <v>56</v>
      </c>
      <c r="R65" s="26" t="s">
        <v>60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70">
        <v>46248</v>
      </c>
      <c r="X65" s="30" t="s">
        <v>55</v>
      </c>
      <c r="Y65" s="30" t="s">
        <v>57</v>
      </c>
      <c r="Z65" s="30" t="s">
        <v>56</v>
      </c>
      <c r="AA65" s="30" t="s">
        <v>60</v>
      </c>
      <c r="AB65" s="30" t="s">
        <v>57</v>
      </c>
      <c r="AC65" s="27"/>
      <c r="AD65" s="31" t="s">
        <v>57</v>
      </c>
      <c r="AE65" s="32" t="str">
        <f t="shared" si="2"/>
        <v>❌ Disc</v>
      </c>
      <c r="AF65" s="33" t="s">
        <v>61</v>
      </c>
      <c r="AG65" s="33" t="s">
        <v>55</v>
      </c>
      <c r="AH65" s="33" t="s">
        <v>57</v>
      </c>
      <c r="AI65" s="33" t="s">
        <v>56</v>
      </c>
      <c r="AJ65" s="33" t="s">
        <v>60</v>
      </c>
      <c r="AK65" s="33" t="s">
        <v>57</v>
      </c>
      <c r="AL65" s="27"/>
      <c r="AM65" s="34" t="s">
        <v>57</v>
      </c>
      <c r="AN65" s="35" t="str">
        <f t="shared" si="3"/>
        <v>❌ Disc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5755</v>
      </c>
      <c r="C66" s="41" t="s">
        <v>5756</v>
      </c>
      <c r="D66" s="39" t="s">
        <v>5740</v>
      </c>
      <c r="E66" s="42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69">
        <v>46196</v>
      </c>
      <c r="O66" s="26" t="s">
        <v>55</v>
      </c>
      <c r="P66" s="26" t="s">
        <v>57</v>
      </c>
      <c r="Q66" s="26" t="s">
        <v>56</v>
      </c>
      <c r="R66" s="26" t="s">
        <v>60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70">
        <v>46248</v>
      </c>
      <c r="X66" s="30" t="s">
        <v>55</v>
      </c>
      <c r="Y66" s="30" t="s">
        <v>57</v>
      </c>
      <c r="Z66" s="30" t="s">
        <v>56</v>
      </c>
      <c r="AA66" s="30" t="s">
        <v>60</v>
      </c>
      <c r="AB66" s="30" t="s">
        <v>57</v>
      </c>
      <c r="AC66" s="27"/>
      <c r="AD66" s="31" t="s">
        <v>57</v>
      </c>
      <c r="AE66" s="32" t="str">
        <f t="shared" si="2"/>
        <v>❌ Disc</v>
      </c>
      <c r="AF66" s="33" t="s">
        <v>61</v>
      </c>
      <c r="AG66" s="33" t="s">
        <v>55</v>
      </c>
      <c r="AH66" s="33" t="s">
        <v>57</v>
      </c>
      <c r="AI66" s="33" t="s">
        <v>56</v>
      </c>
      <c r="AJ66" s="33" t="s">
        <v>60</v>
      </c>
      <c r="AK66" s="33" t="s">
        <v>57</v>
      </c>
      <c r="AL66" s="27"/>
      <c r="AM66" s="34" t="s">
        <v>57</v>
      </c>
      <c r="AN66" s="35" t="str">
        <f t="shared" si="3"/>
        <v>❌ Disc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5757</v>
      </c>
      <c r="C67" s="25" t="s">
        <v>5758</v>
      </c>
      <c r="D67" s="23" t="s">
        <v>5740</v>
      </c>
      <c r="E67" s="42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69">
        <v>46196</v>
      </c>
      <c r="O67" s="26" t="s">
        <v>55</v>
      </c>
      <c r="P67" s="26" t="s">
        <v>57</v>
      </c>
      <c r="Q67" s="26" t="s">
        <v>56</v>
      </c>
      <c r="R67" s="26" t="s">
        <v>60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70">
        <v>46248</v>
      </c>
      <c r="X67" s="30" t="s">
        <v>55</v>
      </c>
      <c r="Y67" s="30" t="s">
        <v>57</v>
      </c>
      <c r="Z67" s="30" t="s">
        <v>56</v>
      </c>
      <c r="AA67" s="30" t="s">
        <v>60</v>
      </c>
      <c r="AB67" s="30" t="s">
        <v>57</v>
      </c>
      <c r="AC67" s="27"/>
      <c r="AD67" s="31" t="s">
        <v>57</v>
      </c>
      <c r="AE67" s="32" t="str">
        <f t="shared" si="2"/>
        <v>❌ Disc</v>
      </c>
      <c r="AF67" s="33" t="s">
        <v>61</v>
      </c>
      <c r="AG67" s="33" t="s">
        <v>55</v>
      </c>
      <c r="AH67" s="33" t="s">
        <v>57</v>
      </c>
      <c r="AI67" s="33" t="s">
        <v>56</v>
      </c>
      <c r="AJ67" s="33" t="s">
        <v>60</v>
      </c>
      <c r="AK67" s="33" t="s">
        <v>57</v>
      </c>
      <c r="AL67" s="27"/>
      <c r="AM67" s="34" t="s">
        <v>57</v>
      </c>
      <c r="AN67" s="35" t="str">
        <f t="shared" si="3"/>
        <v>❌ Disc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5759</v>
      </c>
      <c r="C68" s="41" t="s">
        <v>5760</v>
      </c>
      <c r="D68" s="39" t="s">
        <v>5740</v>
      </c>
      <c r="E68" s="42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69">
        <v>46196</v>
      </c>
      <c r="O68" s="26" t="s">
        <v>55</v>
      </c>
      <c r="P68" s="26" t="s">
        <v>57</v>
      </c>
      <c r="Q68" s="26" t="s">
        <v>56</v>
      </c>
      <c r="R68" s="26" t="s">
        <v>60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70">
        <v>46248</v>
      </c>
      <c r="X68" s="30" t="s">
        <v>55</v>
      </c>
      <c r="Y68" s="30" t="s">
        <v>57</v>
      </c>
      <c r="Z68" s="30" t="s">
        <v>56</v>
      </c>
      <c r="AA68" s="30" t="s">
        <v>60</v>
      </c>
      <c r="AB68" s="30" t="s">
        <v>57</v>
      </c>
      <c r="AC68" s="27"/>
      <c r="AD68" s="31" t="s">
        <v>57</v>
      </c>
      <c r="AE68" s="32" t="str">
        <f t="shared" si="2"/>
        <v>❌ Disc</v>
      </c>
      <c r="AF68" s="33" t="s">
        <v>61</v>
      </c>
      <c r="AG68" s="33" t="s">
        <v>55</v>
      </c>
      <c r="AH68" s="33" t="s">
        <v>57</v>
      </c>
      <c r="AI68" s="33" t="s">
        <v>56</v>
      </c>
      <c r="AJ68" s="33" t="s">
        <v>60</v>
      </c>
      <c r="AK68" s="33" t="s">
        <v>57</v>
      </c>
      <c r="AL68" s="27"/>
      <c r="AM68" s="34" t="s">
        <v>57</v>
      </c>
      <c r="AN68" s="35" t="str">
        <f t="shared" si="3"/>
        <v>❌ Disc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5761</v>
      </c>
      <c r="C69" s="25" t="s">
        <v>5762</v>
      </c>
      <c r="D69" s="23" t="s">
        <v>5740</v>
      </c>
      <c r="E69" s="42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69">
        <v>46196</v>
      </c>
      <c r="O69" s="26" t="s">
        <v>55</v>
      </c>
      <c r="P69" s="26" t="s">
        <v>57</v>
      </c>
      <c r="Q69" s="26" t="s">
        <v>56</v>
      </c>
      <c r="R69" s="26" t="s">
        <v>60</v>
      </c>
      <c r="S69" s="26" t="s">
        <v>57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❌ Disc</v>
      </c>
      <c r="W69" s="70">
        <v>46248</v>
      </c>
      <c r="X69" s="30" t="s">
        <v>55</v>
      </c>
      <c r="Y69" s="30" t="s">
        <v>57</v>
      </c>
      <c r="Z69" s="30" t="s">
        <v>56</v>
      </c>
      <c r="AA69" s="30" t="s">
        <v>60</v>
      </c>
      <c r="AB69" s="30" t="s">
        <v>57</v>
      </c>
      <c r="AC69" s="27"/>
      <c r="AD69" s="31" t="s">
        <v>57</v>
      </c>
      <c r="AE69" s="32" t="str">
        <f t="shared" ref="AE69:AE132" si="7">IF(W69="","",IF(Z69="Yes","❌ Disc",IF(Y69="No","⚠ Missing",IF(AB69="Yes","✓ OK","⚠ Check"))))</f>
        <v>❌ Disc</v>
      </c>
      <c r="AF69" s="33" t="s">
        <v>61</v>
      </c>
      <c r="AG69" s="33" t="s">
        <v>55</v>
      </c>
      <c r="AH69" s="33" t="s">
        <v>57</v>
      </c>
      <c r="AI69" s="33" t="s">
        <v>56</v>
      </c>
      <c r="AJ69" s="33" t="s">
        <v>60</v>
      </c>
      <c r="AK69" s="33" t="s">
        <v>57</v>
      </c>
      <c r="AL69" s="27"/>
      <c r="AM69" s="34" t="s">
        <v>57</v>
      </c>
      <c r="AN69" s="35" t="str">
        <f t="shared" ref="AN69:AN132" si="8">IF(AF69="","",IF(AI69="Yes","❌ Disc",IF(AH69="No","⚠ Missing",IF(AK69="Yes","✓ OK","⚠ Check"))))</f>
        <v>❌ Disc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5763</v>
      </c>
      <c r="C70" s="41" t="s">
        <v>5764</v>
      </c>
      <c r="D70" s="39" t="s">
        <v>5740</v>
      </c>
      <c r="E70" s="42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69">
        <v>46196</v>
      </c>
      <c r="O70" s="26" t="s">
        <v>55</v>
      </c>
      <c r="P70" s="26" t="s">
        <v>57</v>
      </c>
      <c r="Q70" s="26" t="s">
        <v>56</v>
      </c>
      <c r="R70" s="26" t="s">
        <v>60</v>
      </c>
      <c r="S70" s="26" t="s">
        <v>57</v>
      </c>
      <c r="T70" s="27"/>
      <c r="U70" s="28" t="s">
        <v>57</v>
      </c>
      <c r="V70" s="29" t="str">
        <f t="shared" si="6"/>
        <v>❌ Disc</v>
      </c>
      <c r="W70" s="70">
        <v>46248</v>
      </c>
      <c r="X70" s="30" t="s">
        <v>55</v>
      </c>
      <c r="Y70" s="30" t="s">
        <v>57</v>
      </c>
      <c r="Z70" s="30" t="s">
        <v>56</v>
      </c>
      <c r="AA70" s="30" t="s">
        <v>60</v>
      </c>
      <c r="AB70" s="30" t="s">
        <v>57</v>
      </c>
      <c r="AC70" s="27"/>
      <c r="AD70" s="31" t="s">
        <v>57</v>
      </c>
      <c r="AE70" s="32" t="str">
        <f t="shared" si="7"/>
        <v>❌ Disc</v>
      </c>
      <c r="AF70" s="33" t="s">
        <v>61</v>
      </c>
      <c r="AG70" s="33" t="s">
        <v>55</v>
      </c>
      <c r="AH70" s="33" t="s">
        <v>57</v>
      </c>
      <c r="AI70" s="33" t="s">
        <v>56</v>
      </c>
      <c r="AJ70" s="33" t="s">
        <v>60</v>
      </c>
      <c r="AK70" s="33" t="s">
        <v>57</v>
      </c>
      <c r="AL70" s="27"/>
      <c r="AM70" s="34" t="s">
        <v>57</v>
      </c>
      <c r="AN70" s="35" t="str">
        <f t="shared" si="8"/>
        <v>❌ Disc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5765</v>
      </c>
      <c r="C71" s="25" t="s">
        <v>5766</v>
      </c>
      <c r="D71" s="23" t="s">
        <v>5740</v>
      </c>
      <c r="E71" s="42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69">
        <v>46196</v>
      </c>
      <c r="O71" s="26" t="s">
        <v>55</v>
      </c>
      <c r="P71" s="26" t="s">
        <v>57</v>
      </c>
      <c r="Q71" s="26" t="s">
        <v>56</v>
      </c>
      <c r="R71" s="26" t="s">
        <v>60</v>
      </c>
      <c r="S71" s="26" t="s">
        <v>57</v>
      </c>
      <c r="T71" s="27"/>
      <c r="U71" s="28" t="s">
        <v>57</v>
      </c>
      <c r="V71" s="29" t="str">
        <f t="shared" si="6"/>
        <v>❌ Disc</v>
      </c>
      <c r="W71" s="70">
        <v>46248</v>
      </c>
      <c r="X71" s="30" t="s">
        <v>55</v>
      </c>
      <c r="Y71" s="30" t="s">
        <v>57</v>
      </c>
      <c r="Z71" s="30" t="s">
        <v>56</v>
      </c>
      <c r="AA71" s="30" t="s">
        <v>60</v>
      </c>
      <c r="AB71" s="30" t="s">
        <v>57</v>
      </c>
      <c r="AC71" s="27"/>
      <c r="AD71" s="31" t="s">
        <v>57</v>
      </c>
      <c r="AE71" s="32" t="str">
        <f t="shared" si="7"/>
        <v>❌ Disc</v>
      </c>
      <c r="AF71" s="33" t="s">
        <v>61</v>
      </c>
      <c r="AG71" s="33" t="s">
        <v>55</v>
      </c>
      <c r="AH71" s="33" t="s">
        <v>57</v>
      </c>
      <c r="AI71" s="33" t="s">
        <v>56</v>
      </c>
      <c r="AJ71" s="33" t="s">
        <v>60</v>
      </c>
      <c r="AK71" s="33" t="s">
        <v>57</v>
      </c>
      <c r="AL71" s="27"/>
      <c r="AM71" s="34" t="s">
        <v>57</v>
      </c>
      <c r="AN71" s="35" t="str">
        <f t="shared" si="8"/>
        <v>❌ Disc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5767</v>
      </c>
      <c r="C72" s="41" t="s">
        <v>5768</v>
      </c>
      <c r="D72" s="39" t="s">
        <v>5740</v>
      </c>
      <c r="E72" s="42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69">
        <v>46196</v>
      </c>
      <c r="O72" s="26" t="s">
        <v>55</v>
      </c>
      <c r="P72" s="26" t="s">
        <v>57</v>
      </c>
      <c r="Q72" s="26" t="s">
        <v>56</v>
      </c>
      <c r="R72" s="26" t="s">
        <v>60</v>
      </c>
      <c r="S72" s="26" t="s">
        <v>57</v>
      </c>
      <c r="T72" s="27"/>
      <c r="U72" s="28" t="s">
        <v>57</v>
      </c>
      <c r="V72" s="29" t="str">
        <f t="shared" si="6"/>
        <v>❌ Disc</v>
      </c>
      <c r="W72" s="70">
        <v>46248</v>
      </c>
      <c r="X72" s="30" t="s">
        <v>55</v>
      </c>
      <c r="Y72" s="30" t="s">
        <v>57</v>
      </c>
      <c r="Z72" s="30" t="s">
        <v>56</v>
      </c>
      <c r="AA72" s="30" t="s">
        <v>60</v>
      </c>
      <c r="AB72" s="30" t="s">
        <v>57</v>
      </c>
      <c r="AC72" s="27"/>
      <c r="AD72" s="31" t="s">
        <v>57</v>
      </c>
      <c r="AE72" s="32" t="str">
        <f t="shared" si="7"/>
        <v>❌ Disc</v>
      </c>
      <c r="AF72" s="33" t="s">
        <v>61</v>
      </c>
      <c r="AG72" s="33" t="s">
        <v>55</v>
      </c>
      <c r="AH72" s="33" t="s">
        <v>57</v>
      </c>
      <c r="AI72" s="33" t="s">
        <v>56</v>
      </c>
      <c r="AJ72" s="33" t="s">
        <v>60</v>
      </c>
      <c r="AK72" s="33" t="s">
        <v>57</v>
      </c>
      <c r="AL72" s="27"/>
      <c r="AM72" s="34" t="s">
        <v>57</v>
      </c>
      <c r="AN72" s="35" t="str">
        <f t="shared" si="8"/>
        <v>❌ Disc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5769</v>
      </c>
      <c r="C73" s="25" t="s">
        <v>5770</v>
      </c>
      <c r="D73" s="23" t="s">
        <v>5740</v>
      </c>
      <c r="E73" s="42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69">
        <v>46196</v>
      </c>
      <c r="O73" s="26" t="s">
        <v>55</v>
      </c>
      <c r="P73" s="26" t="s">
        <v>57</v>
      </c>
      <c r="Q73" s="26" t="s">
        <v>56</v>
      </c>
      <c r="R73" s="26" t="s">
        <v>60</v>
      </c>
      <c r="S73" s="26" t="s">
        <v>57</v>
      </c>
      <c r="T73" s="27"/>
      <c r="U73" s="28" t="s">
        <v>57</v>
      </c>
      <c r="V73" s="29" t="str">
        <f t="shared" si="6"/>
        <v>❌ Disc</v>
      </c>
      <c r="W73" s="70">
        <v>46248</v>
      </c>
      <c r="X73" s="30" t="s">
        <v>55</v>
      </c>
      <c r="Y73" s="30" t="s">
        <v>57</v>
      </c>
      <c r="Z73" s="30" t="s">
        <v>56</v>
      </c>
      <c r="AA73" s="30" t="s">
        <v>60</v>
      </c>
      <c r="AB73" s="30" t="s">
        <v>57</v>
      </c>
      <c r="AC73" s="27"/>
      <c r="AD73" s="31" t="s">
        <v>57</v>
      </c>
      <c r="AE73" s="32" t="str">
        <f t="shared" si="7"/>
        <v>❌ Disc</v>
      </c>
      <c r="AF73" s="33" t="s">
        <v>61</v>
      </c>
      <c r="AG73" s="33" t="s">
        <v>55</v>
      </c>
      <c r="AH73" s="33" t="s">
        <v>57</v>
      </c>
      <c r="AI73" s="33" t="s">
        <v>56</v>
      </c>
      <c r="AJ73" s="33" t="s">
        <v>60</v>
      </c>
      <c r="AK73" s="33" t="s">
        <v>57</v>
      </c>
      <c r="AL73" s="27"/>
      <c r="AM73" s="34" t="s">
        <v>57</v>
      </c>
      <c r="AN73" s="35" t="str">
        <f t="shared" si="8"/>
        <v>❌ Disc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5771</v>
      </c>
      <c r="C74" s="41" t="s">
        <v>5772</v>
      </c>
      <c r="D74" s="39" t="s">
        <v>5740</v>
      </c>
      <c r="E74" s="42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69">
        <v>46196</v>
      </c>
      <c r="O74" s="26" t="s">
        <v>55</v>
      </c>
      <c r="P74" s="26" t="s">
        <v>57</v>
      </c>
      <c r="Q74" s="26" t="s">
        <v>56</v>
      </c>
      <c r="R74" s="26" t="s">
        <v>60</v>
      </c>
      <c r="S74" s="26" t="s">
        <v>57</v>
      </c>
      <c r="T74" s="27"/>
      <c r="U74" s="28" t="s">
        <v>57</v>
      </c>
      <c r="V74" s="29" t="str">
        <f t="shared" si="6"/>
        <v>❌ Disc</v>
      </c>
      <c r="W74" s="70">
        <v>46248</v>
      </c>
      <c r="X74" s="30" t="s">
        <v>55</v>
      </c>
      <c r="Y74" s="30" t="s">
        <v>57</v>
      </c>
      <c r="Z74" s="30" t="s">
        <v>56</v>
      </c>
      <c r="AA74" s="30" t="s">
        <v>60</v>
      </c>
      <c r="AB74" s="30" t="s">
        <v>57</v>
      </c>
      <c r="AC74" s="27"/>
      <c r="AD74" s="31" t="s">
        <v>57</v>
      </c>
      <c r="AE74" s="32" t="str">
        <f t="shared" si="7"/>
        <v>❌ Disc</v>
      </c>
      <c r="AF74" s="33" t="s">
        <v>61</v>
      </c>
      <c r="AG74" s="33" t="s">
        <v>55</v>
      </c>
      <c r="AH74" s="33" t="s">
        <v>57</v>
      </c>
      <c r="AI74" s="33" t="s">
        <v>56</v>
      </c>
      <c r="AJ74" s="33" t="s">
        <v>60</v>
      </c>
      <c r="AK74" s="33" t="s">
        <v>57</v>
      </c>
      <c r="AL74" s="27"/>
      <c r="AM74" s="34" t="s">
        <v>57</v>
      </c>
      <c r="AN74" s="35" t="str">
        <f t="shared" si="8"/>
        <v>❌ Disc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5773</v>
      </c>
      <c r="C75" s="25" t="s">
        <v>5774</v>
      </c>
      <c r="D75" s="23" t="s">
        <v>5740</v>
      </c>
      <c r="E75" s="42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69">
        <v>46196</v>
      </c>
      <c r="O75" s="26" t="s">
        <v>55</v>
      </c>
      <c r="P75" s="26" t="s">
        <v>57</v>
      </c>
      <c r="Q75" s="26" t="s">
        <v>56</v>
      </c>
      <c r="R75" s="26" t="s">
        <v>60</v>
      </c>
      <c r="S75" s="26" t="s">
        <v>57</v>
      </c>
      <c r="T75" s="27"/>
      <c r="U75" s="28" t="s">
        <v>57</v>
      </c>
      <c r="V75" s="29" t="str">
        <f t="shared" si="6"/>
        <v>❌ Disc</v>
      </c>
      <c r="W75" s="70">
        <v>46248</v>
      </c>
      <c r="X75" s="30" t="s">
        <v>55</v>
      </c>
      <c r="Y75" s="30" t="s">
        <v>57</v>
      </c>
      <c r="Z75" s="30" t="s">
        <v>56</v>
      </c>
      <c r="AA75" s="30" t="s">
        <v>60</v>
      </c>
      <c r="AB75" s="30" t="s">
        <v>57</v>
      </c>
      <c r="AC75" s="27"/>
      <c r="AD75" s="31" t="s">
        <v>57</v>
      </c>
      <c r="AE75" s="32" t="str">
        <f t="shared" si="7"/>
        <v>❌ Disc</v>
      </c>
      <c r="AF75" s="33" t="s">
        <v>61</v>
      </c>
      <c r="AG75" s="33" t="s">
        <v>55</v>
      </c>
      <c r="AH75" s="33" t="s">
        <v>57</v>
      </c>
      <c r="AI75" s="33" t="s">
        <v>56</v>
      </c>
      <c r="AJ75" s="33" t="s">
        <v>60</v>
      </c>
      <c r="AK75" s="33" t="s">
        <v>57</v>
      </c>
      <c r="AL75" s="27"/>
      <c r="AM75" s="34" t="s">
        <v>57</v>
      </c>
      <c r="AN75" s="35" t="str">
        <f t="shared" si="8"/>
        <v>❌ Disc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5775</v>
      </c>
      <c r="C76" s="41" t="s">
        <v>5776</v>
      </c>
      <c r="D76" s="39" t="s">
        <v>5740</v>
      </c>
      <c r="E76" s="42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69">
        <v>46196</v>
      </c>
      <c r="O76" s="26" t="s">
        <v>55</v>
      </c>
      <c r="P76" s="26" t="s">
        <v>57</v>
      </c>
      <c r="Q76" s="26" t="s">
        <v>56</v>
      </c>
      <c r="R76" s="26" t="s">
        <v>60</v>
      </c>
      <c r="S76" s="26" t="s">
        <v>57</v>
      </c>
      <c r="T76" s="27"/>
      <c r="U76" s="28" t="s">
        <v>57</v>
      </c>
      <c r="V76" s="29" t="str">
        <f t="shared" si="6"/>
        <v>❌ Disc</v>
      </c>
      <c r="W76" s="70">
        <v>46248</v>
      </c>
      <c r="X76" s="30" t="s">
        <v>55</v>
      </c>
      <c r="Y76" s="30" t="s">
        <v>57</v>
      </c>
      <c r="Z76" s="30" t="s">
        <v>56</v>
      </c>
      <c r="AA76" s="30" t="s">
        <v>60</v>
      </c>
      <c r="AB76" s="30" t="s">
        <v>57</v>
      </c>
      <c r="AC76" s="27"/>
      <c r="AD76" s="31" t="s">
        <v>57</v>
      </c>
      <c r="AE76" s="32" t="str">
        <f t="shared" si="7"/>
        <v>❌ Disc</v>
      </c>
      <c r="AF76" s="33" t="s">
        <v>61</v>
      </c>
      <c r="AG76" s="33" t="s">
        <v>55</v>
      </c>
      <c r="AH76" s="33" t="s">
        <v>57</v>
      </c>
      <c r="AI76" s="33" t="s">
        <v>56</v>
      </c>
      <c r="AJ76" s="33" t="s">
        <v>60</v>
      </c>
      <c r="AK76" s="33" t="s">
        <v>57</v>
      </c>
      <c r="AL76" s="27"/>
      <c r="AM76" s="34" t="s">
        <v>57</v>
      </c>
      <c r="AN76" s="35" t="str">
        <f t="shared" si="8"/>
        <v>❌ Disc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5777</v>
      </c>
      <c r="C77" s="25" t="s">
        <v>5778</v>
      </c>
      <c r="D77" s="23" t="s">
        <v>5740</v>
      </c>
      <c r="E77" s="42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69">
        <v>46196</v>
      </c>
      <c r="O77" s="26" t="s">
        <v>55</v>
      </c>
      <c r="P77" s="26" t="s">
        <v>57</v>
      </c>
      <c r="Q77" s="26" t="s">
        <v>56</v>
      </c>
      <c r="R77" s="26" t="s">
        <v>60</v>
      </c>
      <c r="S77" s="26" t="s">
        <v>57</v>
      </c>
      <c r="T77" s="27"/>
      <c r="U77" s="28" t="s">
        <v>57</v>
      </c>
      <c r="V77" s="29" t="str">
        <f t="shared" si="6"/>
        <v>❌ Disc</v>
      </c>
      <c r="W77" s="70">
        <v>46248</v>
      </c>
      <c r="X77" s="30" t="s">
        <v>55</v>
      </c>
      <c r="Y77" s="30" t="s">
        <v>57</v>
      </c>
      <c r="Z77" s="30" t="s">
        <v>56</v>
      </c>
      <c r="AA77" s="30" t="s">
        <v>60</v>
      </c>
      <c r="AB77" s="30" t="s">
        <v>57</v>
      </c>
      <c r="AC77" s="27"/>
      <c r="AD77" s="31" t="s">
        <v>57</v>
      </c>
      <c r="AE77" s="32" t="str">
        <f t="shared" si="7"/>
        <v>❌ Disc</v>
      </c>
      <c r="AF77" s="33" t="s">
        <v>61</v>
      </c>
      <c r="AG77" s="33" t="s">
        <v>55</v>
      </c>
      <c r="AH77" s="33" t="s">
        <v>57</v>
      </c>
      <c r="AI77" s="33" t="s">
        <v>56</v>
      </c>
      <c r="AJ77" s="33" t="s">
        <v>60</v>
      </c>
      <c r="AK77" s="33" t="s">
        <v>57</v>
      </c>
      <c r="AL77" s="27"/>
      <c r="AM77" s="34" t="s">
        <v>57</v>
      </c>
      <c r="AN77" s="35" t="str">
        <f t="shared" si="8"/>
        <v>❌ Disc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5779</v>
      </c>
      <c r="C78" s="41" t="s">
        <v>5780</v>
      </c>
      <c r="D78" s="39" t="s">
        <v>5740</v>
      </c>
      <c r="E78" s="42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69">
        <v>46196</v>
      </c>
      <c r="O78" s="26" t="s">
        <v>55</v>
      </c>
      <c r="P78" s="26" t="s">
        <v>57</v>
      </c>
      <c r="Q78" s="26" t="s">
        <v>56</v>
      </c>
      <c r="R78" s="26" t="s">
        <v>60</v>
      </c>
      <c r="S78" s="26" t="s">
        <v>57</v>
      </c>
      <c r="T78" s="27"/>
      <c r="U78" s="28" t="s">
        <v>57</v>
      </c>
      <c r="V78" s="29" t="str">
        <f t="shared" si="6"/>
        <v>❌ Disc</v>
      </c>
      <c r="W78" s="70">
        <v>46248</v>
      </c>
      <c r="X78" s="30" t="s">
        <v>55</v>
      </c>
      <c r="Y78" s="30" t="s">
        <v>57</v>
      </c>
      <c r="Z78" s="30" t="s">
        <v>56</v>
      </c>
      <c r="AA78" s="30" t="s">
        <v>60</v>
      </c>
      <c r="AB78" s="30" t="s">
        <v>57</v>
      </c>
      <c r="AC78" s="27"/>
      <c r="AD78" s="31" t="s">
        <v>57</v>
      </c>
      <c r="AE78" s="32" t="str">
        <f t="shared" si="7"/>
        <v>❌ Disc</v>
      </c>
      <c r="AF78" s="33" t="s">
        <v>61</v>
      </c>
      <c r="AG78" s="33" t="s">
        <v>55</v>
      </c>
      <c r="AH78" s="33" t="s">
        <v>57</v>
      </c>
      <c r="AI78" s="33" t="s">
        <v>56</v>
      </c>
      <c r="AJ78" s="33" t="s">
        <v>60</v>
      </c>
      <c r="AK78" s="33" t="s">
        <v>57</v>
      </c>
      <c r="AL78" s="27"/>
      <c r="AM78" s="34" t="s">
        <v>57</v>
      </c>
      <c r="AN78" s="35" t="str">
        <f t="shared" si="8"/>
        <v>❌ Disc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5781</v>
      </c>
      <c r="C79" s="25" t="s">
        <v>5782</v>
      </c>
      <c r="D79" s="23" t="s">
        <v>5740</v>
      </c>
      <c r="E79" s="42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69">
        <v>46196</v>
      </c>
      <c r="O79" s="26" t="s">
        <v>55</v>
      </c>
      <c r="P79" s="26" t="s">
        <v>57</v>
      </c>
      <c r="Q79" s="26" t="s">
        <v>56</v>
      </c>
      <c r="R79" s="26" t="s">
        <v>60</v>
      </c>
      <c r="S79" s="26" t="s">
        <v>57</v>
      </c>
      <c r="T79" s="27"/>
      <c r="U79" s="28" t="s">
        <v>57</v>
      </c>
      <c r="V79" s="29" t="str">
        <f t="shared" si="6"/>
        <v>❌ Disc</v>
      </c>
      <c r="W79" s="70">
        <v>46248</v>
      </c>
      <c r="X79" s="30" t="s">
        <v>55</v>
      </c>
      <c r="Y79" s="30" t="s">
        <v>57</v>
      </c>
      <c r="Z79" s="30" t="s">
        <v>56</v>
      </c>
      <c r="AA79" s="30" t="s">
        <v>60</v>
      </c>
      <c r="AB79" s="30" t="s">
        <v>57</v>
      </c>
      <c r="AC79" s="27"/>
      <c r="AD79" s="31" t="s">
        <v>57</v>
      </c>
      <c r="AE79" s="32" t="str">
        <f t="shared" si="7"/>
        <v>❌ Disc</v>
      </c>
      <c r="AF79" s="33" t="s">
        <v>61</v>
      </c>
      <c r="AG79" s="33" t="s">
        <v>55</v>
      </c>
      <c r="AH79" s="33" t="s">
        <v>57</v>
      </c>
      <c r="AI79" s="33" t="s">
        <v>56</v>
      </c>
      <c r="AJ79" s="33" t="s">
        <v>60</v>
      </c>
      <c r="AK79" s="33" t="s">
        <v>57</v>
      </c>
      <c r="AL79" s="27"/>
      <c r="AM79" s="34" t="s">
        <v>57</v>
      </c>
      <c r="AN79" s="35" t="str">
        <f t="shared" si="8"/>
        <v>❌ Disc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5783</v>
      </c>
      <c r="C80" s="41" t="s">
        <v>5784</v>
      </c>
      <c r="D80" s="39" t="s">
        <v>5740</v>
      </c>
      <c r="E80" s="42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69">
        <v>46196</v>
      </c>
      <c r="O80" s="26" t="s">
        <v>55</v>
      </c>
      <c r="P80" s="26" t="s">
        <v>57</v>
      </c>
      <c r="Q80" s="26" t="s">
        <v>56</v>
      </c>
      <c r="R80" s="26" t="s">
        <v>60</v>
      </c>
      <c r="S80" s="26" t="s">
        <v>57</v>
      </c>
      <c r="T80" s="27"/>
      <c r="U80" s="28" t="s">
        <v>57</v>
      </c>
      <c r="V80" s="29" t="str">
        <f t="shared" si="6"/>
        <v>❌ Disc</v>
      </c>
      <c r="W80" s="70">
        <v>46248</v>
      </c>
      <c r="X80" s="30" t="s">
        <v>55</v>
      </c>
      <c r="Y80" s="30" t="s">
        <v>57</v>
      </c>
      <c r="Z80" s="30" t="s">
        <v>56</v>
      </c>
      <c r="AA80" s="30" t="s">
        <v>60</v>
      </c>
      <c r="AB80" s="30" t="s">
        <v>57</v>
      </c>
      <c r="AC80" s="27"/>
      <c r="AD80" s="31" t="s">
        <v>57</v>
      </c>
      <c r="AE80" s="32" t="str">
        <f t="shared" si="7"/>
        <v>❌ Disc</v>
      </c>
      <c r="AF80" s="33" t="s">
        <v>61</v>
      </c>
      <c r="AG80" s="33" t="s">
        <v>55</v>
      </c>
      <c r="AH80" s="33" t="s">
        <v>57</v>
      </c>
      <c r="AI80" s="33" t="s">
        <v>56</v>
      </c>
      <c r="AJ80" s="33" t="s">
        <v>60</v>
      </c>
      <c r="AK80" s="33" t="s">
        <v>57</v>
      </c>
      <c r="AL80" s="27"/>
      <c r="AM80" s="34" t="s">
        <v>57</v>
      </c>
      <c r="AN80" s="35" t="str">
        <f t="shared" si="8"/>
        <v>❌ Disc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5785</v>
      </c>
      <c r="C81" s="25" t="s">
        <v>5786</v>
      </c>
      <c r="D81" s="23" t="s">
        <v>5740</v>
      </c>
      <c r="E81" s="42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69">
        <v>46196</v>
      </c>
      <c r="O81" s="26" t="s">
        <v>55</v>
      </c>
      <c r="P81" s="26" t="s">
        <v>57</v>
      </c>
      <c r="Q81" s="26" t="s">
        <v>56</v>
      </c>
      <c r="R81" s="26" t="s">
        <v>60</v>
      </c>
      <c r="S81" s="26" t="s">
        <v>57</v>
      </c>
      <c r="T81" s="27"/>
      <c r="U81" s="28" t="s">
        <v>57</v>
      </c>
      <c r="V81" s="29" t="str">
        <f t="shared" si="6"/>
        <v>❌ Disc</v>
      </c>
      <c r="W81" s="70">
        <v>46248</v>
      </c>
      <c r="X81" s="30" t="s">
        <v>55</v>
      </c>
      <c r="Y81" s="30" t="s">
        <v>57</v>
      </c>
      <c r="Z81" s="30" t="s">
        <v>56</v>
      </c>
      <c r="AA81" s="30" t="s">
        <v>60</v>
      </c>
      <c r="AB81" s="30" t="s">
        <v>57</v>
      </c>
      <c r="AC81" s="27"/>
      <c r="AD81" s="31" t="s">
        <v>57</v>
      </c>
      <c r="AE81" s="32" t="str">
        <f t="shared" si="7"/>
        <v>❌ Disc</v>
      </c>
      <c r="AF81" s="33" t="s">
        <v>61</v>
      </c>
      <c r="AG81" s="33" t="s">
        <v>55</v>
      </c>
      <c r="AH81" s="33" t="s">
        <v>57</v>
      </c>
      <c r="AI81" s="33" t="s">
        <v>56</v>
      </c>
      <c r="AJ81" s="33" t="s">
        <v>60</v>
      </c>
      <c r="AK81" s="33" t="s">
        <v>57</v>
      </c>
      <c r="AL81" s="27"/>
      <c r="AM81" s="34" t="s">
        <v>57</v>
      </c>
      <c r="AN81" s="35" t="str">
        <f t="shared" si="8"/>
        <v>❌ Disc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5787</v>
      </c>
      <c r="C82" s="41" t="s">
        <v>5788</v>
      </c>
      <c r="D82" s="39" t="s">
        <v>5740</v>
      </c>
      <c r="E82" s="42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69">
        <v>46196</v>
      </c>
      <c r="O82" s="26" t="s">
        <v>55</v>
      </c>
      <c r="P82" s="26" t="s">
        <v>57</v>
      </c>
      <c r="Q82" s="26" t="s">
        <v>56</v>
      </c>
      <c r="R82" s="26" t="s">
        <v>60</v>
      </c>
      <c r="S82" s="26" t="s">
        <v>57</v>
      </c>
      <c r="T82" s="27"/>
      <c r="U82" s="28" t="s">
        <v>57</v>
      </c>
      <c r="V82" s="29" t="str">
        <f t="shared" si="6"/>
        <v>❌ Disc</v>
      </c>
      <c r="W82" s="70">
        <v>46248</v>
      </c>
      <c r="X82" s="30" t="s">
        <v>55</v>
      </c>
      <c r="Y82" s="30" t="s">
        <v>57</v>
      </c>
      <c r="Z82" s="30" t="s">
        <v>56</v>
      </c>
      <c r="AA82" s="30" t="s">
        <v>60</v>
      </c>
      <c r="AB82" s="30" t="s">
        <v>57</v>
      </c>
      <c r="AC82" s="27"/>
      <c r="AD82" s="31" t="s">
        <v>57</v>
      </c>
      <c r="AE82" s="32" t="str">
        <f t="shared" si="7"/>
        <v>❌ Disc</v>
      </c>
      <c r="AF82" s="33" t="s">
        <v>61</v>
      </c>
      <c r="AG82" s="33" t="s">
        <v>55</v>
      </c>
      <c r="AH82" s="33" t="s">
        <v>57</v>
      </c>
      <c r="AI82" s="33" t="s">
        <v>56</v>
      </c>
      <c r="AJ82" s="33" t="s">
        <v>60</v>
      </c>
      <c r="AK82" s="33" t="s">
        <v>57</v>
      </c>
      <c r="AL82" s="27"/>
      <c r="AM82" s="34" t="s">
        <v>57</v>
      </c>
      <c r="AN82" s="35" t="str">
        <f t="shared" si="8"/>
        <v>❌ Disc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5789</v>
      </c>
      <c r="C83" s="25" t="s">
        <v>5790</v>
      </c>
      <c r="D83" s="23" t="s">
        <v>5740</v>
      </c>
      <c r="E83" s="42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69">
        <v>46196</v>
      </c>
      <c r="O83" s="26" t="s">
        <v>55</v>
      </c>
      <c r="P83" s="26" t="s">
        <v>57</v>
      </c>
      <c r="Q83" s="26" t="s">
        <v>56</v>
      </c>
      <c r="R83" s="26" t="s">
        <v>60</v>
      </c>
      <c r="S83" s="26" t="s">
        <v>57</v>
      </c>
      <c r="T83" s="27"/>
      <c r="U83" s="28" t="s">
        <v>57</v>
      </c>
      <c r="V83" s="29" t="str">
        <f t="shared" si="6"/>
        <v>❌ Disc</v>
      </c>
      <c r="W83" s="70">
        <v>46248</v>
      </c>
      <c r="X83" s="30" t="s">
        <v>55</v>
      </c>
      <c r="Y83" s="30" t="s">
        <v>57</v>
      </c>
      <c r="Z83" s="30" t="s">
        <v>56</v>
      </c>
      <c r="AA83" s="30" t="s">
        <v>60</v>
      </c>
      <c r="AB83" s="30" t="s">
        <v>57</v>
      </c>
      <c r="AC83" s="27"/>
      <c r="AD83" s="31" t="s">
        <v>57</v>
      </c>
      <c r="AE83" s="32" t="str">
        <f t="shared" si="7"/>
        <v>❌ Disc</v>
      </c>
      <c r="AF83" s="33" t="s">
        <v>61</v>
      </c>
      <c r="AG83" s="33" t="s">
        <v>55</v>
      </c>
      <c r="AH83" s="33" t="s">
        <v>57</v>
      </c>
      <c r="AI83" s="33" t="s">
        <v>56</v>
      </c>
      <c r="AJ83" s="33" t="s">
        <v>60</v>
      </c>
      <c r="AK83" s="33" t="s">
        <v>57</v>
      </c>
      <c r="AL83" s="27"/>
      <c r="AM83" s="34" t="s">
        <v>57</v>
      </c>
      <c r="AN83" s="35" t="str">
        <f t="shared" si="8"/>
        <v>❌ Disc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5791</v>
      </c>
      <c r="C84" s="41" t="s">
        <v>5792</v>
      </c>
      <c r="D84" s="39" t="s">
        <v>5740</v>
      </c>
      <c r="E84" s="42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69">
        <v>46196</v>
      </c>
      <c r="O84" s="26" t="s">
        <v>55</v>
      </c>
      <c r="P84" s="26" t="s">
        <v>57</v>
      </c>
      <c r="Q84" s="26" t="s">
        <v>56</v>
      </c>
      <c r="R84" s="26" t="s">
        <v>60</v>
      </c>
      <c r="S84" s="26" t="s">
        <v>57</v>
      </c>
      <c r="T84" s="27"/>
      <c r="U84" s="28" t="s">
        <v>57</v>
      </c>
      <c r="V84" s="29" t="str">
        <f t="shared" si="6"/>
        <v>❌ Disc</v>
      </c>
      <c r="W84" s="70">
        <v>46248</v>
      </c>
      <c r="X84" s="30" t="s">
        <v>55</v>
      </c>
      <c r="Y84" s="30" t="s">
        <v>57</v>
      </c>
      <c r="Z84" s="30" t="s">
        <v>56</v>
      </c>
      <c r="AA84" s="30" t="s">
        <v>60</v>
      </c>
      <c r="AB84" s="30" t="s">
        <v>57</v>
      </c>
      <c r="AC84" s="27"/>
      <c r="AD84" s="31" t="s">
        <v>57</v>
      </c>
      <c r="AE84" s="32" t="str">
        <f t="shared" si="7"/>
        <v>❌ Disc</v>
      </c>
      <c r="AF84" s="33" t="s">
        <v>61</v>
      </c>
      <c r="AG84" s="33" t="s">
        <v>55</v>
      </c>
      <c r="AH84" s="33" t="s">
        <v>57</v>
      </c>
      <c r="AI84" s="33" t="s">
        <v>56</v>
      </c>
      <c r="AJ84" s="33" t="s">
        <v>60</v>
      </c>
      <c r="AK84" s="33" t="s">
        <v>57</v>
      </c>
      <c r="AL84" s="27"/>
      <c r="AM84" s="34" t="s">
        <v>57</v>
      </c>
      <c r="AN84" s="35" t="str">
        <f t="shared" si="8"/>
        <v>❌ Disc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5793</v>
      </c>
      <c r="C85" s="25" t="s">
        <v>5794</v>
      </c>
      <c r="D85" s="23" t="s">
        <v>5740</v>
      </c>
      <c r="E85" s="42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69">
        <v>46196</v>
      </c>
      <c r="O85" s="26" t="s">
        <v>55</v>
      </c>
      <c r="P85" s="26" t="s">
        <v>57</v>
      </c>
      <c r="Q85" s="26" t="s">
        <v>56</v>
      </c>
      <c r="R85" s="26" t="s">
        <v>60</v>
      </c>
      <c r="S85" s="26" t="s">
        <v>57</v>
      </c>
      <c r="T85" s="27"/>
      <c r="U85" s="28" t="s">
        <v>57</v>
      </c>
      <c r="V85" s="29" t="str">
        <f t="shared" si="6"/>
        <v>❌ Disc</v>
      </c>
      <c r="W85" s="70">
        <v>46248</v>
      </c>
      <c r="X85" s="30" t="s">
        <v>55</v>
      </c>
      <c r="Y85" s="30" t="s">
        <v>57</v>
      </c>
      <c r="Z85" s="30" t="s">
        <v>56</v>
      </c>
      <c r="AA85" s="30" t="s">
        <v>60</v>
      </c>
      <c r="AB85" s="30" t="s">
        <v>57</v>
      </c>
      <c r="AC85" s="27"/>
      <c r="AD85" s="31" t="s">
        <v>57</v>
      </c>
      <c r="AE85" s="32" t="str">
        <f t="shared" si="7"/>
        <v>❌ Disc</v>
      </c>
      <c r="AF85" s="33" t="s">
        <v>61</v>
      </c>
      <c r="AG85" s="33" t="s">
        <v>55</v>
      </c>
      <c r="AH85" s="33" t="s">
        <v>57</v>
      </c>
      <c r="AI85" s="33" t="s">
        <v>56</v>
      </c>
      <c r="AJ85" s="33" t="s">
        <v>60</v>
      </c>
      <c r="AK85" s="33" t="s">
        <v>57</v>
      </c>
      <c r="AL85" s="27"/>
      <c r="AM85" s="34" t="s">
        <v>57</v>
      </c>
      <c r="AN85" s="35" t="str">
        <f t="shared" si="8"/>
        <v>❌ Disc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5795</v>
      </c>
      <c r="C86" s="41" t="s">
        <v>5796</v>
      </c>
      <c r="D86" s="39" t="s">
        <v>5740</v>
      </c>
      <c r="E86" s="42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69">
        <v>46196</v>
      </c>
      <c r="O86" s="26" t="s">
        <v>55</v>
      </c>
      <c r="P86" s="26" t="s">
        <v>57</v>
      </c>
      <c r="Q86" s="26" t="s">
        <v>56</v>
      </c>
      <c r="R86" s="26" t="s">
        <v>60</v>
      </c>
      <c r="S86" s="26" t="s">
        <v>57</v>
      </c>
      <c r="T86" s="27"/>
      <c r="U86" s="28" t="s">
        <v>57</v>
      </c>
      <c r="V86" s="29" t="str">
        <f t="shared" si="6"/>
        <v>❌ Disc</v>
      </c>
      <c r="W86" s="70">
        <v>46248</v>
      </c>
      <c r="X86" s="30" t="s">
        <v>55</v>
      </c>
      <c r="Y86" s="30" t="s">
        <v>57</v>
      </c>
      <c r="Z86" s="30" t="s">
        <v>56</v>
      </c>
      <c r="AA86" s="30" t="s">
        <v>60</v>
      </c>
      <c r="AB86" s="30" t="s">
        <v>57</v>
      </c>
      <c r="AC86" s="27"/>
      <c r="AD86" s="31" t="s">
        <v>57</v>
      </c>
      <c r="AE86" s="32" t="str">
        <f t="shared" si="7"/>
        <v>❌ Disc</v>
      </c>
      <c r="AF86" s="33" t="s">
        <v>61</v>
      </c>
      <c r="AG86" s="33" t="s">
        <v>55</v>
      </c>
      <c r="AH86" s="33" t="s">
        <v>57</v>
      </c>
      <c r="AI86" s="33" t="s">
        <v>56</v>
      </c>
      <c r="AJ86" s="33" t="s">
        <v>60</v>
      </c>
      <c r="AK86" s="33" t="s">
        <v>57</v>
      </c>
      <c r="AL86" s="27"/>
      <c r="AM86" s="34" t="s">
        <v>57</v>
      </c>
      <c r="AN86" s="35" t="str">
        <f t="shared" si="8"/>
        <v>❌ Disc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5797</v>
      </c>
      <c r="C87" s="25" t="s">
        <v>5798</v>
      </c>
      <c r="D87" s="23" t="s">
        <v>5740</v>
      </c>
      <c r="E87" s="42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69">
        <v>46196</v>
      </c>
      <c r="O87" s="26" t="s">
        <v>55</v>
      </c>
      <c r="P87" s="26" t="s">
        <v>57</v>
      </c>
      <c r="Q87" s="26" t="s">
        <v>56</v>
      </c>
      <c r="R87" s="26" t="s">
        <v>60</v>
      </c>
      <c r="S87" s="26" t="s">
        <v>57</v>
      </c>
      <c r="T87" s="27"/>
      <c r="U87" s="28" t="s">
        <v>57</v>
      </c>
      <c r="V87" s="29" t="str">
        <f t="shared" si="6"/>
        <v>❌ Disc</v>
      </c>
      <c r="W87" s="70">
        <v>46248</v>
      </c>
      <c r="X87" s="30" t="s">
        <v>55</v>
      </c>
      <c r="Y87" s="30" t="s">
        <v>57</v>
      </c>
      <c r="Z87" s="30" t="s">
        <v>56</v>
      </c>
      <c r="AA87" s="30" t="s">
        <v>60</v>
      </c>
      <c r="AB87" s="30" t="s">
        <v>57</v>
      </c>
      <c r="AC87" s="27"/>
      <c r="AD87" s="31" t="s">
        <v>57</v>
      </c>
      <c r="AE87" s="32" t="str">
        <f t="shared" si="7"/>
        <v>❌ Disc</v>
      </c>
      <c r="AF87" s="33" t="s">
        <v>61</v>
      </c>
      <c r="AG87" s="33" t="s">
        <v>55</v>
      </c>
      <c r="AH87" s="33" t="s">
        <v>57</v>
      </c>
      <c r="AI87" s="33" t="s">
        <v>56</v>
      </c>
      <c r="AJ87" s="33" t="s">
        <v>60</v>
      </c>
      <c r="AK87" s="33" t="s">
        <v>57</v>
      </c>
      <c r="AL87" s="27"/>
      <c r="AM87" s="34" t="s">
        <v>57</v>
      </c>
      <c r="AN87" s="35" t="str">
        <f t="shared" si="8"/>
        <v>❌ Disc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5799</v>
      </c>
      <c r="C88" s="41" t="s">
        <v>5800</v>
      </c>
      <c r="D88" s="39" t="s">
        <v>5740</v>
      </c>
      <c r="E88" s="42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69">
        <v>46196</v>
      </c>
      <c r="O88" s="26" t="s">
        <v>55</v>
      </c>
      <c r="P88" s="26" t="s">
        <v>57</v>
      </c>
      <c r="Q88" s="26" t="s">
        <v>56</v>
      </c>
      <c r="R88" s="26" t="s">
        <v>60</v>
      </c>
      <c r="S88" s="26" t="s">
        <v>57</v>
      </c>
      <c r="T88" s="27"/>
      <c r="U88" s="28" t="s">
        <v>57</v>
      </c>
      <c r="V88" s="29" t="str">
        <f t="shared" si="6"/>
        <v>❌ Disc</v>
      </c>
      <c r="W88" s="70">
        <v>46248</v>
      </c>
      <c r="X88" s="30" t="s">
        <v>55</v>
      </c>
      <c r="Y88" s="30" t="s">
        <v>57</v>
      </c>
      <c r="Z88" s="30" t="s">
        <v>56</v>
      </c>
      <c r="AA88" s="30" t="s">
        <v>60</v>
      </c>
      <c r="AB88" s="30" t="s">
        <v>57</v>
      </c>
      <c r="AC88" s="27"/>
      <c r="AD88" s="31" t="s">
        <v>57</v>
      </c>
      <c r="AE88" s="32" t="str">
        <f t="shared" si="7"/>
        <v>❌ Disc</v>
      </c>
      <c r="AF88" s="33" t="s">
        <v>61</v>
      </c>
      <c r="AG88" s="33" t="s">
        <v>55</v>
      </c>
      <c r="AH88" s="33" t="s">
        <v>57</v>
      </c>
      <c r="AI88" s="33" t="s">
        <v>56</v>
      </c>
      <c r="AJ88" s="33" t="s">
        <v>60</v>
      </c>
      <c r="AK88" s="33" t="s">
        <v>57</v>
      </c>
      <c r="AL88" s="27"/>
      <c r="AM88" s="34" t="s">
        <v>57</v>
      </c>
      <c r="AN88" s="35" t="str">
        <f t="shared" si="8"/>
        <v>❌ Disc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5801</v>
      </c>
      <c r="C89" s="25" t="s">
        <v>5802</v>
      </c>
      <c r="D89" s="23" t="s">
        <v>5740</v>
      </c>
      <c r="E89" s="42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69">
        <v>46196</v>
      </c>
      <c r="O89" s="26" t="s">
        <v>55</v>
      </c>
      <c r="P89" s="26" t="s">
        <v>57</v>
      </c>
      <c r="Q89" s="26" t="s">
        <v>56</v>
      </c>
      <c r="R89" s="26" t="s">
        <v>60</v>
      </c>
      <c r="S89" s="26" t="s">
        <v>57</v>
      </c>
      <c r="T89" s="27"/>
      <c r="U89" s="28" t="s">
        <v>57</v>
      </c>
      <c r="V89" s="29" t="str">
        <f t="shared" si="6"/>
        <v>❌ Disc</v>
      </c>
      <c r="W89" s="70">
        <v>46248</v>
      </c>
      <c r="X89" s="30" t="s">
        <v>55</v>
      </c>
      <c r="Y89" s="30" t="s">
        <v>57</v>
      </c>
      <c r="Z89" s="30" t="s">
        <v>56</v>
      </c>
      <c r="AA89" s="30" t="s">
        <v>60</v>
      </c>
      <c r="AB89" s="30" t="s">
        <v>57</v>
      </c>
      <c r="AC89" s="27"/>
      <c r="AD89" s="31" t="s">
        <v>57</v>
      </c>
      <c r="AE89" s="32" t="str">
        <f t="shared" si="7"/>
        <v>❌ Disc</v>
      </c>
      <c r="AF89" s="33" t="s">
        <v>61</v>
      </c>
      <c r="AG89" s="33" t="s">
        <v>55</v>
      </c>
      <c r="AH89" s="33" t="s">
        <v>57</v>
      </c>
      <c r="AI89" s="33" t="s">
        <v>56</v>
      </c>
      <c r="AJ89" s="33" t="s">
        <v>60</v>
      </c>
      <c r="AK89" s="33" t="s">
        <v>57</v>
      </c>
      <c r="AL89" s="27"/>
      <c r="AM89" s="34" t="s">
        <v>57</v>
      </c>
      <c r="AN89" s="35" t="str">
        <f t="shared" si="8"/>
        <v>❌ Disc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5803</v>
      </c>
      <c r="C90" s="41" t="s">
        <v>5804</v>
      </c>
      <c r="D90" s="39" t="s">
        <v>5740</v>
      </c>
      <c r="E90" s="42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69">
        <v>46196</v>
      </c>
      <c r="O90" s="26" t="s">
        <v>55</v>
      </c>
      <c r="P90" s="26" t="s">
        <v>57</v>
      </c>
      <c r="Q90" s="26" t="s">
        <v>56</v>
      </c>
      <c r="R90" s="26" t="s">
        <v>60</v>
      </c>
      <c r="S90" s="26" t="s">
        <v>57</v>
      </c>
      <c r="T90" s="27"/>
      <c r="U90" s="28" t="s">
        <v>57</v>
      </c>
      <c r="V90" s="29" t="str">
        <f t="shared" si="6"/>
        <v>❌ Disc</v>
      </c>
      <c r="W90" s="70">
        <v>46248</v>
      </c>
      <c r="X90" s="30" t="s">
        <v>55</v>
      </c>
      <c r="Y90" s="30" t="s">
        <v>57</v>
      </c>
      <c r="Z90" s="30" t="s">
        <v>56</v>
      </c>
      <c r="AA90" s="30" t="s">
        <v>60</v>
      </c>
      <c r="AB90" s="30" t="s">
        <v>57</v>
      </c>
      <c r="AC90" s="27"/>
      <c r="AD90" s="31" t="s">
        <v>57</v>
      </c>
      <c r="AE90" s="32" t="str">
        <f t="shared" si="7"/>
        <v>❌ Disc</v>
      </c>
      <c r="AF90" s="33" t="s">
        <v>61</v>
      </c>
      <c r="AG90" s="33" t="s">
        <v>55</v>
      </c>
      <c r="AH90" s="33" t="s">
        <v>57</v>
      </c>
      <c r="AI90" s="33" t="s">
        <v>56</v>
      </c>
      <c r="AJ90" s="33" t="s">
        <v>60</v>
      </c>
      <c r="AK90" s="33" t="s">
        <v>57</v>
      </c>
      <c r="AL90" s="27"/>
      <c r="AM90" s="34" t="s">
        <v>57</v>
      </c>
      <c r="AN90" s="35" t="str">
        <f t="shared" si="8"/>
        <v>❌ Disc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5805</v>
      </c>
      <c r="C91" s="25" t="s">
        <v>5806</v>
      </c>
      <c r="D91" s="23" t="s">
        <v>5740</v>
      </c>
      <c r="E91" s="42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69">
        <v>46196</v>
      </c>
      <c r="O91" s="26" t="s">
        <v>55</v>
      </c>
      <c r="P91" s="26" t="s">
        <v>57</v>
      </c>
      <c r="Q91" s="26" t="s">
        <v>56</v>
      </c>
      <c r="R91" s="26" t="s">
        <v>60</v>
      </c>
      <c r="S91" s="26" t="s">
        <v>57</v>
      </c>
      <c r="T91" s="27"/>
      <c r="U91" s="28" t="s">
        <v>57</v>
      </c>
      <c r="V91" s="29" t="str">
        <f t="shared" si="6"/>
        <v>❌ Disc</v>
      </c>
      <c r="W91" s="70">
        <v>46248</v>
      </c>
      <c r="X91" s="30" t="s">
        <v>55</v>
      </c>
      <c r="Y91" s="30" t="s">
        <v>57</v>
      </c>
      <c r="Z91" s="30" t="s">
        <v>56</v>
      </c>
      <c r="AA91" s="30" t="s">
        <v>60</v>
      </c>
      <c r="AB91" s="30" t="s">
        <v>57</v>
      </c>
      <c r="AC91" s="27"/>
      <c r="AD91" s="31" t="s">
        <v>57</v>
      </c>
      <c r="AE91" s="32" t="str">
        <f t="shared" si="7"/>
        <v>❌ Disc</v>
      </c>
      <c r="AF91" s="33" t="s">
        <v>61</v>
      </c>
      <c r="AG91" s="33" t="s">
        <v>55</v>
      </c>
      <c r="AH91" s="33" t="s">
        <v>57</v>
      </c>
      <c r="AI91" s="33" t="s">
        <v>56</v>
      </c>
      <c r="AJ91" s="33" t="s">
        <v>60</v>
      </c>
      <c r="AK91" s="33" t="s">
        <v>57</v>
      </c>
      <c r="AL91" s="27"/>
      <c r="AM91" s="34" t="s">
        <v>57</v>
      </c>
      <c r="AN91" s="35" t="str">
        <f t="shared" si="8"/>
        <v>❌ Disc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5807</v>
      </c>
      <c r="C92" s="41" t="s">
        <v>5808</v>
      </c>
      <c r="D92" s="39" t="s">
        <v>5740</v>
      </c>
      <c r="E92" s="42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69">
        <v>46196</v>
      </c>
      <c r="O92" s="26" t="s">
        <v>55</v>
      </c>
      <c r="P92" s="26" t="s">
        <v>57</v>
      </c>
      <c r="Q92" s="26" t="s">
        <v>56</v>
      </c>
      <c r="R92" s="26" t="s">
        <v>60</v>
      </c>
      <c r="S92" s="26" t="s">
        <v>57</v>
      </c>
      <c r="T92" s="27"/>
      <c r="U92" s="28" t="s">
        <v>57</v>
      </c>
      <c r="V92" s="29" t="str">
        <f t="shared" si="6"/>
        <v>❌ Disc</v>
      </c>
      <c r="W92" s="70">
        <v>46248</v>
      </c>
      <c r="X92" s="30" t="s">
        <v>55</v>
      </c>
      <c r="Y92" s="30" t="s">
        <v>57</v>
      </c>
      <c r="Z92" s="30" t="s">
        <v>56</v>
      </c>
      <c r="AA92" s="30" t="s">
        <v>60</v>
      </c>
      <c r="AB92" s="30" t="s">
        <v>57</v>
      </c>
      <c r="AC92" s="27"/>
      <c r="AD92" s="31" t="s">
        <v>57</v>
      </c>
      <c r="AE92" s="32" t="str">
        <f t="shared" si="7"/>
        <v>❌ Disc</v>
      </c>
      <c r="AF92" s="33" t="s">
        <v>61</v>
      </c>
      <c r="AG92" s="33" t="s">
        <v>55</v>
      </c>
      <c r="AH92" s="33" t="s">
        <v>57</v>
      </c>
      <c r="AI92" s="33" t="s">
        <v>56</v>
      </c>
      <c r="AJ92" s="33" t="s">
        <v>60</v>
      </c>
      <c r="AK92" s="33" t="s">
        <v>57</v>
      </c>
      <c r="AL92" s="27"/>
      <c r="AM92" s="34" t="s">
        <v>57</v>
      </c>
      <c r="AN92" s="35" t="str">
        <f t="shared" si="8"/>
        <v>❌ Disc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5809</v>
      </c>
      <c r="C93" s="25" t="s">
        <v>5810</v>
      </c>
      <c r="D93" s="23" t="s">
        <v>5740</v>
      </c>
      <c r="E93" s="42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69">
        <v>46196</v>
      </c>
      <c r="O93" s="26" t="s">
        <v>55</v>
      </c>
      <c r="P93" s="26" t="s">
        <v>57</v>
      </c>
      <c r="Q93" s="26" t="s">
        <v>56</v>
      </c>
      <c r="R93" s="26" t="s">
        <v>60</v>
      </c>
      <c r="S93" s="26" t="s">
        <v>57</v>
      </c>
      <c r="T93" s="27"/>
      <c r="U93" s="28" t="s">
        <v>57</v>
      </c>
      <c r="V93" s="29" t="str">
        <f t="shared" si="6"/>
        <v>❌ Disc</v>
      </c>
      <c r="W93" s="70">
        <v>46248</v>
      </c>
      <c r="X93" s="30" t="s">
        <v>55</v>
      </c>
      <c r="Y93" s="30" t="s">
        <v>57</v>
      </c>
      <c r="Z93" s="30" t="s">
        <v>56</v>
      </c>
      <c r="AA93" s="30" t="s">
        <v>60</v>
      </c>
      <c r="AB93" s="30" t="s">
        <v>57</v>
      </c>
      <c r="AC93" s="27"/>
      <c r="AD93" s="31" t="s">
        <v>57</v>
      </c>
      <c r="AE93" s="32" t="str">
        <f t="shared" si="7"/>
        <v>❌ Disc</v>
      </c>
      <c r="AF93" s="33" t="s">
        <v>61</v>
      </c>
      <c r="AG93" s="33" t="s">
        <v>55</v>
      </c>
      <c r="AH93" s="33" t="s">
        <v>57</v>
      </c>
      <c r="AI93" s="33" t="s">
        <v>56</v>
      </c>
      <c r="AJ93" s="33" t="s">
        <v>60</v>
      </c>
      <c r="AK93" s="33" t="s">
        <v>57</v>
      </c>
      <c r="AL93" s="27"/>
      <c r="AM93" s="34" t="s">
        <v>57</v>
      </c>
      <c r="AN93" s="35" t="str">
        <f t="shared" si="8"/>
        <v>❌ Disc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5811</v>
      </c>
      <c r="C94" s="41" t="s">
        <v>5812</v>
      </c>
      <c r="D94" s="39" t="s">
        <v>5740</v>
      </c>
      <c r="E94" s="42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69">
        <v>46196</v>
      </c>
      <c r="O94" s="26" t="s">
        <v>55</v>
      </c>
      <c r="P94" s="26" t="s">
        <v>57</v>
      </c>
      <c r="Q94" s="26" t="s">
        <v>56</v>
      </c>
      <c r="R94" s="26" t="s">
        <v>60</v>
      </c>
      <c r="S94" s="26" t="s">
        <v>57</v>
      </c>
      <c r="T94" s="27"/>
      <c r="U94" s="28" t="s">
        <v>57</v>
      </c>
      <c r="V94" s="29" t="str">
        <f t="shared" si="6"/>
        <v>❌ Disc</v>
      </c>
      <c r="W94" s="70">
        <v>46248</v>
      </c>
      <c r="X94" s="30" t="s">
        <v>55</v>
      </c>
      <c r="Y94" s="30" t="s">
        <v>57</v>
      </c>
      <c r="Z94" s="30" t="s">
        <v>56</v>
      </c>
      <c r="AA94" s="30" t="s">
        <v>60</v>
      </c>
      <c r="AB94" s="30" t="s">
        <v>57</v>
      </c>
      <c r="AC94" s="27"/>
      <c r="AD94" s="31" t="s">
        <v>57</v>
      </c>
      <c r="AE94" s="32" t="str">
        <f t="shared" si="7"/>
        <v>❌ Disc</v>
      </c>
      <c r="AF94" s="33" t="s">
        <v>61</v>
      </c>
      <c r="AG94" s="33" t="s">
        <v>55</v>
      </c>
      <c r="AH94" s="33" t="s">
        <v>57</v>
      </c>
      <c r="AI94" s="33" t="s">
        <v>56</v>
      </c>
      <c r="AJ94" s="33" t="s">
        <v>60</v>
      </c>
      <c r="AK94" s="33" t="s">
        <v>57</v>
      </c>
      <c r="AL94" s="27"/>
      <c r="AM94" s="34" t="s">
        <v>57</v>
      </c>
      <c r="AN94" s="35" t="str">
        <f t="shared" si="8"/>
        <v>❌ Disc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5813</v>
      </c>
      <c r="C95" s="25" t="s">
        <v>5814</v>
      </c>
      <c r="D95" s="23" t="s">
        <v>5740</v>
      </c>
      <c r="E95" s="42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69">
        <v>46196</v>
      </c>
      <c r="O95" s="26" t="s">
        <v>55</v>
      </c>
      <c r="P95" s="26" t="s">
        <v>57</v>
      </c>
      <c r="Q95" s="26" t="s">
        <v>56</v>
      </c>
      <c r="R95" s="26" t="s">
        <v>60</v>
      </c>
      <c r="S95" s="26" t="s">
        <v>57</v>
      </c>
      <c r="T95" s="27"/>
      <c r="U95" s="28" t="s">
        <v>57</v>
      </c>
      <c r="V95" s="29" t="str">
        <f t="shared" si="6"/>
        <v>❌ Disc</v>
      </c>
      <c r="W95" s="70">
        <v>46248</v>
      </c>
      <c r="X95" s="30" t="s">
        <v>55</v>
      </c>
      <c r="Y95" s="30" t="s">
        <v>57</v>
      </c>
      <c r="Z95" s="30" t="s">
        <v>56</v>
      </c>
      <c r="AA95" s="30" t="s">
        <v>60</v>
      </c>
      <c r="AB95" s="30" t="s">
        <v>57</v>
      </c>
      <c r="AC95" s="27"/>
      <c r="AD95" s="31" t="s">
        <v>57</v>
      </c>
      <c r="AE95" s="32" t="str">
        <f t="shared" si="7"/>
        <v>❌ Disc</v>
      </c>
      <c r="AF95" s="33" t="s">
        <v>61</v>
      </c>
      <c r="AG95" s="33" t="s">
        <v>55</v>
      </c>
      <c r="AH95" s="33" t="s">
        <v>57</v>
      </c>
      <c r="AI95" s="33" t="s">
        <v>56</v>
      </c>
      <c r="AJ95" s="33" t="s">
        <v>60</v>
      </c>
      <c r="AK95" s="33" t="s">
        <v>57</v>
      </c>
      <c r="AL95" s="27"/>
      <c r="AM95" s="34" t="s">
        <v>57</v>
      </c>
      <c r="AN95" s="35" t="str">
        <f t="shared" si="8"/>
        <v>❌ Disc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5815</v>
      </c>
      <c r="C96" s="41" t="s">
        <v>5816</v>
      </c>
      <c r="D96" s="39" t="s">
        <v>5740</v>
      </c>
      <c r="E96" s="42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69">
        <v>46196</v>
      </c>
      <c r="O96" s="26" t="s">
        <v>55</v>
      </c>
      <c r="P96" s="26" t="s">
        <v>57</v>
      </c>
      <c r="Q96" s="26" t="s">
        <v>56</v>
      </c>
      <c r="R96" s="26" t="s">
        <v>60</v>
      </c>
      <c r="S96" s="26" t="s">
        <v>57</v>
      </c>
      <c r="T96" s="27"/>
      <c r="U96" s="28" t="s">
        <v>57</v>
      </c>
      <c r="V96" s="29" t="str">
        <f t="shared" si="6"/>
        <v>❌ Disc</v>
      </c>
      <c r="W96" s="70">
        <v>46248</v>
      </c>
      <c r="X96" s="30" t="s">
        <v>55</v>
      </c>
      <c r="Y96" s="30" t="s">
        <v>57</v>
      </c>
      <c r="Z96" s="30" t="s">
        <v>56</v>
      </c>
      <c r="AA96" s="30" t="s">
        <v>60</v>
      </c>
      <c r="AB96" s="30" t="s">
        <v>57</v>
      </c>
      <c r="AC96" s="27"/>
      <c r="AD96" s="31" t="s">
        <v>57</v>
      </c>
      <c r="AE96" s="32" t="str">
        <f t="shared" si="7"/>
        <v>❌ Disc</v>
      </c>
      <c r="AF96" s="33" t="s">
        <v>61</v>
      </c>
      <c r="AG96" s="33" t="s">
        <v>55</v>
      </c>
      <c r="AH96" s="33" t="s">
        <v>57</v>
      </c>
      <c r="AI96" s="33" t="s">
        <v>56</v>
      </c>
      <c r="AJ96" s="33" t="s">
        <v>60</v>
      </c>
      <c r="AK96" s="33" t="s">
        <v>57</v>
      </c>
      <c r="AL96" s="27"/>
      <c r="AM96" s="34" t="s">
        <v>57</v>
      </c>
      <c r="AN96" s="35" t="str">
        <f t="shared" si="8"/>
        <v>❌ Disc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5817</v>
      </c>
      <c r="C97" s="25" t="s">
        <v>5818</v>
      </c>
      <c r="D97" s="23" t="s">
        <v>5740</v>
      </c>
      <c r="E97" s="42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69">
        <v>46196</v>
      </c>
      <c r="O97" s="26" t="s">
        <v>55</v>
      </c>
      <c r="P97" s="26" t="s">
        <v>57</v>
      </c>
      <c r="Q97" s="26" t="s">
        <v>56</v>
      </c>
      <c r="R97" s="26" t="s">
        <v>60</v>
      </c>
      <c r="S97" s="26" t="s">
        <v>57</v>
      </c>
      <c r="T97" s="27"/>
      <c r="U97" s="28" t="s">
        <v>57</v>
      </c>
      <c r="V97" s="29" t="str">
        <f t="shared" si="6"/>
        <v>❌ Disc</v>
      </c>
      <c r="W97" s="70">
        <v>46248</v>
      </c>
      <c r="X97" s="30" t="s">
        <v>55</v>
      </c>
      <c r="Y97" s="30" t="s">
        <v>57</v>
      </c>
      <c r="Z97" s="30" t="s">
        <v>56</v>
      </c>
      <c r="AA97" s="30" t="s">
        <v>60</v>
      </c>
      <c r="AB97" s="30" t="s">
        <v>57</v>
      </c>
      <c r="AC97" s="27"/>
      <c r="AD97" s="31" t="s">
        <v>57</v>
      </c>
      <c r="AE97" s="32" t="str">
        <f t="shared" si="7"/>
        <v>❌ Disc</v>
      </c>
      <c r="AF97" s="33" t="s">
        <v>61</v>
      </c>
      <c r="AG97" s="33" t="s">
        <v>55</v>
      </c>
      <c r="AH97" s="33" t="s">
        <v>57</v>
      </c>
      <c r="AI97" s="33" t="s">
        <v>56</v>
      </c>
      <c r="AJ97" s="33" t="s">
        <v>60</v>
      </c>
      <c r="AK97" s="33" t="s">
        <v>57</v>
      </c>
      <c r="AL97" s="27"/>
      <c r="AM97" s="34" t="s">
        <v>57</v>
      </c>
      <c r="AN97" s="35" t="str">
        <f t="shared" si="8"/>
        <v>❌ Disc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5819</v>
      </c>
      <c r="C98" s="41" t="s">
        <v>5820</v>
      </c>
      <c r="D98" s="39" t="s">
        <v>5821</v>
      </c>
      <c r="E98" s="42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69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70">
        <v>46248</v>
      </c>
      <c r="X98" s="30" t="s">
        <v>55</v>
      </c>
      <c r="Y98" s="30" t="s">
        <v>56</v>
      </c>
      <c r="Z98" s="30" t="s">
        <v>57</v>
      </c>
      <c r="AA98" s="30" t="s">
        <v>58</v>
      </c>
      <c r="AB98" s="30" t="s">
        <v>56</v>
      </c>
      <c r="AC98" s="27"/>
      <c r="AD98" s="31" t="s">
        <v>57</v>
      </c>
      <c r="AE98" s="32" t="str">
        <f t="shared" si="7"/>
        <v>✓ OK</v>
      </c>
      <c r="AF98" s="33" t="s">
        <v>61</v>
      </c>
      <c r="AG98" s="33" t="s">
        <v>55</v>
      </c>
      <c r="AH98" s="33" t="s">
        <v>56</v>
      </c>
      <c r="AI98" s="33" t="s">
        <v>57</v>
      </c>
      <c r="AJ98" s="33" t="s">
        <v>58</v>
      </c>
      <c r="AK98" s="33" t="s">
        <v>56</v>
      </c>
      <c r="AL98" s="27"/>
      <c r="AM98" s="34" t="s">
        <v>57</v>
      </c>
      <c r="AN98" s="35" t="str">
        <f t="shared" si="8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5822</v>
      </c>
      <c r="C99" s="25" t="s">
        <v>5823</v>
      </c>
      <c r="D99" s="23" t="s">
        <v>5821</v>
      </c>
      <c r="E99" s="42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69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70">
        <v>46248</v>
      </c>
      <c r="X99" s="30" t="s">
        <v>55</v>
      </c>
      <c r="Y99" s="30" t="s">
        <v>56</v>
      </c>
      <c r="Z99" s="30" t="s">
        <v>57</v>
      </c>
      <c r="AA99" s="30" t="s">
        <v>58</v>
      </c>
      <c r="AB99" s="30" t="s">
        <v>56</v>
      </c>
      <c r="AC99" s="27"/>
      <c r="AD99" s="31" t="s">
        <v>57</v>
      </c>
      <c r="AE99" s="32" t="str">
        <f t="shared" si="7"/>
        <v>✓ OK</v>
      </c>
      <c r="AF99" s="33" t="s">
        <v>61</v>
      </c>
      <c r="AG99" s="33" t="s">
        <v>55</v>
      </c>
      <c r="AH99" s="33" t="s">
        <v>56</v>
      </c>
      <c r="AI99" s="33" t="s">
        <v>57</v>
      </c>
      <c r="AJ99" s="33" t="s">
        <v>58</v>
      </c>
      <c r="AK99" s="33" t="s">
        <v>56</v>
      </c>
      <c r="AL99" s="27"/>
      <c r="AM99" s="34" t="s">
        <v>57</v>
      </c>
      <c r="AN99" s="35" t="str">
        <f t="shared" si="8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5824</v>
      </c>
      <c r="C100" s="41" t="s">
        <v>5825</v>
      </c>
      <c r="D100" s="39" t="s">
        <v>5821</v>
      </c>
      <c r="E100" s="42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69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70">
        <v>46248</v>
      </c>
      <c r="X100" s="30" t="s">
        <v>55</v>
      </c>
      <c r="Y100" s="30" t="s">
        <v>56</v>
      </c>
      <c r="Z100" s="30" t="s">
        <v>57</v>
      </c>
      <c r="AA100" s="30" t="s">
        <v>58</v>
      </c>
      <c r="AB100" s="30" t="s">
        <v>56</v>
      </c>
      <c r="AC100" s="27"/>
      <c r="AD100" s="31" t="s">
        <v>57</v>
      </c>
      <c r="AE100" s="32" t="str">
        <f t="shared" si="7"/>
        <v>✓ OK</v>
      </c>
      <c r="AF100" s="33" t="s">
        <v>61</v>
      </c>
      <c r="AG100" s="33" t="s">
        <v>55</v>
      </c>
      <c r="AH100" s="33" t="s">
        <v>56</v>
      </c>
      <c r="AI100" s="33" t="s">
        <v>57</v>
      </c>
      <c r="AJ100" s="33" t="s">
        <v>58</v>
      </c>
      <c r="AK100" s="33" t="s">
        <v>56</v>
      </c>
      <c r="AL100" s="27"/>
      <c r="AM100" s="34" t="s">
        <v>57</v>
      </c>
      <c r="AN100" s="35" t="str">
        <f t="shared" si="8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5826</v>
      </c>
      <c r="C101" s="25" t="s">
        <v>5827</v>
      </c>
      <c r="D101" s="23" t="s">
        <v>5821</v>
      </c>
      <c r="E101" s="42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69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70">
        <v>46248</v>
      </c>
      <c r="X101" s="30" t="s">
        <v>55</v>
      </c>
      <c r="Y101" s="30" t="s">
        <v>56</v>
      </c>
      <c r="Z101" s="30" t="s">
        <v>57</v>
      </c>
      <c r="AA101" s="30" t="s">
        <v>58</v>
      </c>
      <c r="AB101" s="30" t="s">
        <v>56</v>
      </c>
      <c r="AC101" s="27"/>
      <c r="AD101" s="31" t="s">
        <v>57</v>
      </c>
      <c r="AE101" s="32" t="str">
        <f t="shared" si="7"/>
        <v>✓ OK</v>
      </c>
      <c r="AF101" s="33" t="s">
        <v>61</v>
      </c>
      <c r="AG101" s="33" t="s">
        <v>55</v>
      </c>
      <c r="AH101" s="33" t="s">
        <v>56</v>
      </c>
      <c r="AI101" s="33" t="s">
        <v>57</v>
      </c>
      <c r="AJ101" s="33" t="s">
        <v>58</v>
      </c>
      <c r="AK101" s="33" t="s">
        <v>56</v>
      </c>
      <c r="AL101" s="27"/>
      <c r="AM101" s="34" t="s">
        <v>57</v>
      </c>
      <c r="AN101" s="35" t="str">
        <f t="shared" si="8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5828</v>
      </c>
      <c r="C102" s="41" t="s">
        <v>5829</v>
      </c>
      <c r="D102" s="39" t="s">
        <v>5821</v>
      </c>
      <c r="E102" s="42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69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70">
        <v>46248</v>
      </c>
      <c r="X102" s="30" t="s">
        <v>55</v>
      </c>
      <c r="Y102" s="30" t="s">
        <v>56</v>
      </c>
      <c r="Z102" s="30" t="s">
        <v>57</v>
      </c>
      <c r="AA102" s="30" t="s">
        <v>58</v>
      </c>
      <c r="AB102" s="30" t="s">
        <v>56</v>
      </c>
      <c r="AC102" s="27"/>
      <c r="AD102" s="31" t="s">
        <v>57</v>
      </c>
      <c r="AE102" s="32" t="str">
        <f t="shared" si="7"/>
        <v>✓ OK</v>
      </c>
      <c r="AF102" s="33" t="s">
        <v>61</v>
      </c>
      <c r="AG102" s="33" t="s">
        <v>55</v>
      </c>
      <c r="AH102" s="33" t="s">
        <v>56</v>
      </c>
      <c r="AI102" s="33" t="s">
        <v>57</v>
      </c>
      <c r="AJ102" s="33" t="s">
        <v>58</v>
      </c>
      <c r="AK102" s="33" t="s">
        <v>56</v>
      </c>
      <c r="AL102" s="27"/>
      <c r="AM102" s="34" t="s">
        <v>57</v>
      </c>
      <c r="AN102" s="35" t="str">
        <f t="shared" si="8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5830</v>
      </c>
      <c r="C103" s="25" t="s">
        <v>5831</v>
      </c>
      <c r="D103" s="23" t="s">
        <v>5821</v>
      </c>
      <c r="E103" s="42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69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70">
        <v>46248</v>
      </c>
      <c r="X103" s="30" t="s">
        <v>55</v>
      </c>
      <c r="Y103" s="30" t="s">
        <v>56</v>
      </c>
      <c r="Z103" s="30" t="s">
        <v>57</v>
      </c>
      <c r="AA103" s="30" t="s">
        <v>58</v>
      </c>
      <c r="AB103" s="30" t="s">
        <v>56</v>
      </c>
      <c r="AC103" s="27"/>
      <c r="AD103" s="31" t="s">
        <v>57</v>
      </c>
      <c r="AE103" s="32" t="str">
        <f t="shared" si="7"/>
        <v>✓ OK</v>
      </c>
      <c r="AF103" s="33" t="s">
        <v>61</v>
      </c>
      <c r="AG103" s="33" t="s">
        <v>55</v>
      </c>
      <c r="AH103" s="33" t="s">
        <v>56</v>
      </c>
      <c r="AI103" s="33" t="s">
        <v>57</v>
      </c>
      <c r="AJ103" s="33" t="s">
        <v>58</v>
      </c>
      <c r="AK103" s="33" t="s">
        <v>56</v>
      </c>
      <c r="AL103" s="27"/>
      <c r="AM103" s="34" t="s">
        <v>57</v>
      </c>
      <c r="AN103" s="35" t="str">
        <f t="shared" si="8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5832</v>
      </c>
      <c r="C104" s="41" t="s">
        <v>5833</v>
      </c>
      <c r="D104" s="39" t="s">
        <v>5821</v>
      </c>
      <c r="E104" s="42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69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70">
        <v>46248</v>
      </c>
      <c r="X104" s="30" t="s">
        <v>55</v>
      </c>
      <c r="Y104" s="30" t="s">
        <v>56</v>
      </c>
      <c r="Z104" s="30" t="s">
        <v>57</v>
      </c>
      <c r="AA104" s="30" t="s">
        <v>58</v>
      </c>
      <c r="AB104" s="30" t="s">
        <v>56</v>
      </c>
      <c r="AC104" s="27"/>
      <c r="AD104" s="31" t="s">
        <v>57</v>
      </c>
      <c r="AE104" s="32" t="str">
        <f t="shared" si="7"/>
        <v>✓ OK</v>
      </c>
      <c r="AF104" s="33" t="s">
        <v>61</v>
      </c>
      <c r="AG104" s="33" t="s">
        <v>55</v>
      </c>
      <c r="AH104" s="33" t="s">
        <v>56</v>
      </c>
      <c r="AI104" s="33" t="s">
        <v>57</v>
      </c>
      <c r="AJ104" s="33" t="s">
        <v>58</v>
      </c>
      <c r="AK104" s="33" t="s">
        <v>56</v>
      </c>
      <c r="AL104" s="27"/>
      <c r="AM104" s="34" t="s">
        <v>57</v>
      </c>
      <c r="AN104" s="35" t="str">
        <f t="shared" si="8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5834</v>
      </c>
      <c r="C105" s="25" t="s">
        <v>5835</v>
      </c>
      <c r="D105" s="23" t="s">
        <v>5821</v>
      </c>
      <c r="E105" s="42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69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70">
        <v>46248</v>
      </c>
      <c r="X105" s="30" t="s">
        <v>55</v>
      </c>
      <c r="Y105" s="30" t="s">
        <v>56</v>
      </c>
      <c r="Z105" s="30" t="s">
        <v>57</v>
      </c>
      <c r="AA105" s="30" t="s">
        <v>58</v>
      </c>
      <c r="AB105" s="30" t="s">
        <v>56</v>
      </c>
      <c r="AC105" s="27"/>
      <c r="AD105" s="31" t="s">
        <v>57</v>
      </c>
      <c r="AE105" s="32" t="str">
        <f t="shared" si="7"/>
        <v>✓ OK</v>
      </c>
      <c r="AF105" s="33" t="s">
        <v>61</v>
      </c>
      <c r="AG105" s="33" t="s">
        <v>55</v>
      </c>
      <c r="AH105" s="33" t="s">
        <v>56</v>
      </c>
      <c r="AI105" s="33" t="s">
        <v>57</v>
      </c>
      <c r="AJ105" s="33" t="s">
        <v>58</v>
      </c>
      <c r="AK105" s="33" t="s">
        <v>56</v>
      </c>
      <c r="AL105" s="27"/>
      <c r="AM105" s="34" t="s">
        <v>57</v>
      </c>
      <c r="AN105" s="35" t="str">
        <f t="shared" si="8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5836</v>
      </c>
      <c r="C106" s="41" t="s">
        <v>5837</v>
      </c>
      <c r="D106" s="39" t="s">
        <v>5821</v>
      </c>
      <c r="E106" s="42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69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70">
        <v>46248</v>
      </c>
      <c r="X106" s="30" t="s">
        <v>55</v>
      </c>
      <c r="Y106" s="30" t="s">
        <v>56</v>
      </c>
      <c r="Z106" s="30" t="s">
        <v>57</v>
      </c>
      <c r="AA106" s="30" t="s">
        <v>58</v>
      </c>
      <c r="AB106" s="30" t="s">
        <v>56</v>
      </c>
      <c r="AC106" s="27"/>
      <c r="AD106" s="31" t="s">
        <v>57</v>
      </c>
      <c r="AE106" s="32" t="str">
        <f t="shared" si="7"/>
        <v>✓ OK</v>
      </c>
      <c r="AF106" s="33" t="s">
        <v>61</v>
      </c>
      <c r="AG106" s="33" t="s">
        <v>55</v>
      </c>
      <c r="AH106" s="33" t="s">
        <v>56</v>
      </c>
      <c r="AI106" s="33" t="s">
        <v>57</v>
      </c>
      <c r="AJ106" s="33" t="s">
        <v>58</v>
      </c>
      <c r="AK106" s="33" t="s">
        <v>56</v>
      </c>
      <c r="AL106" s="27"/>
      <c r="AM106" s="34" t="s">
        <v>57</v>
      </c>
      <c r="AN106" s="35" t="str">
        <f t="shared" si="8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5838</v>
      </c>
      <c r="C107" s="25" t="s">
        <v>5839</v>
      </c>
      <c r="D107" s="23" t="s">
        <v>5821</v>
      </c>
      <c r="E107" s="42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69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70">
        <v>46248</v>
      </c>
      <c r="X107" s="30" t="s">
        <v>55</v>
      </c>
      <c r="Y107" s="30" t="s">
        <v>56</v>
      </c>
      <c r="Z107" s="30" t="s">
        <v>57</v>
      </c>
      <c r="AA107" s="30" t="s">
        <v>58</v>
      </c>
      <c r="AB107" s="30" t="s">
        <v>56</v>
      </c>
      <c r="AC107" s="27"/>
      <c r="AD107" s="31" t="s">
        <v>57</v>
      </c>
      <c r="AE107" s="32" t="str">
        <f t="shared" si="7"/>
        <v>✓ OK</v>
      </c>
      <c r="AF107" s="33" t="s">
        <v>61</v>
      </c>
      <c r="AG107" s="33" t="s">
        <v>55</v>
      </c>
      <c r="AH107" s="33" t="s">
        <v>56</v>
      </c>
      <c r="AI107" s="33" t="s">
        <v>57</v>
      </c>
      <c r="AJ107" s="33" t="s">
        <v>58</v>
      </c>
      <c r="AK107" s="33" t="s">
        <v>56</v>
      </c>
      <c r="AL107" s="27"/>
      <c r="AM107" s="34" t="s">
        <v>57</v>
      </c>
      <c r="AN107" s="35" t="str">
        <f t="shared" si="8"/>
        <v>✓ OK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5840</v>
      </c>
      <c r="C108" s="41" t="s">
        <v>5841</v>
      </c>
      <c r="D108" s="39" t="s">
        <v>5821</v>
      </c>
      <c r="E108" s="42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69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70">
        <v>46248</v>
      </c>
      <c r="X108" s="30" t="s">
        <v>55</v>
      </c>
      <c r="Y108" s="30" t="s">
        <v>56</v>
      </c>
      <c r="Z108" s="30" t="s">
        <v>57</v>
      </c>
      <c r="AA108" s="30" t="s">
        <v>58</v>
      </c>
      <c r="AB108" s="30" t="s">
        <v>56</v>
      </c>
      <c r="AC108" s="27"/>
      <c r="AD108" s="31" t="s">
        <v>57</v>
      </c>
      <c r="AE108" s="32" t="str">
        <f t="shared" si="7"/>
        <v>✓ OK</v>
      </c>
      <c r="AF108" s="33" t="s">
        <v>61</v>
      </c>
      <c r="AG108" s="33" t="s">
        <v>55</v>
      </c>
      <c r="AH108" s="33" t="s">
        <v>56</v>
      </c>
      <c r="AI108" s="33" t="s">
        <v>57</v>
      </c>
      <c r="AJ108" s="33" t="s">
        <v>58</v>
      </c>
      <c r="AK108" s="33" t="s">
        <v>56</v>
      </c>
      <c r="AL108" s="27"/>
      <c r="AM108" s="34" t="s">
        <v>57</v>
      </c>
      <c r="AN108" s="35" t="str">
        <f t="shared" si="8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5842</v>
      </c>
      <c r="C109" s="25" t="s">
        <v>5843</v>
      </c>
      <c r="D109" s="23" t="s">
        <v>5821</v>
      </c>
      <c r="E109" s="42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69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70">
        <v>46248</v>
      </c>
      <c r="X109" s="30" t="s">
        <v>55</v>
      </c>
      <c r="Y109" s="30" t="s">
        <v>56</v>
      </c>
      <c r="Z109" s="30" t="s">
        <v>57</v>
      </c>
      <c r="AA109" s="30" t="s">
        <v>58</v>
      </c>
      <c r="AB109" s="30" t="s">
        <v>56</v>
      </c>
      <c r="AC109" s="27"/>
      <c r="AD109" s="31" t="s">
        <v>57</v>
      </c>
      <c r="AE109" s="32" t="str">
        <f t="shared" si="7"/>
        <v>✓ OK</v>
      </c>
      <c r="AF109" s="33" t="s">
        <v>61</v>
      </c>
      <c r="AG109" s="33" t="s">
        <v>55</v>
      </c>
      <c r="AH109" s="33" t="s">
        <v>56</v>
      </c>
      <c r="AI109" s="33" t="s">
        <v>57</v>
      </c>
      <c r="AJ109" s="33" t="s">
        <v>58</v>
      </c>
      <c r="AK109" s="33" t="s">
        <v>56</v>
      </c>
      <c r="AL109" s="27"/>
      <c r="AM109" s="34" t="s">
        <v>57</v>
      </c>
      <c r="AN109" s="35" t="str">
        <f t="shared" si="8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5844</v>
      </c>
      <c r="C110" s="41" t="s">
        <v>5845</v>
      </c>
      <c r="D110" s="39" t="s">
        <v>5821</v>
      </c>
      <c r="E110" s="42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69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70">
        <v>46248</v>
      </c>
      <c r="X110" s="30" t="s">
        <v>55</v>
      </c>
      <c r="Y110" s="30" t="s">
        <v>56</v>
      </c>
      <c r="Z110" s="30" t="s">
        <v>57</v>
      </c>
      <c r="AA110" s="30" t="s">
        <v>58</v>
      </c>
      <c r="AB110" s="30" t="s">
        <v>56</v>
      </c>
      <c r="AC110" s="27"/>
      <c r="AD110" s="31" t="s">
        <v>57</v>
      </c>
      <c r="AE110" s="32" t="str">
        <f t="shared" si="7"/>
        <v>✓ OK</v>
      </c>
      <c r="AF110" s="33" t="s">
        <v>61</v>
      </c>
      <c r="AG110" s="33" t="s">
        <v>55</v>
      </c>
      <c r="AH110" s="33" t="s">
        <v>56</v>
      </c>
      <c r="AI110" s="33" t="s">
        <v>57</v>
      </c>
      <c r="AJ110" s="33" t="s">
        <v>58</v>
      </c>
      <c r="AK110" s="33" t="s">
        <v>56</v>
      </c>
      <c r="AL110" s="27"/>
      <c r="AM110" s="34" t="s">
        <v>57</v>
      </c>
      <c r="AN110" s="35" t="str">
        <f t="shared" si="8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5846</v>
      </c>
      <c r="C111" s="25" t="s">
        <v>5847</v>
      </c>
      <c r="D111" s="23" t="s">
        <v>5821</v>
      </c>
      <c r="E111" s="42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69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70">
        <v>46248</v>
      </c>
      <c r="X111" s="30" t="s">
        <v>55</v>
      </c>
      <c r="Y111" s="30" t="s">
        <v>56</v>
      </c>
      <c r="Z111" s="30" t="s">
        <v>57</v>
      </c>
      <c r="AA111" s="30" t="s">
        <v>58</v>
      </c>
      <c r="AB111" s="30" t="s">
        <v>56</v>
      </c>
      <c r="AC111" s="27"/>
      <c r="AD111" s="31" t="s">
        <v>57</v>
      </c>
      <c r="AE111" s="32" t="str">
        <f t="shared" si="7"/>
        <v>✓ OK</v>
      </c>
      <c r="AF111" s="33" t="s">
        <v>61</v>
      </c>
      <c r="AG111" s="33" t="s">
        <v>55</v>
      </c>
      <c r="AH111" s="33" t="s">
        <v>56</v>
      </c>
      <c r="AI111" s="33" t="s">
        <v>57</v>
      </c>
      <c r="AJ111" s="33" t="s">
        <v>58</v>
      </c>
      <c r="AK111" s="33" t="s">
        <v>56</v>
      </c>
      <c r="AL111" s="27"/>
      <c r="AM111" s="34" t="s">
        <v>57</v>
      </c>
      <c r="AN111" s="35" t="str">
        <f t="shared" si="8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5848</v>
      </c>
      <c r="C112" s="41" t="s">
        <v>5849</v>
      </c>
      <c r="D112" s="39" t="s">
        <v>5821</v>
      </c>
      <c r="E112" s="42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69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70">
        <v>46248</v>
      </c>
      <c r="X112" s="30" t="s">
        <v>55</v>
      </c>
      <c r="Y112" s="30" t="s">
        <v>56</v>
      </c>
      <c r="Z112" s="30" t="s">
        <v>57</v>
      </c>
      <c r="AA112" s="30" t="s">
        <v>58</v>
      </c>
      <c r="AB112" s="30" t="s">
        <v>56</v>
      </c>
      <c r="AC112" s="27"/>
      <c r="AD112" s="31" t="s">
        <v>57</v>
      </c>
      <c r="AE112" s="32" t="str">
        <f t="shared" si="7"/>
        <v>✓ OK</v>
      </c>
      <c r="AF112" s="33" t="s">
        <v>61</v>
      </c>
      <c r="AG112" s="33" t="s">
        <v>55</v>
      </c>
      <c r="AH112" s="33" t="s">
        <v>56</v>
      </c>
      <c r="AI112" s="33" t="s">
        <v>57</v>
      </c>
      <c r="AJ112" s="33" t="s">
        <v>58</v>
      </c>
      <c r="AK112" s="33" t="s">
        <v>56</v>
      </c>
      <c r="AL112" s="27"/>
      <c r="AM112" s="34" t="s">
        <v>57</v>
      </c>
      <c r="AN112" s="35" t="str">
        <f t="shared" si="8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5850</v>
      </c>
      <c r="C113" s="25" t="s">
        <v>5851</v>
      </c>
      <c r="D113" s="23" t="s">
        <v>5821</v>
      </c>
      <c r="E113" s="42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69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70">
        <v>46248</v>
      </c>
      <c r="X113" s="30" t="s">
        <v>55</v>
      </c>
      <c r="Y113" s="30" t="s">
        <v>56</v>
      </c>
      <c r="Z113" s="30" t="s">
        <v>57</v>
      </c>
      <c r="AA113" s="30" t="s">
        <v>58</v>
      </c>
      <c r="AB113" s="30" t="s">
        <v>56</v>
      </c>
      <c r="AC113" s="27"/>
      <c r="AD113" s="31" t="s">
        <v>57</v>
      </c>
      <c r="AE113" s="32" t="str">
        <f t="shared" si="7"/>
        <v>✓ OK</v>
      </c>
      <c r="AF113" s="33" t="s">
        <v>61</v>
      </c>
      <c r="AG113" s="33" t="s">
        <v>55</v>
      </c>
      <c r="AH113" s="33" t="s">
        <v>56</v>
      </c>
      <c r="AI113" s="33" t="s">
        <v>57</v>
      </c>
      <c r="AJ113" s="33" t="s">
        <v>58</v>
      </c>
      <c r="AK113" s="33" t="s">
        <v>56</v>
      </c>
      <c r="AL113" s="27"/>
      <c r="AM113" s="34" t="s">
        <v>57</v>
      </c>
      <c r="AN113" s="35" t="str">
        <f t="shared" si="8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5852</v>
      </c>
      <c r="C114" s="41" t="s">
        <v>5853</v>
      </c>
      <c r="D114" s="39" t="s">
        <v>5821</v>
      </c>
      <c r="E114" s="42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69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70">
        <v>46248</v>
      </c>
      <c r="X114" s="30" t="s">
        <v>55</v>
      </c>
      <c r="Y114" s="30" t="s">
        <v>56</v>
      </c>
      <c r="Z114" s="30" t="s">
        <v>57</v>
      </c>
      <c r="AA114" s="30" t="s">
        <v>58</v>
      </c>
      <c r="AB114" s="30" t="s">
        <v>56</v>
      </c>
      <c r="AC114" s="27"/>
      <c r="AD114" s="31" t="s">
        <v>57</v>
      </c>
      <c r="AE114" s="32" t="str">
        <f t="shared" si="7"/>
        <v>✓ OK</v>
      </c>
      <c r="AF114" s="33" t="s">
        <v>61</v>
      </c>
      <c r="AG114" s="33" t="s">
        <v>55</v>
      </c>
      <c r="AH114" s="33" t="s">
        <v>56</v>
      </c>
      <c r="AI114" s="33" t="s">
        <v>57</v>
      </c>
      <c r="AJ114" s="33" t="s">
        <v>58</v>
      </c>
      <c r="AK114" s="33" t="s">
        <v>56</v>
      </c>
      <c r="AL114" s="27"/>
      <c r="AM114" s="34" t="s">
        <v>57</v>
      </c>
      <c r="AN114" s="35" t="str">
        <f t="shared" si="8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5854</v>
      </c>
      <c r="C115" s="25" t="s">
        <v>5855</v>
      </c>
      <c r="D115" s="23" t="s">
        <v>5821</v>
      </c>
      <c r="E115" s="42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69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70">
        <v>46248</v>
      </c>
      <c r="X115" s="30" t="s">
        <v>55</v>
      </c>
      <c r="Y115" s="30" t="s">
        <v>56</v>
      </c>
      <c r="Z115" s="30" t="s">
        <v>57</v>
      </c>
      <c r="AA115" s="30" t="s">
        <v>58</v>
      </c>
      <c r="AB115" s="30" t="s">
        <v>56</v>
      </c>
      <c r="AC115" s="27"/>
      <c r="AD115" s="31" t="s">
        <v>57</v>
      </c>
      <c r="AE115" s="32" t="str">
        <f t="shared" si="7"/>
        <v>✓ OK</v>
      </c>
      <c r="AF115" s="33" t="s">
        <v>61</v>
      </c>
      <c r="AG115" s="33" t="s">
        <v>55</v>
      </c>
      <c r="AH115" s="33" t="s">
        <v>56</v>
      </c>
      <c r="AI115" s="33" t="s">
        <v>57</v>
      </c>
      <c r="AJ115" s="33" t="s">
        <v>58</v>
      </c>
      <c r="AK115" s="33" t="s">
        <v>56</v>
      </c>
      <c r="AL115" s="27"/>
      <c r="AM115" s="34" t="s">
        <v>57</v>
      </c>
      <c r="AN115" s="35" t="str">
        <f t="shared" si="8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5856</v>
      </c>
      <c r="C116" s="41" t="s">
        <v>5857</v>
      </c>
      <c r="D116" s="39" t="s">
        <v>5821</v>
      </c>
      <c r="E116" s="42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69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70">
        <v>46248</v>
      </c>
      <c r="X116" s="30" t="s">
        <v>55</v>
      </c>
      <c r="Y116" s="30" t="s">
        <v>56</v>
      </c>
      <c r="Z116" s="30" t="s">
        <v>57</v>
      </c>
      <c r="AA116" s="30" t="s">
        <v>58</v>
      </c>
      <c r="AB116" s="30" t="s">
        <v>56</v>
      </c>
      <c r="AC116" s="27"/>
      <c r="AD116" s="31" t="s">
        <v>57</v>
      </c>
      <c r="AE116" s="32" t="str">
        <f t="shared" si="7"/>
        <v>✓ OK</v>
      </c>
      <c r="AF116" s="33" t="s">
        <v>61</v>
      </c>
      <c r="AG116" s="33" t="s">
        <v>55</v>
      </c>
      <c r="AH116" s="33" t="s">
        <v>56</v>
      </c>
      <c r="AI116" s="33" t="s">
        <v>57</v>
      </c>
      <c r="AJ116" s="33" t="s">
        <v>58</v>
      </c>
      <c r="AK116" s="33" t="s">
        <v>56</v>
      </c>
      <c r="AL116" s="27"/>
      <c r="AM116" s="34" t="s">
        <v>57</v>
      </c>
      <c r="AN116" s="35" t="str">
        <f t="shared" si="8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5858</v>
      </c>
      <c r="C117" s="25" t="s">
        <v>5859</v>
      </c>
      <c r="D117" s="23" t="s">
        <v>5821</v>
      </c>
      <c r="E117" s="42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69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70">
        <v>46248</v>
      </c>
      <c r="X117" s="30" t="s">
        <v>55</v>
      </c>
      <c r="Y117" s="30" t="s">
        <v>56</v>
      </c>
      <c r="Z117" s="30" t="s">
        <v>57</v>
      </c>
      <c r="AA117" s="30" t="s">
        <v>58</v>
      </c>
      <c r="AB117" s="30" t="s">
        <v>56</v>
      </c>
      <c r="AC117" s="27"/>
      <c r="AD117" s="31" t="s">
        <v>57</v>
      </c>
      <c r="AE117" s="32" t="str">
        <f t="shared" si="7"/>
        <v>✓ OK</v>
      </c>
      <c r="AF117" s="33" t="s">
        <v>61</v>
      </c>
      <c r="AG117" s="33" t="s">
        <v>55</v>
      </c>
      <c r="AH117" s="33" t="s">
        <v>56</v>
      </c>
      <c r="AI117" s="33" t="s">
        <v>57</v>
      </c>
      <c r="AJ117" s="33" t="s">
        <v>58</v>
      </c>
      <c r="AK117" s="33" t="s">
        <v>56</v>
      </c>
      <c r="AL117" s="27"/>
      <c r="AM117" s="34" t="s">
        <v>57</v>
      </c>
      <c r="AN117" s="35" t="str">
        <f t="shared" si="8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5860</v>
      </c>
      <c r="C118" s="41" t="s">
        <v>5861</v>
      </c>
      <c r="D118" s="39" t="s">
        <v>5821</v>
      </c>
      <c r="E118" s="42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69">
        <v>46196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70">
        <v>46248</v>
      </c>
      <c r="X118" s="30" t="s">
        <v>55</v>
      </c>
      <c r="Y118" s="30" t="s">
        <v>56</v>
      </c>
      <c r="Z118" s="30" t="s">
        <v>57</v>
      </c>
      <c r="AA118" s="30" t="s">
        <v>58</v>
      </c>
      <c r="AB118" s="30" t="s">
        <v>56</v>
      </c>
      <c r="AC118" s="27"/>
      <c r="AD118" s="31" t="s">
        <v>57</v>
      </c>
      <c r="AE118" s="32" t="str">
        <f t="shared" si="7"/>
        <v>✓ OK</v>
      </c>
      <c r="AF118" s="33" t="s">
        <v>61</v>
      </c>
      <c r="AG118" s="33" t="s">
        <v>55</v>
      </c>
      <c r="AH118" s="33" t="s">
        <v>56</v>
      </c>
      <c r="AI118" s="33" t="s">
        <v>57</v>
      </c>
      <c r="AJ118" s="33" t="s">
        <v>58</v>
      </c>
      <c r="AK118" s="33" t="s">
        <v>56</v>
      </c>
      <c r="AL118" s="27"/>
      <c r="AM118" s="34" t="s">
        <v>57</v>
      </c>
      <c r="AN118" s="35" t="str">
        <f t="shared" si="8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5862</v>
      </c>
      <c r="C119" s="25" t="s">
        <v>5863</v>
      </c>
      <c r="D119" s="23" t="s">
        <v>5821</v>
      </c>
      <c r="E119" s="42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69">
        <v>46196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70">
        <v>46248</v>
      </c>
      <c r="X119" s="30" t="s">
        <v>55</v>
      </c>
      <c r="Y119" s="30" t="s">
        <v>56</v>
      </c>
      <c r="Z119" s="30" t="s">
        <v>57</v>
      </c>
      <c r="AA119" s="30" t="s">
        <v>58</v>
      </c>
      <c r="AB119" s="30" t="s">
        <v>56</v>
      </c>
      <c r="AC119" s="27"/>
      <c r="AD119" s="31" t="s">
        <v>57</v>
      </c>
      <c r="AE119" s="32" t="str">
        <f t="shared" si="7"/>
        <v>✓ OK</v>
      </c>
      <c r="AF119" s="33" t="s">
        <v>61</v>
      </c>
      <c r="AG119" s="33" t="s">
        <v>55</v>
      </c>
      <c r="AH119" s="33" t="s">
        <v>56</v>
      </c>
      <c r="AI119" s="33" t="s">
        <v>57</v>
      </c>
      <c r="AJ119" s="33" t="s">
        <v>58</v>
      </c>
      <c r="AK119" s="33" t="s">
        <v>56</v>
      </c>
      <c r="AL119" s="27"/>
      <c r="AM119" s="34" t="s">
        <v>57</v>
      </c>
      <c r="AN119" s="35" t="str">
        <f t="shared" si="8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5864</v>
      </c>
      <c r="C120" s="41" t="s">
        <v>5865</v>
      </c>
      <c r="D120" s="39" t="s">
        <v>5821</v>
      </c>
      <c r="E120" s="42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69">
        <v>46196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70">
        <v>46248</v>
      </c>
      <c r="X120" s="30" t="s">
        <v>55</v>
      </c>
      <c r="Y120" s="30" t="s">
        <v>56</v>
      </c>
      <c r="Z120" s="30" t="s">
        <v>57</v>
      </c>
      <c r="AA120" s="30" t="s">
        <v>58</v>
      </c>
      <c r="AB120" s="30" t="s">
        <v>56</v>
      </c>
      <c r="AC120" s="27"/>
      <c r="AD120" s="31" t="s">
        <v>57</v>
      </c>
      <c r="AE120" s="32" t="str">
        <f t="shared" si="7"/>
        <v>✓ OK</v>
      </c>
      <c r="AF120" s="33" t="s">
        <v>61</v>
      </c>
      <c r="AG120" s="33" t="s">
        <v>55</v>
      </c>
      <c r="AH120" s="33" t="s">
        <v>56</v>
      </c>
      <c r="AI120" s="33" t="s">
        <v>57</v>
      </c>
      <c r="AJ120" s="33" t="s">
        <v>58</v>
      </c>
      <c r="AK120" s="33" t="s">
        <v>56</v>
      </c>
      <c r="AL120" s="27"/>
      <c r="AM120" s="34" t="s">
        <v>57</v>
      </c>
      <c r="AN120" s="35" t="str">
        <f t="shared" si="8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5866</v>
      </c>
      <c r="C121" s="25" t="s">
        <v>5867</v>
      </c>
      <c r="D121" s="23" t="s">
        <v>5821</v>
      </c>
      <c r="E121" s="42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69">
        <v>46196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70">
        <v>46248</v>
      </c>
      <c r="X121" s="30" t="s">
        <v>55</v>
      </c>
      <c r="Y121" s="30" t="s">
        <v>56</v>
      </c>
      <c r="Z121" s="30" t="s">
        <v>57</v>
      </c>
      <c r="AA121" s="30" t="s">
        <v>58</v>
      </c>
      <c r="AB121" s="30" t="s">
        <v>56</v>
      </c>
      <c r="AC121" s="27"/>
      <c r="AD121" s="31" t="s">
        <v>57</v>
      </c>
      <c r="AE121" s="32" t="str">
        <f t="shared" si="7"/>
        <v>✓ OK</v>
      </c>
      <c r="AF121" s="33" t="s">
        <v>61</v>
      </c>
      <c r="AG121" s="33" t="s">
        <v>55</v>
      </c>
      <c r="AH121" s="33" t="s">
        <v>56</v>
      </c>
      <c r="AI121" s="33" t="s">
        <v>57</v>
      </c>
      <c r="AJ121" s="33" t="s">
        <v>58</v>
      </c>
      <c r="AK121" s="33" t="s">
        <v>56</v>
      </c>
      <c r="AL121" s="27"/>
      <c r="AM121" s="34" t="s">
        <v>57</v>
      </c>
      <c r="AN121" s="35" t="str">
        <f t="shared" si="8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5868</v>
      </c>
      <c r="C122" s="41" t="s">
        <v>5869</v>
      </c>
      <c r="D122" s="39" t="s">
        <v>5821</v>
      </c>
      <c r="E122" s="42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69">
        <v>46196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70">
        <v>46248</v>
      </c>
      <c r="X122" s="30" t="s">
        <v>55</v>
      </c>
      <c r="Y122" s="30" t="s">
        <v>56</v>
      </c>
      <c r="Z122" s="30" t="s">
        <v>57</v>
      </c>
      <c r="AA122" s="30" t="s">
        <v>58</v>
      </c>
      <c r="AB122" s="30" t="s">
        <v>56</v>
      </c>
      <c r="AC122" s="27"/>
      <c r="AD122" s="31" t="s">
        <v>57</v>
      </c>
      <c r="AE122" s="32" t="str">
        <f t="shared" si="7"/>
        <v>✓ OK</v>
      </c>
      <c r="AF122" s="33" t="s">
        <v>61</v>
      </c>
      <c r="AG122" s="33" t="s">
        <v>55</v>
      </c>
      <c r="AH122" s="33" t="s">
        <v>56</v>
      </c>
      <c r="AI122" s="33" t="s">
        <v>57</v>
      </c>
      <c r="AJ122" s="33" t="s">
        <v>58</v>
      </c>
      <c r="AK122" s="33" t="s">
        <v>56</v>
      </c>
      <c r="AL122" s="27"/>
      <c r="AM122" s="34" t="s">
        <v>57</v>
      </c>
      <c r="AN122" s="35" t="str">
        <f t="shared" si="8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5870</v>
      </c>
      <c r="C123" s="25" t="s">
        <v>5871</v>
      </c>
      <c r="D123" s="23" t="s">
        <v>5821</v>
      </c>
      <c r="E123" s="42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69">
        <v>46196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70">
        <v>46248</v>
      </c>
      <c r="X123" s="30" t="s">
        <v>55</v>
      </c>
      <c r="Y123" s="30" t="s">
        <v>56</v>
      </c>
      <c r="Z123" s="30" t="s">
        <v>57</v>
      </c>
      <c r="AA123" s="30" t="s">
        <v>58</v>
      </c>
      <c r="AB123" s="30" t="s">
        <v>56</v>
      </c>
      <c r="AC123" s="27"/>
      <c r="AD123" s="31" t="s">
        <v>57</v>
      </c>
      <c r="AE123" s="32" t="str">
        <f t="shared" si="7"/>
        <v>✓ OK</v>
      </c>
      <c r="AF123" s="33" t="s">
        <v>61</v>
      </c>
      <c r="AG123" s="33" t="s">
        <v>55</v>
      </c>
      <c r="AH123" s="33" t="s">
        <v>56</v>
      </c>
      <c r="AI123" s="33" t="s">
        <v>57</v>
      </c>
      <c r="AJ123" s="33" t="s">
        <v>58</v>
      </c>
      <c r="AK123" s="33" t="s">
        <v>56</v>
      </c>
      <c r="AL123" s="27"/>
      <c r="AM123" s="34" t="s">
        <v>57</v>
      </c>
      <c r="AN123" s="35" t="str">
        <f t="shared" si="8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5872</v>
      </c>
      <c r="C124" s="41" t="s">
        <v>5873</v>
      </c>
      <c r="D124" s="39" t="s">
        <v>5821</v>
      </c>
      <c r="E124" s="42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69">
        <v>46196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70">
        <v>46248</v>
      </c>
      <c r="X124" s="30" t="s">
        <v>55</v>
      </c>
      <c r="Y124" s="30" t="s">
        <v>56</v>
      </c>
      <c r="Z124" s="30" t="s">
        <v>57</v>
      </c>
      <c r="AA124" s="30" t="s">
        <v>58</v>
      </c>
      <c r="AB124" s="30" t="s">
        <v>56</v>
      </c>
      <c r="AC124" s="27"/>
      <c r="AD124" s="31" t="s">
        <v>57</v>
      </c>
      <c r="AE124" s="32" t="str">
        <f t="shared" si="7"/>
        <v>✓ OK</v>
      </c>
      <c r="AF124" s="33" t="s">
        <v>61</v>
      </c>
      <c r="AG124" s="33" t="s">
        <v>55</v>
      </c>
      <c r="AH124" s="33" t="s">
        <v>56</v>
      </c>
      <c r="AI124" s="33" t="s">
        <v>57</v>
      </c>
      <c r="AJ124" s="33" t="s">
        <v>58</v>
      </c>
      <c r="AK124" s="33" t="s">
        <v>56</v>
      </c>
      <c r="AL124" s="27"/>
      <c r="AM124" s="34" t="s">
        <v>57</v>
      </c>
      <c r="AN124" s="35" t="str">
        <f t="shared" si="8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5874</v>
      </c>
      <c r="C125" s="25" t="s">
        <v>5875</v>
      </c>
      <c r="D125" s="23" t="s">
        <v>5821</v>
      </c>
      <c r="E125" s="42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69">
        <v>46196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70">
        <v>46248</v>
      </c>
      <c r="X125" s="30" t="s">
        <v>55</v>
      </c>
      <c r="Y125" s="30" t="s">
        <v>56</v>
      </c>
      <c r="Z125" s="30" t="s">
        <v>57</v>
      </c>
      <c r="AA125" s="30" t="s">
        <v>58</v>
      </c>
      <c r="AB125" s="30" t="s">
        <v>56</v>
      </c>
      <c r="AC125" s="27"/>
      <c r="AD125" s="31" t="s">
        <v>57</v>
      </c>
      <c r="AE125" s="32" t="str">
        <f t="shared" si="7"/>
        <v>✓ OK</v>
      </c>
      <c r="AF125" s="33" t="s">
        <v>61</v>
      </c>
      <c r="AG125" s="33" t="s">
        <v>55</v>
      </c>
      <c r="AH125" s="33" t="s">
        <v>56</v>
      </c>
      <c r="AI125" s="33" t="s">
        <v>57</v>
      </c>
      <c r="AJ125" s="33" t="s">
        <v>58</v>
      </c>
      <c r="AK125" s="33" t="s">
        <v>56</v>
      </c>
      <c r="AL125" s="27"/>
      <c r="AM125" s="34" t="s">
        <v>57</v>
      </c>
      <c r="AN125" s="35" t="str">
        <f t="shared" si="8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5876</v>
      </c>
      <c r="C126" s="41" t="s">
        <v>5877</v>
      </c>
      <c r="D126" s="39" t="s">
        <v>5821</v>
      </c>
      <c r="E126" s="42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69">
        <v>46196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70">
        <v>46248</v>
      </c>
      <c r="X126" s="30" t="s">
        <v>55</v>
      </c>
      <c r="Y126" s="30" t="s">
        <v>56</v>
      </c>
      <c r="Z126" s="30" t="s">
        <v>57</v>
      </c>
      <c r="AA126" s="30" t="s">
        <v>58</v>
      </c>
      <c r="AB126" s="30" t="s">
        <v>56</v>
      </c>
      <c r="AC126" s="27"/>
      <c r="AD126" s="31" t="s">
        <v>57</v>
      </c>
      <c r="AE126" s="32" t="str">
        <f t="shared" si="7"/>
        <v>✓ OK</v>
      </c>
      <c r="AF126" s="33" t="s">
        <v>61</v>
      </c>
      <c r="AG126" s="33" t="s">
        <v>55</v>
      </c>
      <c r="AH126" s="33" t="s">
        <v>56</v>
      </c>
      <c r="AI126" s="33" t="s">
        <v>57</v>
      </c>
      <c r="AJ126" s="33" t="s">
        <v>58</v>
      </c>
      <c r="AK126" s="33" t="s">
        <v>56</v>
      </c>
      <c r="AL126" s="27"/>
      <c r="AM126" s="34" t="s">
        <v>57</v>
      </c>
      <c r="AN126" s="35" t="str">
        <f t="shared" si="8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5878</v>
      </c>
      <c r="C127" s="25" t="s">
        <v>5879</v>
      </c>
      <c r="D127" s="23" t="s">
        <v>5821</v>
      </c>
      <c r="E127" s="42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69">
        <v>46196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70">
        <v>46248</v>
      </c>
      <c r="X127" s="30" t="s">
        <v>55</v>
      </c>
      <c r="Y127" s="30" t="s">
        <v>56</v>
      </c>
      <c r="Z127" s="30" t="s">
        <v>57</v>
      </c>
      <c r="AA127" s="30" t="s">
        <v>58</v>
      </c>
      <c r="AB127" s="30" t="s">
        <v>56</v>
      </c>
      <c r="AC127" s="27"/>
      <c r="AD127" s="31" t="s">
        <v>57</v>
      </c>
      <c r="AE127" s="32" t="str">
        <f t="shared" si="7"/>
        <v>✓ OK</v>
      </c>
      <c r="AF127" s="33" t="s">
        <v>61</v>
      </c>
      <c r="AG127" s="33" t="s">
        <v>55</v>
      </c>
      <c r="AH127" s="33" t="s">
        <v>56</v>
      </c>
      <c r="AI127" s="33" t="s">
        <v>57</v>
      </c>
      <c r="AJ127" s="33" t="s">
        <v>58</v>
      </c>
      <c r="AK127" s="33" t="s">
        <v>56</v>
      </c>
      <c r="AL127" s="27"/>
      <c r="AM127" s="34" t="s">
        <v>57</v>
      </c>
      <c r="AN127" s="35" t="str">
        <f t="shared" si="8"/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5880</v>
      </c>
      <c r="C128" s="41" t="s">
        <v>5881</v>
      </c>
      <c r="D128" s="39" t="s">
        <v>5821</v>
      </c>
      <c r="E128" s="42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69">
        <v>46196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70">
        <v>46248</v>
      </c>
      <c r="X128" s="30" t="s">
        <v>55</v>
      </c>
      <c r="Y128" s="30" t="s">
        <v>56</v>
      </c>
      <c r="Z128" s="30" t="s">
        <v>57</v>
      </c>
      <c r="AA128" s="30" t="s">
        <v>58</v>
      </c>
      <c r="AB128" s="30" t="s">
        <v>56</v>
      </c>
      <c r="AC128" s="27"/>
      <c r="AD128" s="31" t="s">
        <v>57</v>
      </c>
      <c r="AE128" s="32" t="str">
        <f t="shared" si="7"/>
        <v>✓ OK</v>
      </c>
      <c r="AF128" s="33" t="s">
        <v>61</v>
      </c>
      <c r="AG128" s="33" t="s">
        <v>55</v>
      </c>
      <c r="AH128" s="33" t="s">
        <v>56</v>
      </c>
      <c r="AI128" s="33" t="s">
        <v>57</v>
      </c>
      <c r="AJ128" s="33" t="s">
        <v>58</v>
      </c>
      <c r="AK128" s="33" t="s">
        <v>56</v>
      </c>
      <c r="AL128" s="27"/>
      <c r="AM128" s="34" t="s">
        <v>57</v>
      </c>
      <c r="AN128" s="35" t="str">
        <f t="shared" si="8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5882</v>
      </c>
      <c r="C129" s="25" t="s">
        <v>5883</v>
      </c>
      <c r="D129" s="23" t="s">
        <v>5821</v>
      </c>
      <c r="E129" s="42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69">
        <v>46196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70">
        <v>46248</v>
      </c>
      <c r="X129" s="30" t="s">
        <v>55</v>
      </c>
      <c r="Y129" s="30" t="s">
        <v>56</v>
      </c>
      <c r="Z129" s="30" t="s">
        <v>57</v>
      </c>
      <c r="AA129" s="30" t="s">
        <v>58</v>
      </c>
      <c r="AB129" s="30" t="s">
        <v>56</v>
      </c>
      <c r="AC129" s="27"/>
      <c r="AD129" s="31" t="s">
        <v>57</v>
      </c>
      <c r="AE129" s="32" t="str">
        <f t="shared" si="7"/>
        <v>✓ OK</v>
      </c>
      <c r="AF129" s="33" t="s">
        <v>61</v>
      </c>
      <c r="AG129" s="33" t="s">
        <v>55</v>
      </c>
      <c r="AH129" s="33" t="s">
        <v>56</v>
      </c>
      <c r="AI129" s="33" t="s">
        <v>57</v>
      </c>
      <c r="AJ129" s="33" t="s">
        <v>58</v>
      </c>
      <c r="AK129" s="33" t="s">
        <v>56</v>
      </c>
      <c r="AL129" s="27"/>
      <c r="AM129" s="34" t="s">
        <v>57</v>
      </c>
      <c r="AN129" s="35" t="str">
        <f t="shared" si="8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5884</v>
      </c>
      <c r="C130" s="41" t="s">
        <v>5885</v>
      </c>
      <c r="D130" s="39" t="s">
        <v>5821</v>
      </c>
      <c r="E130" s="42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69">
        <v>46196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70">
        <v>46248</v>
      </c>
      <c r="X130" s="30" t="s">
        <v>55</v>
      </c>
      <c r="Y130" s="30" t="s">
        <v>56</v>
      </c>
      <c r="Z130" s="30" t="s">
        <v>57</v>
      </c>
      <c r="AA130" s="30" t="s">
        <v>58</v>
      </c>
      <c r="AB130" s="30" t="s">
        <v>56</v>
      </c>
      <c r="AC130" s="27"/>
      <c r="AD130" s="31" t="s">
        <v>57</v>
      </c>
      <c r="AE130" s="32" t="str">
        <f t="shared" si="7"/>
        <v>✓ OK</v>
      </c>
      <c r="AF130" s="33" t="s">
        <v>61</v>
      </c>
      <c r="AG130" s="33" t="s">
        <v>55</v>
      </c>
      <c r="AH130" s="33" t="s">
        <v>56</v>
      </c>
      <c r="AI130" s="33" t="s">
        <v>57</v>
      </c>
      <c r="AJ130" s="33" t="s">
        <v>58</v>
      </c>
      <c r="AK130" s="33" t="s">
        <v>56</v>
      </c>
      <c r="AL130" s="27"/>
      <c r="AM130" s="34" t="s">
        <v>57</v>
      </c>
      <c r="AN130" s="35" t="str">
        <f t="shared" si="8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5886</v>
      </c>
      <c r="C131" s="25" t="s">
        <v>5887</v>
      </c>
      <c r="D131" s="23" t="s">
        <v>5821</v>
      </c>
      <c r="E131" s="42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69">
        <v>46196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70">
        <v>46248</v>
      </c>
      <c r="X131" s="30" t="s">
        <v>55</v>
      </c>
      <c r="Y131" s="30" t="s">
        <v>56</v>
      </c>
      <c r="Z131" s="30" t="s">
        <v>57</v>
      </c>
      <c r="AA131" s="30" t="s">
        <v>58</v>
      </c>
      <c r="AB131" s="30" t="s">
        <v>56</v>
      </c>
      <c r="AC131" s="27"/>
      <c r="AD131" s="31" t="s">
        <v>57</v>
      </c>
      <c r="AE131" s="32" t="str">
        <f t="shared" si="7"/>
        <v>✓ OK</v>
      </c>
      <c r="AF131" s="33" t="s">
        <v>61</v>
      </c>
      <c r="AG131" s="33" t="s">
        <v>55</v>
      </c>
      <c r="AH131" s="33" t="s">
        <v>56</v>
      </c>
      <c r="AI131" s="33" t="s">
        <v>57</v>
      </c>
      <c r="AJ131" s="33" t="s">
        <v>58</v>
      </c>
      <c r="AK131" s="33" t="s">
        <v>56</v>
      </c>
      <c r="AL131" s="27"/>
      <c r="AM131" s="34" t="s">
        <v>57</v>
      </c>
      <c r="AN131" s="35" t="str">
        <f t="shared" si="8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5888</v>
      </c>
      <c r="C132" s="41" t="s">
        <v>5889</v>
      </c>
      <c r="D132" s="39" t="s">
        <v>5821</v>
      </c>
      <c r="E132" s="42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69">
        <v>46196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70">
        <v>46248</v>
      </c>
      <c r="X132" s="30" t="s">
        <v>55</v>
      </c>
      <c r="Y132" s="30" t="s">
        <v>56</v>
      </c>
      <c r="Z132" s="30" t="s">
        <v>57</v>
      </c>
      <c r="AA132" s="30" t="s">
        <v>58</v>
      </c>
      <c r="AB132" s="30" t="s">
        <v>56</v>
      </c>
      <c r="AC132" s="27"/>
      <c r="AD132" s="31" t="s">
        <v>57</v>
      </c>
      <c r="AE132" s="32" t="str">
        <f t="shared" si="7"/>
        <v>✓ OK</v>
      </c>
      <c r="AF132" s="33" t="s">
        <v>61</v>
      </c>
      <c r="AG132" s="33" t="s">
        <v>55</v>
      </c>
      <c r="AH132" s="33" t="s">
        <v>56</v>
      </c>
      <c r="AI132" s="33" t="s">
        <v>57</v>
      </c>
      <c r="AJ132" s="33" t="s">
        <v>58</v>
      </c>
      <c r="AK132" s="33" t="s">
        <v>56</v>
      </c>
      <c r="AL132" s="27"/>
      <c r="AM132" s="34" t="s">
        <v>57</v>
      </c>
      <c r="AN132" s="35" t="str">
        <f t="shared" si="8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5890</v>
      </c>
      <c r="C133" s="25" t="s">
        <v>5891</v>
      </c>
      <c r="D133" s="23" t="s">
        <v>5821</v>
      </c>
      <c r="E133" s="42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69">
        <v>46196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70">
        <v>46248</v>
      </c>
      <c r="X133" s="30" t="s">
        <v>55</v>
      </c>
      <c r="Y133" s="30" t="s">
        <v>56</v>
      </c>
      <c r="Z133" s="30" t="s">
        <v>57</v>
      </c>
      <c r="AA133" s="30" t="s">
        <v>58</v>
      </c>
      <c r="AB133" s="30" t="s">
        <v>56</v>
      </c>
      <c r="AC133" s="27"/>
      <c r="AD133" s="31" t="s">
        <v>57</v>
      </c>
      <c r="AE133" s="32" t="str">
        <f t="shared" ref="AE133:AE196" si="12">IF(W133="","",IF(Z133="Yes","❌ Disc",IF(Y133="No","⚠ Missing",IF(AB133="Yes","✓ OK","⚠ Check"))))</f>
        <v>✓ OK</v>
      </c>
      <c r="AF133" s="33" t="s">
        <v>61</v>
      </c>
      <c r="AG133" s="33" t="s">
        <v>55</v>
      </c>
      <c r="AH133" s="33" t="s">
        <v>56</v>
      </c>
      <c r="AI133" s="33" t="s">
        <v>57</v>
      </c>
      <c r="AJ133" s="33" t="s">
        <v>58</v>
      </c>
      <c r="AK133" s="33" t="s">
        <v>56</v>
      </c>
      <c r="AL133" s="27"/>
      <c r="AM133" s="34" t="s">
        <v>57</v>
      </c>
      <c r="AN133" s="35" t="str">
        <f t="shared" ref="AN133:AN196" si="13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5892</v>
      </c>
      <c r="C134" s="41" t="s">
        <v>5893</v>
      </c>
      <c r="D134" s="39" t="s">
        <v>5821</v>
      </c>
      <c r="E134" s="42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69">
        <v>46196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70">
        <v>46248</v>
      </c>
      <c r="X134" s="30" t="s">
        <v>55</v>
      </c>
      <c r="Y134" s="30" t="s">
        <v>56</v>
      </c>
      <c r="Z134" s="30" t="s">
        <v>57</v>
      </c>
      <c r="AA134" s="30" t="s">
        <v>58</v>
      </c>
      <c r="AB134" s="30" t="s">
        <v>56</v>
      </c>
      <c r="AC134" s="27"/>
      <c r="AD134" s="31" t="s">
        <v>57</v>
      </c>
      <c r="AE134" s="32" t="str">
        <f t="shared" si="12"/>
        <v>✓ OK</v>
      </c>
      <c r="AF134" s="33" t="s">
        <v>61</v>
      </c>
      <c r="AG134" s="33" t="s">
        <v>55</v>
      </c>
      <c r="AH134" s="33" t="s">
        <v>56</v>
      </c>
      <c r="AI134" s="33" t="s">
        <v>57</v>
      </c>
      <c r="AJ134" s="33" t="s">
        <v>58</v>
      </c>
      <c r="AK134" s="33" t="s">
        <v>56</v>
      </c>
      <c r="AL134" s="27"/>
      <c r="AM134" s="34" t="s">
        <v>57</v>
      </c>
      <c r="AN134" s="35" t="str">
        <f t="shared" si="13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5894</v>
      </c>
      <c r="C135" s="25" t="s">
        <v>5895</v>
      </c>
      <c r="D135" s="23" t="s">
        <v>5821</v>
      </c>
      <c r="E135" s="42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69">
        <v>46196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70">
        <v>46248</v>
      </c>
      <c r="X135" s="30" t="s">
        <v>55</v>
      </c>
      <c r="Y135" s="30" t="s">
        <v>56</v>
      </c>
      <c r="Z135" s="30" t="s">
        <v>57</v>
      </c>
      <c r="AA135" s="30" t="s">
        <v>58</v>
      </c>
      <c r="AB135" s="30" t="s">
        <v>56</v>
      </c>
      <c r="AC135" s="27"/>
      <c r="AD135" s="31" t="s">
        <v>57</v>
      </c>
      <c r="AE135" s="32" t="str">
        <f t="shared" si="12"/>
        <v>✓ OK</v>
      </c>
      <c r="AF135" s="33" t="s">
        <v>61</v>
      </c>
      <c r="AG135" s="33" t="s">
        <v>55</v>
      </c>
      <c r="AH135" s="33" t="s">
        <v>56</v>
      </c>
      <c r="AI135" s="33" t="s">
        <v>57</v>
      </c>
      <c r="AJ135" s="33" t="s">
        <v>58</v>
      </c>
      <c r="AK135" s="33" t="s">
        <v>56</v>
      </c>
      <c r="AL135" s="27"/>
      <c r="AM135" s="34" t="s">
        <v>57</v>
      </c>
      <c r="AN135" s="35" t="str">
        <f t="shared" si="13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5896</v>
      </c>
      <c r="C136" s="41" t="s">
        <v>5897</v>
      </c>
      <c r="D136" s="39" t="s">
        <v>5821</v>
      </c>
      <c r="E136" s="42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69">
        <v>46196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70">
        <v>46248</v>
      </c>
      <c r="X136" s="30" t="s">
        <v>55</v>
      </c>
      <c r="Y136" s="30" t="s">
        <v>56</v>
      </c>
      <c r="Z136" s="30" t="s">
        <v>57</v>
      </c>
      <c r="AA136" s="30" t="s">
        <v>58</v>
      </c>
      <c r="AB136" s="30" t="s">
        <v>56</v>
      </c>
      <c r="AC136" s="27"/>
      <c r="AD136" s="31" t="s">
        <v>57</v>
      </c>
      <c r="AE136" s="32" t="str">
        <f t="shared" si="12"/>
        <v>✓ OK</v>
      </c>
      <c r="AF136" s="33" t="s">
        <v>61</v>
      </c>
      <c r="AG136" s="33" t="s">
        <v>55</v>
      </c>
      <c r="AH136" s="33" t="s">
        <v>56</v>
      </c>
      <c r="AI136" s="33" t="s">
        <v>57</v>
      </c>
      <c r="AJ136" s="33" t="s">
        <v>58</v>
      </c>
      <c r="AK136" s="33" t="s">
        <v>56</v>
      </c>
      <c r="AL136" s="27"/>
      <c r="AM136" s="34" t="s">
        <v>57</v>
      </c>
      <c r="AN136" s="35" t="str">
        <f t="shared" si="13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5898</v>
      </c>
      <c r="C137" s="25" t="s">
        <v>5899</v>
      </c>
      <c r="D137" s="23" t="s">
        <v>5821</v>
      </c>
      <c r="E137" s="42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69">
        <v>46196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70">
        <v>46248</v>
      </c>
      <c r="X137" s="30" t="s">
        <v>55</v>
      </c>
      <c r="Y137" s="30" t="s">
        <v>56</v>
      </c>
      <c r="Z137" s="30" t="s">
        <v>57</v>
      </c>
      <c r="AA137" s="30" t="s">
        <v>58</v>
      </c>
      <c r="AB137" s="30" t="s">
        <v>56</v>
      </c>
      <c r="AC137" s="27"/>
      <c r="AD137" s="31" t="s">
        <v>57</v>
      </c>
      <c r="AE137" s="32" t="str">
        <f t="shared" si="12"/>
        <v>✓ OK</v>
      </c>
      <c r="AF137" s="33" t="s">
        <v>61</v>
      </c>
      <c r="AG137" s="33" t="s">
        <v>55</v>
      </c>
      <c r="AH137" s="33" t="s">
        <v>56</v>
      </c>
      <c r="AI137" s="33" t="s">
        <v>57</v>
      </c>
      <c r="AJ137" s="33" t="s">
        <v>58</v>
      </c>
      <c r="AK137" s="33" t="s">
        <v>56</v>
      </c>
      <c r="AL137" s="27"/>
      <c r="AM137" s="34" t="s">
        <v>57</v>
      </c>
      <c r="AN137" s="35" t="str">
        <f t="shared" si="13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5900</v>
      </c>
      <c r="C138" s="41" t="s">
        <v>5901</v>
      </c>
      <c r="D138" s="39" t="s">
        <v>5821</v>
      </c>
      <c r="E138" s="42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69">
        <v>46196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70">
        <v>46248</v>
      </c>
      <c r="X138" s="30" t="s">
        <v>55</v>
      </c>
      <c r="Y138" s="30" t="s">
        <v>56</v>
      </c>
      <c r="Z138" s="30" t="s">
        <v>57</v>
      </c>
      <c r="AA138" s="30" t="s">
        <v>58</v>
      </c>
      <c r="AB138" s="30" t="s">
        <v>56</v>
      </c>
      <c r="AC138" s="27"/>
      <c r="AD138" s="31" t="s">
        <v>57</v>
      </c>
      <c r="AE138" s="32" t="str">
        <f t="shared" si="12"/>
        <v>✓ OK</v>
      </c>
      <c r="AF138" s="33" t="s">
        <v>61</v>
      </c>
      <c r="AG138" s="33" t="s">
        <v>55</v>
      </c>
      <c r="AH138" s="33" t="s">
        <v>56</v>
      </c>
      <c r="AI138" s="33" t="s">
        <v>57</v>
      </c>
      <c r="AJ138" s="33" t="s">
        <v>58</v>
      </c>
      <c r="AK138" s="33" t="s">
        <v>56</v>
      </c>
      <c r="AL138" s="27"/>
      <c r="AM138" s="34" t="s">
        <v>57</v>
      </c>
      <c r="AN138" s="35" t="str">
        <f t="shared" si="13"/>
        <v>✓ OK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5902</v>
      </c>
      <c r="C139" s="25" t="s">
        <v>5903</v>
      </c>
      <c r="D139" s="23" t="s">
        <v>5821</v>
      </c>
      <c r="E139" s="42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69">
        <v>46196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70">
        <v>46248</v>
      </c>
      <c r="X139" s="30" t="s">
        <v>55</v>
      </c>
      <c r="Y139" s="30" t="s">
        <v>56</v>
      </c>
      <c r="Z139" s="30" t="s">
        <v>57</v>
      </c>
      <c r="AA139" s="30" t="s">
        <v>58</v>
      </c>
      <c r="AB139" s="30" t="s">
        <v>56</v>
      </c>
      <c r="AC139" s="27"/>
      <c r="AD139" s="31" t="s">
        <v>57</v>
      </c>
      <c r="AE139" s="32" t="str">
        <f t="shared" si="12"/>
        <v>✓ OK</v>
      </c>
      <c r="AF139" s="33" t="s">
        <v>61</v>
      </c>
      <c r="AG139" s="33" t="s">
        <v>55</v>
      </c>
      <c r="AH139" s="33" t="s">
        <v>56</v>
      </c>
      <c r="AI139" s="33" t="s">
        <v>57</v>
      </c>
      <c r="AJ139" s="33" t="s">
        <v>58</v>
      </c>
      <c r="AK139" s="33" t="s">
        <v>56</v>
      </c>
      <c r="AL139" s="27"/>
      <c r="AM139" s="34" t="s">
        <v>57</v>
      </c>
      <c r="AN139" s="35" t="str">
        <f t="shared" si="13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5904</v>
      </c>
      <c r="C140" s="41" t="s">
        <v>5905</v>
      </c>
      <c r="D140" s="39" t="s">
        <v>5821</v>
      </c>
      <c r="E140" s="42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69">
        <v>46196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70">
        <v>46248</v>
      </c>
      <c r="X140" s="30" t="s">
        <v>55</v>
      </c>
      <c r="Y140" s="30" t="s">
        <v>56</v>
      </c>
      <c r="Z140" s="30" t="s">
        <v>57</v>
      </c>
      <c r="AA140" s="30" t="s">
        <v>58</v>
      </c>
      <c r="AB140" s="30" t="s">
        <v>56</v>
      </c>
      <c r="AC140" s="27"/>
      <c r="AD140" s="31" t="s">
        <v>57</v>
      </c>
      <c r="AE140" s="32" t="str">
        <f t="shared" si="12"/>
        <v>✓ OK</v>
      </c>
      <c r="AF140" s="33" t="s">
        <v>61</v>
      </c>
      <c r="AG140" s="33" t="s">
        <v>55</v>
      </c>
      <c r="AH140" s="33" t="s">
        <v>56</v>
      </c>
      <c r="AI140" s="33" t="s">
        <v>57</v>
      </c>
      <c r="AJ140" s="33" t="s">
        <v>58</v>
      </c>
      <c r="AK140" s="33" t="s">
        <v>56</v>
      </c>
      <c r="AL140" s="27"/>
      <c r="AM140" s="34" t="s">
        <v>57</v>
      </c>
      <c r="AN140" s="35" t="str">
        <f t="shared" si="13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5906</v>
      </c>
      <c r="C141" s="25" t="s">
        <v>5907</v>
      </c>
      <c r="D141" s="23" t="s">
        <v>5821</v>
      </c>
      <c r="E141" s="42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69">
        <v>46196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70">
        <v>46248</v>
      </c>
      <c r="X141" s="30" t="s">
        <v>55</v>
      </c>
      <c r="Y141" s="30" t="s">
        <v>56</v>
      </c>
      <c r="Z141" s="30" t="s">
        <v>57</v>
      </c>
      <c r="AA141" s="30" t="s">
        <v>58</v>
      </c>
      <c r="AB141" s="30" t="s">
        <v>56</v>
      </c>
      <c r="AC141" s="27"/>
      <c r="AD141" s="31" t="s">
        <v>57</v>
      </c>
      <c r="AE141" s="32" t="str">
        <f t="shared" si="12"/>
        <v>✓ OK</v>
      </c>
      <c r="AF141" s="33" t="s">
        <v>61</v>
      </c>
      <c r="AG141" s="33" t="s">
        <v>55</v>
      </c>
      <c r="AH141" s="33" t="s">
        <v>56</v>
      </c>
      <c r="AI141" s="33" t="s">
        <v>57</v>
      </c>
      <c r="AJ141" s="33" t="s">
        <v>58</v>
      </c>
      <c r="AK141" s="33" t="s">
        <v>56</v>
      </c>
      <c r="AL141" s="27"/>
      <c r="AM141" s="34" t="s">
        <v>57</v>
      </c>
      <c r="AN141" s="35" t="str">
        <f t="shared" si="13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5908</v>
      </c>
      <c r="C142" s="41" t="s">
        <v>5909</v>
      </c>
      <c r="D142" s="39" t="s">
        <v>5821</v>
      </c>
      <c r="E142" s="42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69">
        <v>46196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70">
        <v>46248</v>
      </c>
      <c r="X142" s="30" t="s">
        <v>55</v>
      </c>
      <c r="Y142" s="30" t="s">
        <v>56</v>
      </c>
      <c r="Z142" s="30" t="s">
        <v>57</v>
      </c>
      <c r="AA142" s="30" t="s">
        <v>58</v>
      </c>
      <c r="AB142" s="30" t="s">
        <v>56</v>
      </c>
      <c r="AC142" s="27"/>
      <c r="AD142" s="31" t="s">
        <v>57</v>
      </c>
      <c r="AE142" s="32" t="str">
        <f t="shared" si="12"/>
        <v>✓ OK</v>
      </c>
      <c r="AF142" s="33" t="s">
        <v>61</v>
      </c>
      <c r="AG142" s="33" t="s">
        <v>55</v>
      </c>
      <c r="AH142" s="33" t="s">
        <v>56</v>
      </c>
      <c r="AI142" s="33" t="s">
        <v>57</v>
      </c>
      <c r="AJ142" s="33" t="s">
        <v>58</v>
      </c>
      <c r="AK142" s="33" t="s">
        <v>56</v>
      </c>
      <c r="AL142" s="27"/>
      <c r="AM142" s="34" t="s">
        <v>57</v>
      </c>
      <c r="AN142" s="35" t="str">
        <f t="shared" si="13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5910</v>
      </c>
      <c r="C143" s="25" t="s">
        <v>5911</v>
      </c>
      <c r="D143" s="23" t="s">
        <v>5821</v>
      </c>
      <c r="E143" s="42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69">
        <v>46196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70">
        <v>46248</v>
      </c>
      <c r="X143" s="30" t="s">
        <v>55</v>
      </c>
      <c r="Y143" s="30" t="s">
        <v>56</v>
      </c>
      <c r="Z143" s="30" t="s">
        <v>57</v>
      </c>
      <c r="AA143" s="30" t="s">
        <v>58</v>
      </c>
      <c r="AB143" s="30" t="s">
        <v>56</v>
      </c>
      <c r="AC143" s="27"/>
      <c r="AD143" s="31" t="s">
        <v>57</v>
      </c>
      <c r="AE143" s="32" t="str">
        <f t="shared" si="12"/>
        <v>✓ OK</v>
      </c>
      <c r="AF143" s="33" t="s">
        <v>61</v>
      </c>
      <c r="AG143" s="33" t="s">
        <v>55</v>
      </c>
      <c r="AH143" s="33" t="s">
        <v>56</v>
      </c>
      <c r="AI143" s="33" t="s">
        <v>57</v>
      </c>
      <c r="AJ143" s="33" t="s">
        <v>58</v>
      </c>
      <c r="AK143" s="33" t="s">
        <v>56</v>
      </c>
      <c r="AL143" s="27"/>
      <c r="AM143" s="34" t="s">
        <v>57</v>
      </c>
      <c r="AN143" s="35" t="str">
        <f t="shared" si="13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5912</v>
      </c>
      <c r="C144" s="41" t="s">
        <v>5913</v>
      </c>
      <c r="D144" s="39" t="s">
        <v>5821</v>
      </c>
      <c r="E144" s="42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69">
        <v>46196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70">
        <v>46248</v>
      </c>
      <c r="X144" s="30" t="s">
        <v>55</v>
      </c>
      <c r="Y144" s="30" t="s">
        <v>56</v>
      </c>
      <c r="Z144" s="30" t="s">
        <v>57</v>
      </c>
      <c r="AA144" s="30" t="s">
        <v>58</v>
      </c>
      <c r="AB144" s="30" t="s">
        <v>56</v>
      </c>
      <c r="AC144" s="27"/>
      <c r="AD144" s="31" t="s">
        <v>57</v>
      </c>
      <c r="AE144" s="32" t="str">
        <f t="shared" si="12"/>
        <v>✓ OK</v>
      </c>
      <c r="AF144" s="33" t="s">
        <v>61</v>
      </c>
      <c r="AG144" s="33" t="s">
        <v>55</v>
      </c>
      <c r="AH144" s="33" t="s">
        <v>56</v>
      </c>
      <c r="AI144" s="33" t="s">
        <v>57</v>
      </c>
      <c r="AJ144" s="33" t="s">
        <v>58</v>
      </c>
      <c r="AK144" s="33" t="s">
        <v>56</v>
      </c>
      <c r="AL144" s="27"/>
      <c r="AM144" s="34" t="s">
        <v>57</v>
      </c>
      <c r="AN144" s="35" t="str">
        <f t="shared" si="13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5914</v>
      </c>
      <c r="C145" s="25" t="s">
        <v>5915</v>
      </c>
      <c r="D145" s="23" t="s">
        <v>5821</v>
      </c>
      <c r="E145" s="42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69">
        <v>46196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70">
        <v>46248</v>
      </c>
      <c r="X145" s="30" t="s">
        <v>55</v>
      </c>
      <c r="Y145" s="30" t="s">
        <v>56</v>
      </c>
      <c r="Z145" s="30" t="s">
        <v>57</v>
      </c>
      <c r="AA145" s="30" t="s">
        <v>58</v>
      </c>
      <c r="AB145" s="30" t="s">
        <v>56</v>
      </c>
      <c r="AC145" s="27"/>
      <c r="AD145" s="31" t="s">
        <v>57</v>
      </c>
      <c r="AE145" s="32" t="str">
        <f t="shared" si="12"/>
        <v>✓ OK</v>
      </c>
      <c r="AF145" s="33" t="s">
        <v>61</v>
      </c>
      <c r="AG145" s="33" t="s">
        <v>55</v>
      </c>
      <c r="AH145" s="33" t="s">
        <v>56</v>
      </c>
      <c r="AI145" s="33" t="s">
        <v>57</v>
      </c>
      <c r="AJ145" s="33" t="s">
        <v>58</v>
      </c>
      <c r="AK145" s="33" t="s">
        <v>56</v>
      </c>
      <c r="AL145" s="27"/>
      <c r="AM145" s="34" t="s">
        <v>57</v>
      </c>
      <c r="AN145" s="35" t="str">
        <f t="shared" si="13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5916</v>
      </c>
      <c r="C146" s="41" t="s">
        <v>5917</v>
      </c>
      <c r="D146" s="39" t="s">
        <v>5821</v>
      </c>
      <c r="E146" s="42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69">
        <v>46196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70">
        <v>46248</v>
      </c>
      <c r="X146" s="30" t="s">
        <v>55</v>
      </c>
      <c r="Y146" s="30" t="s">
        <v>56</v>
      </c>
      <c r="Z146" s="30" t="s">
        <v>57</v>
      </c>
      <c r="AA146" s="30" t="s">
        <v>58</v>
      </c>
      <c r="AB146" s="30" t="s">
        <v>56</v>
      </c>
      <c r="AC146" s="27"/>
      <c r="AD146" s="31" t="s">
        <v>57</v>
      </c>
      <c r="AE146" s="32" t="str">
        <f t="shared" si="12"/>
        <v>✓ OK</v>
      </c>
      <c r="AF146" s="33" t="s">
        <v>61</v>
      </c>
      <c r="AG146" s="33" t="s">
        <v>55</v>
      </c>
      <c r="AH146" s="33" t="s">
        <v>56</v>
      </c>
      <c r="AI146" s="33" t="s">
        <v>57</v>
      </c>
      <c r="AJ146" s="33" t="s">
        <v>58</v>
      </c>
      <c r="AK146" s="33" t="s">
        <v>56</v>
      </c>
      <c r="AL146" s="27"/>
      <c r="AM146" s="34" t="s">
        <v>57</v>
      </c>
      <c r="AN146" s="35" t="str">
        <f t="shared" si="13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5918</v>
      </c>
      <c r="C147" s="25" t="s">
        <v>5919</v>
      </c>
      <c r="D147" s="23" t="s">
        <v>5821</v>
      </c>
      <c r="E147" s="42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69">
        <v>46196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70">
        <v>46248</v>
      </c>
      <c r="X147" s="30" t="s">
        <v>55</v>
      </c>
      <c r="Y147" s="30" t="s">
        <v>56</v>
      </c>
      <c r="Z147" s="30" t="s">
        <v>57</v>
      </c>
      <c r="AA147" s="30" t="s">
        <v>58</v>
      </c>
      <c r="AB147" s="30" t="s">
        <v>56</v>
      </c>
      <c r="AC147" s="27"/>
      <c r="AD147" s="31" t="s">
        <v>57</v>
      </c>
      <c r="AE147" s="32" t="str">
        <f t="shared" si="12"/>
        <v>✓ OK</v>
      </c>
      <c r="AF147" s="33" t="s">
        <v>61</v>
      </c>
      <c r="AG147" s="33" t="s">
        <v>55</v>
      </c>
      <c r="AH147" s="33" t="s">
        <v>56</v>
      </c>
      <c r="AI147" s="33" t="s">
        <v>57</v>
      </c>
      <c r="AJ147" s="33" t="s">
        <v>58</v>
      </c>
      <c r="AK147" s="33" t="s">
        <v>56</v>
      </c>
      <c r="AL147" s="27"/>
      <c r="AM147" s="34" t="s">
        <v>57</v>
      </c>
      <c r="AN147" s="35" t="str">
        <f t="shared" si="13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5920</v>
      </c>
      <c r="C148" s="41" t="s">
        <v>5921</v>
      </c>
      <c r="D148" s="39" t="s">
        <v>5821</v>
      </c>
      <c r="E148" s="42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69">
        <v>46196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70">
        <v>46248</v>
      </c>
      <c r="X148" s="30" t="s">
        <v>55</v>
      </c>
      <c r="Y148" s="30" t="s">
        <v>56</v>
      </c>
      <c r="Z148" s="30" t="s">
        <v>57</v>
      </c>
      <c r="AA148" s="30" t="s">
        <v>58</v>
      </c>
      <c r="AB148" s="30" t="s">
        <v>56</v>
      </c>
      <c r="AC148" s="27"/>
      <c r="AD148" s="31" t="s">
        <v>57</v>
      </c>
      <c r="AE148" s="32" t="str">
        <f t="shared" si="12"/>
        <v>✓ OK</v>
      </c>
      <c r="AF148" s="33" t="s">
        <v>61</v>
      </c>
      <c r="AG148" s="33" t="s">
        <v>55</v>
      </c>
      <c r="AH148" s="33" t="s">
        <v>56</v>
      </c>
      <c r="AI148" s="33" t="s">
        <v>57</v>
      </c>
      <c r="AJ148" s="33" t="s">
        <v>58</v>
      </c>
      <c r="AK148" s="33" t="s">
        <v>56</v>
      </c>
      <c r="AL148" s="27"/>
      <c r="AM148" s="34" t="s">
        <v>57</v>
      </c>
      <c r="AN148" s="35" t="str">
        <f t="shared" si="13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5922</v>
      </c>
      <c r="C149" s="25" t="s">
        <v>5923</v>
      </c>
      <c r="D149" s="23" t="s">
        <v>5821</v>
      </c>
      <c r="E149" s="42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69">
        <v>46196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70">
        <v>46248</v>
      </c>
      <c r="X149" s="30" t="s">
        <v>55</v>
      </c>
      <c r="Y149" s="30" t="s">
        <v>56</v>
      </c>
      <c r="Z149" s="30" t="s">
        <v>57</v>
      </c>
      <c r="AA149" s="30" t="s">
        <v>58</v>
      </c>
      <c r="AB149" s="30" t="s">
        <v>56</v>
      </c>
      <c r="AC149" s="27"/>
      <c r="AD149" s="31" t="s">
        <v>57</v>
      </c>
      <c r="AE149" s="32" t="str">
        <f t="shared" si="12"/>
        <v>✓ OK</v>
      </c>
      <c r="AF149" s="33" t="s">
        <v>61</v>
      </c>
      <c r="AG149" s="33" t="s">
        <v>55</v>
      </c>
      <c r="AH149" s="33" t="s">
        <v>56</v>
      </c>
      <c r="AI149" s="33" t="s">
        <v>57</v>
      </c>
      <c r="AJ149" s="33" t="s">
        <v>58</v>
      </c>
      <c r="AK149" s="33" t="s">
        <v>56</v>
      </c>
      <c r="AL149" s="27"/>
      <c r="AM149" s="34" t="s">
        <v>57</v>
      </c>
      <c r="AN149" s="35" t="str">
        <f t="shared" si="13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5924</v>
      </c>
      <c r="C150" s="41" t="s">
        <v>5925</v>
      </c>
      <c r="D150" s="39" t="s">
        <v>5821</v>
      </c>
      <c r="E150" s="42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69">
        <v>46196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70">
        <v>46248</v>
      </c>
      <c r="X150" s="30" t="s">
        <v>55</v>
      </c>
      <c r="Y150" s="30" t="s">
        <v>56</v>
      </c>
      <c r="Z150" s="30" t="s">
        <v>57</v>
      </c>
      <c r="AA150" s="30" t="s">
        <v>58</v>
      </c>
      <c r="AB150" s="30" t="s">
        <v>56</v>
      </c>
      <c r="AC150" s="27"/>
      <c r="AD150" s="31" t="s">
        <v>57</v>
      </c>
      <c r="AE150" s="32" t="str">
        <f t="shared" si="12"/>
        <v>✓ OK</v>
      </c>
      <c r="AF150" s="33" t="s">
        <v>61</v>
      </c>
      <c r="AG150" s="33" t="s">
        <v>55</v>
      </c>
      <c r="AH150" s="33" t="s">
        <v>56</v>
      </c>
      <c r="AI150" s="33" t="s">
        <v>57</v>
      </c>
      <c r="AJ150" s="33" t="s">
        <v>58</v>
      </c>
      <c r="AK150" s="33" t="s">
        <v>56</v>
      </c>
      <c r="AL150" s="27"/>
      <c r="AM150" s="34" t="s">
        <v>57</v>
      </c>
      <c r="AN150" s="35" t="str">
        <f t="shared" si="13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5926</v>
      </c>
      <c r="C151" s="25" t="s">
        <v>5927</v>
      </c>
      <c r="D151" s="23" t="s">
        <v>5821</v>
      </c>
      <c r="E151" s="42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69">
        <v>46196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70">
        <v>46248</v>
      </c>
      <c r="X151" s="30" t="s">
        <v>55</v>
      </c>
      <c r="Y151" s="30" t="s">
        <v>56</v>
      </c>
      <c r="Z151" s="30" t="s">
        <v>57</v>
      </c>
      <c r="AA151" s="30" t="s">
        <v>58</v>
      </c>
      <c r="AB151" s="30" t="s">
        <v>56</v>
      </c>
      <c r="AC151" s="27"/>
      <c r="AD151" s="31" t="s">
        <v>57</v>
      </c>
      <c r="AE151" s="32" t="str">
        <f t="shared" si="12"/>
        <v>✓ OK</v>
      </c>
      <c r="AF151" s="33" t="s">
        <v>61</v>
      </c>
      <c r="AG151" s="33" t="s">
        <v>55</v>
      </c>
      <c r="AH151" s="33" t="s">
        <v>56</v>
      </c>
      <c r="AI151" s="33" t="s">
        <v>57</v>
      </c>
      <c r="AJ151" s="33" t="s">
        <v>58</v>
      </c>
      <c r="AK151" s="33" t="s">
        <v>56</v>
      </c>
      <c r="AL151" s="27"/>
      <c r="AM151" s="34" t="s">
        <v>57</v>
      </c>
      <c r="AN151" s="35" t="str">
        <f t="shared" si="13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5928</v>
      </c>
      <c r="C152" s="41" t="s">
        <v>5929</v>
      </c>
      <c r="D152" s="39" t="s">
        <v>5821</v>
      </c>
      <c r="E152" s="42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69">
        <v>46196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70">
        <v>46248</v>
      </c>
      <c r="X152" s="30" t="s">
        <v>55</v>
      </c>
      <c r="Y152" s="30" t="s">
        <v>56</v>
      </c>
      <c r="Z152" s="30" t="s">
        <v>57</v>
      </c>
      <c r="AA152" s="30" t="s">
        <v>58</v>
      </c>
      <c r="AB152" s="30" t="s">
        <v>56</v>
      </c>
      <c r="AC152" s="27"/>
      <c r="AD152" s="31" t="s">
        <v>57</v>
      </c>
      <c r="AE152" s="32" t="str">
        <f t="shared" si="12"/>
        <v>✓ OK</v>
      </c>
      <c r="AF152" s="33" t="s">
        <v>61</v>
      </c>
      <c r="AG152" s="33" t="s">
        <v>55</v>
      </c>
      <c r="AH152" s="33" t="s">
        <v>56</v>
      </c>
      <c r="AI152" s="33" t="s">
        <v>57</v>
      </c>
      <c r="AJ152" s="33" t="s">
        <v>58</v>
      </c>
      <c r="AK152" s="33" t="s">
        <v>56</v>
      </c>
      <c r="AL152" s="27"/>
      <c r="AM152" s="34" t="s">
        <v>57</v>
      </c>
      <c r="AN152" s="35" t="str">
        <f t="shared" si="13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5930</v>
      </c>
      <c r="C153" s="25" t="s">
        <v>5931</v>
      </c>
      <c r="D153" s="23" t="s">
        <v>5821</v>
      </c>
      <c r="E153" s="42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69">
        <v>46196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70">
        <v>46248</v>
      </c>
      <c r="X153" s="30" t="s">
        <v>55</v>
      </c>
      <c r="Y153" s="30" t="s">
        <v>56</v>
      </c>
      <c r="Z153" s="30" t="s">
        <v>57</v>
      </c>
      <c r="AA153" s="30" t="s">
        <v>58</v>
      </c>
      <c r="AB153" s="30" t="s">
        <v>56</v>
      </c>
      <c r="AC153" s="27"/>
      <c r="AD153" s="31" t="s">
        <v>57</v>
      </c>
      <c r="AE153" s="32" t="str">
        <f t="shared" si="12"/>
        <v>✓ OK</v>
      </c>
      <c r="AF153" s="33" t="s">
        <v>61</v>
      </c>
      <c r="AG153" s="33" t="s">
        <v>55</v>
      </c>
      <c r="AH153" s="33" t="s">
        <v>56</v>
      </c>
      <c r="AI153" s="33" t="s">
        <v>57</v>
      </c>
      <c r="AJ153" s="33" t="s">
        <v>58</v>
      </c>
      <c r="AK153" s="33" t="s">
        <v>56</v>
      </c>
      <c r="AL153" s="27"/>
      <c r="AM153" s="34" t="s">
        <v>57</v>
      </c>
      <c r="AN153" s="35" t="str">
        <f t="shared" si="13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5932</v>
      </c>
      <c r="C154" s="41" t="s">
        <v>5933</v>
      </c>
      <c r="D154" s="39" t="s">
        <v>5821</v>
      </c>
      <c r="E154" s="42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69">
        <v>46196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70">
        <v>46248</v>
      </c>
      <c r="X154" s="30" t="s">
        <v>55</v>
      </c>
      <c r="Y154" s="30" t="s">
        <v>56</v>
      </c>
      <c r="Z154" s="30" t="s">
        <v>57</v>
      </c>
      <c r="AA154" s="30" t="s">
        <v>58</v>
      </c>
      <c r="AB154" s="30" t="s">
        <v>56</v>
      </c>
      <c r="AC154" s="27"/>
      <c r="AD154" s="31" t="s">
        <v>57</v>
      </c>
      <c r="AE154" s="32" t="str">
        <f t="shared" si="12"/>
        <v>✓ OK</v>
      </c>
      <c r="AF154" s="33" t="s">
        <v>61</v>
      </c>
      <c r="AG154" s="33" t="s">
        <v>55</v>
      </c>
      <c r="AH154" s="33" t="s">
        <v>56</v>
      </c>
      <c r="AI154" s="33" t="s">
        <v>57</v>
      </c>
      <c r="AJ154" s="33" t="s">
        <v>58</v>
      </c>
      <c r="AK154" s="33" t="s">
        <v>56</v>
      </c>
      <c r="AL154" s="27"/>
      <c r="AM154" s="34" t="s">
        <v>57</v>
      </c>
      <c r="AN154" s="35" t="str">
        <f t="shared" si="13"/>
        <v>✓ OK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5934</v>
      </c>
      <c r="C155" s="25" t="s">
        <v>5935</v>
      </c>
      <c r="D155" s="23" t="s">
        <v>5821</v>
      </c>
      <c r="E155" s="42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69">
        <v>46196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70">
        <v>46248</v>
      </c>
      <c r="X155" s="30" t="s">
        <v>55</v>
      </c>
      <c r="Y155" s="30" t="s">
        <v>56</v>
      </c>
      <c r="Z155" s="30" t="s">
        <v>57</v>
      </c>
      <c r="AA155" s="30" t="s">
        <v>58</v>
      </c>
      <c r="AB155" s="30" t="s">
        <v>56</v>
      </c>
      <c r="AC155" s="27"/>
      <c r="AD155" s="31" t="s">
        <v>57</v>
      </c>
      <c r="AE155" s="32" t="str">
        <f t="shared" si="12"/>
        <v>✓ OK</v>
      </c>
      <c r="AF155" s="33" t="s">
        <v>61</v>
      </c>
      <c r="AG155" s="33" t="s">
        <v>55</v>
      </c>
      <c r="AH155" s="33" t="s">
        <v>56</v>
      </c>
      <c r="AI155" s="33" t="s">
        <v>57</v>
      </c>
      <c r="AJ155" s="33" t="s">
        <v>58</v>
      </c>
      <c r="AK155" s="33" t="s">
        <v>56</v>
      </c>
      <c r="AL155" s="27"/>
      <c r="AM155" s="34" t="s">
        <v>57</v>
      </c>
      <c r="AN155" s="35" t="str">
        <f t="shared" si="13"/>
        <v>✓ OK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5936</v>
      </c>
      <c r="C156" s="41" t="s">
        <v>5937</v>
      </c>
      <c r="D156" s="39" t="s">
        <v>5821</v>
      </c>
      <c r="E156" s="42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69">
        <v>46196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70">
        <v>46248</v>
      </c>
      <c r="X156" s="30" t="s">
        <v>55</v>
      </c>
      <c r="Y156" s="30" t="s">
        <v>56</v>
      </c>
      <c r="Z156" s="30" t="s">
        <v>57</v>
      </c>
      <c r="AA156" s="30" t="s">
        <v>58</v>
      </c>
      <c r="AB156" s="30" t="s">
        <v>56</v>
      </c>
      <c r="AC156" s="27"/>
      <c r="AD156" s="31" t="s">
        <v>57</v>
      </c>
      <c r="AE156" s="32" t="str">
        <f t="shared" si="12"/>
        <v>✓ OK</v>
      </c>
      <c r="AF156" s="33" t="s">
        <v>61</v>
      </c>
      <c r="AG156" s="33" t="s">
        <v>55</v>
      </c>
      <c r="AH156" s="33" t="s">
        <v>56</v>
      </c>
      <c r="AI156" s="33" t="s">
        <v>57</v>
      </c>
      <c r="AJ156" s="33" t="s">
        <v>58</v>
      </c>
      <c r="AK156" s="33" t="s">
        <v>56</v>
      </c>
      <c r="AL156" s="27"/>
      <c r="AM156" s="34" t="s">
        <v>57</v>
      </c>
      <c r="AN156" s="35" t="str">
        <f t="shared" si="13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5938</v>
      </c>
      <c r="C157" s="25" t="s">
        <v>5939</v>
      </c>
      <c r="D157" s="23" t="s">
        <v>5821</v>
      </c>
      <c r="E157" s="42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69">
        <v>46196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70">
        <v>46248</v>
      </c>
      <c r="X157" s="30" t="s">
        <v>55</v>
      </c>
      <c r="Y157" s="30" t="s">
        <v>56</v>
      </c>
      <c r="Z157" s="30" t="s">
        <v>57</v>
      </c>
      <c r="AA157" s="30" t="s">
        <v>58</v>
      </c>
      <c r="AB157" s="30" t="s">
        <v>56</v>
      </c>
      <c r="AC157" s="27"/>
      <c r="AD157" s="31" t="s">
        <v>57</v>
      </c>
      <c r="AE157" s="32" t="str">
        <f t="shared" si="12"/>
        <v>✓ OK</v>
      </c>
      <c r="AF157" s="33" t="s">
        <v>61</v>
      </c>
      <c r="AG157" s="33" t="s">
        <v>55</v>
      </c>
      <c r="AH157" s="33" t="s">
        <v>56</v>
      </c>
      <c r="AI157" s="33" t="s">
        <v>57</v>
      </c>
      <c r="AJ157" s="33" t="s">
        <v>58</v>
      </c>
      <c r="AK157" s="33" t="s">
        <v>56</v>
      </c>
      <c r="AL157" s="27"/>
      <c r="AM157" s="34" t="s">
        <v>57</v>
      </c>
      <c r="AN157" s="35" t="str">
        <f t="shared" si="13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5940</v>
      </c>
      <c r="C158" s="41" t="s">
        <v>5941</v>
      </c>
      <c r="D158" s="39" t="s">
        <v>5821</v>
      </c>
      <c r="E158" s="42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69">
        <v>46196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70">
        <v>46248</v>
      </c>
      <c r="X158" s="30" t="s">
        <v>55</v>
      </c>
      <c r="Y158" s="30" t="s">
        <v>56</v>
      </c>
      <c r="Z158" s="30" t="s">
        <v>57</v>
      </c>
      <c r="AA158" s="30" t="s">
        <v>58</v>
      </c>
      <c r="AB158" s="30" t="s">
        <v>56</v>
      </c>
      <c r="AC158" s="27"/>
      <c r="AD158" s="31" t="s">
        <v>57</v>
      </c>
      <c r="AE158" s="32" t="str">
        <f t="shared" si="12"/>
        <v>✓ OK</v>
      </c>
      <c r="AF158" s="33" t="s">
        <v>61</v>
      </c>
      <c r="AG158" s="33" t="s">
        <v>55</v>
      </c>
      <c r="AH158" s="33" t="s">
        <v>56</v>
      </c>
      <c r="AI158" s="33" t="s">
        <v>57</v>
      </c>
      <c r="AJ158" s="33" t="s">
        <v>58</v>
      </c>
      <c r="AK158" s="33" t="s">
        <v>56</v>
      </c>
      <c r="AL158" s="27"/>
      <c r="AM158" s="34" t="s">
        <v>57</v>
      </c>
      <c r="AN158" s="35" t="str">
        <f t="shared" si="13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5942</v>
      </c>
      <c r="C159" s="25" t="s">
        <v>5943</v>
      </c>
      <c r="D159" s="23" t="s">
        <v>5821</v>
      </c>
      <c r="E159" s="42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69">
        <v>46196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70">
        <v>46248</v>
      </c>
      <c r="X159" s="30" t="s">
        <v>55</v>
      </c>
      <c r="Y159" s="30" t="s">
        <v>56</v>
      </c>
      <c r="Z159" s="30" t="s">
        <v>57</v>
      </c>
      <c r="AA159" s="30" t="s">
        <v>58</v>
      </c>
      <c r="AB159" s="30" t="s">
        <v>56</v>
      </c>
      <c r="AC159" s="27"/>
      <c r="AD159" s="31" t="s">
        <v>57</v>
      </c>
      <c r="AE159" s="32" t="str">
        <f t="shared" si="12"/>
        <v>✓ OK</v>
      </c>
      <c r="AF159" s="33" t="s">
        <v>61</v>
      </c>
      <c r="AG159" s="33" t="s">
        <v>55</v>
      </c>
      <c r="AH159" s="33" t="s">
        <v>56</v>
      </c>
      <c r="AI159" s="33" t="s">
        <v>57</v>
      </c>
      <c r="AJ159" s="33" t="s">
        <v>58</v>
      </c>
      <c r="AK159" s="33" t="s">
        <v>56</v>
      </c>
      <c r="AL159" s="27"/>
      <c r="AM159" s="34" t="s">
        <v>57</v>
      </c>
      <c r="AN159" s="35" t="str">
        <f t="shared" si="13"/>
        <v>✓ OK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5944</v>
      </c>
      <c r="C160" s="41" t="s">
        <v>5945</v>
      </c>
      <c r="D160" s="39" t="s">
        <v>5821</v>
      </c>
      <c r="E160" s="42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69">
        <v>46196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70">
        <v>46248</v>
      </c>
      <c r="X160" s="30" t="s">
        <v>55</v>
      </c>
      <c r="Y160" s="30" t="s">
        <v>56</v>
      </c>
      <c r="Z160" s="30" t="s">
        <v>57</v>
      </c>
      <c r="AA160" s="30" t="s">
        <v>58</v>
      </c>
      <c r="AB160" s="30" t="s">
        <v>56</v>
      </c>
      <c r="AC160" s="27"/>
      <c r="AD160" s="31" t="s">
        <v>57</v>
      </c>
      <c r="AE160" s="32" t="str">
        <f t="shared" si="12"/>
        <v>✓ OK</v>
      </c>
      <c r="AF160" s="33" t="s">
        <v>61</v>
      </c>
      <c r="AG160" s="33" t="s">
        <v>55</v>
      </c>
      <c r="AH160" s="33" t="s">
        <v>56</v>
      </c>
      <c r="AI160" s="33" t="s">
        <v>57</v>
      </c>
      <c r="AJ160" s="33" t="s">
        <v>58</v>
      </c>
      <c r="AK160" s="33" t="s">
        <v>56</v>
      </c>
      <c r="AL160" s="27"/>
      <c r="AM160" s="34" t="s">
        <v>57</v>
      </c>
      <c r="AN160" s="35" t="str">
        <f t="shared" si="13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5946</v>
      </c>
      <c r="C161" s="25" t="s">
        <v>5947</v>
      </c>
      <c r="D161" s="23" t="s">
        <v>5821</v>
      </c>
      <c r="E161" s="42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69">
        <v>46196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70">
        <v>46248</v>
      </c>
      <c r="X161" s="30" t="s">
        <v>55</v>
      </c>
      <c r="Y161" s="30" t="s">
        <v>56</v>
      </c>
      <c r="Z161" s="30" t="s">
        <v>57</v>
      </c>
      <c r="AA161" s="30" t="s">
        <v>58</v>
      </c>
      <c r="AB161" s="30" t="s">
        <v>56</v>
      </c>
      <c r="AC161" s="27"/>
      <c r="AD161" s="31" t="s">
        <v>57</v>
      </c>
      <c r="AE161" s="32" t="str">
        <f t="shared" si="12"/>
        <v>✓ OK</v>
      </c>
      <c r="AF161" s="33" t="s">
        <v>61</v>
      </c>
      <c r="AG161" s="33" t="s">
        <v>55</v>
      </c>
      <c r="AH161" s="33" t="s">
        <v>56</v>
      </c>
      <c r="AI161" s="33" t="s">
        <v>57</v>
      </c>
      <c r="AJ161" s="33" t="s">
        <v>58</v>
      </c>
      <c r="AK161" s="33" t="s">
        <v>56</v>
      </c>
      <c r="AL161" s="27"/>
      <c r="AM161" s="34" t="s">
        <v>57</v>
      </c>
      <c r="AN161" s="35" t="str">
        <f t="shared" si="13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5948</v>
      </c>
      <c r="C162" s="41" t="s">
        <v>5949</v>
      </c>
      <c r="D162" s="39" t="s">
        <v>5821</v>
      </c>
      <c r="E162" s="42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69">
        <v>46196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70">
        <v>46248</v>
      </c>
      <c r="X162" s="30" t="s">
        <v>55</v>
      </c>
      <c r="Y162" s="30" t="s">
        <v>56</v>
      </c>
      <c r="Z162" s="30" t="s">
        <v>57</v>
      </c>
      <c r="AA162" s="30" t="s">
        <v>58</v>
      </c>
      <c r="AB162" s="30" t="s">
        <v>56</v>
      </c>
      <c r="AC162" s="27"/>
      <c r="AD162" s="31" t="s">
        <v>57</v>
      </c>
      <c r="AE162" s="32" t="str">
        <f t="shared" si="12"/>
        <v>✓ OK</v>
      </c>
      <c r="AF162" s="33" t="s">
        <v>61</v>
      </c>
      <c r="AG162" s="33" t="s">
        <v>55</v>
      </c>
      <c r="AH162" s="33" t="s">
        <v>56</v>
      </c>
      <c r="AI162" s="33" t="s">
        <v>57</v>
      </c>
      <c r="AJ162" s="33" t="s">
        <v>58</v>
      </c>
      <c r="AK162" s="33" t="s">
        <v>56</v>
      </c>
      <c r="AL162" s="27"/>
      <c r="AM162" s="34" t="s">
        <v>57</v>
      </c>
      <c r="AN162" s="35" t="str">
        <f t="shared" si="13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5950</v>
      </c>
      <c r="C163" s="25" t="s">
        <v>5951</v>
      </c>
      <c r="D163" s="23" t="s">
        <v>5821</v>
      </c>
      <c r="E163" s="42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69">
        <v>46196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70">
        <v>46248</v>
      </c>
      <c r="X163" s="30" t="s">
        <v>55</v>
      </c>
      <c r="Y163" s="30" t="s">
        <v>56</v>
      </c>
      <c r="Z163" s="30" t="s">
        <v>57</v>
      </c>
      <c r="AA163" s="30" t="s">
        <v>58</v>
      </c>
      <c r="AB163" s="30" t="s">
        <v>56</v>
      </c>
      <c r="AC163" s="27"/>
      <c r="AD163" s="31" t="s">
        <v>57</v>
      </c>
      <c r="AE163" s="32" t="str">
        <f t="shared" si="12"/>
        <v>✓ OK</v>
      </c>
      <c r="AF163" s="33" t="s">
        <v>61</v>
      </c>
      <c r="AG163" s="33" t="s">
        <v>55</v>
      </c>
      <c r="AH163" s="33" t="s">
        <v>56</v>
      </c>
      <c r="AI163" s="33" t="s">
        <v>57</v>
      </c>
      <c r="AJ163" s="33" t="s">
        <v>58</v>
      </c>
      <c r="AK163" s="33" t="s">
        <v>56</v>
      </c>
      <c r="AL163" s="27"/>
      <c r="AM163" s="34" t="s">
        <v>57</v>
      </c>
      <c r="AN163" s="35" t="str">
        <f t="shared" si="13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5952</v>
      </c>
      <c r="C164" s="41" t="s">
        <v>5953</v>
      </c>
      <c r="D164" s="39" t="s">
        <v>5821</v>
      </c>
      <c r="E164" s="42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69">
        <v>46196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70">
        <v>46248</v>
      </c>
      <c r="X164" s="30" t="s">
        <v>55</v>
      </c>
      <c r="Y164" s="30" t="s">
        <v>56</v>
      </c>
      <c r="Z164" s="30" t="s">
        <v>57</v>
      </c>
      <c r="AA164" s="30" t="s">
        <v>58</v>
      </c>
      <c r="AB164" s="30" t="s">
        <v>56</v>
      </c>
      <c r="AC164" s="27"/>
      <c r="AD164" s="31" t="s">
        <v>57</v>
      </c>
      <c r="AE164" s="32" t="str">
        <f t="shared" si="12"/>
        <v>✓ OK</v>
      </c>
      <c r="AF164" s="33" t="s">
        <v>61</v>
      </c>
      <c r="AG164" s="33" t="s">
        <v>55</v>
      </c>
      <c r="AH164" s="33" t="s">
        <v>56</v>
      </c>
      <c r="AI164" s="33" t="s">
        <v>57</v>
      </c>
      <c r="AJ164" s="33" t="s">
        <v>58</v>
      </c>
      <c r="AK164" s="33" t="s">
        <v>56</v>
      </c>
      <c r="AL164" s="27"/>
      <c r="AM164" s="34" t="s">
        <v>57</v>
      </c>
      <c r="AN164" s="35" t="str">
        <f t="shared" si="13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5954</v>
      </c>
      <c r="C165" s="25" t="s">
        <v>5955</v>
      </c>
      <c r="D165" s="23" t="s">
        <v>5821</v>
      </c>
      <c r="E165" s="42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69">
        <v>46196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70">
        <v>46248</v>
      </c>
      <c r="X165" s="30" t="s">
        <v>55</v>
      </c>
      <c r="Y165" s="30" t="s">
        <v>56</v>
      </c>
      <c r="Z165" s="30" t="s">
        <v>57</v>
      </c>
      <c r="AA165" s="30" t="s">
        <v>58</v>
      </c>
      <c r="AB165" s="30" t="s">
        <v>56</v>
      </c>
      <c r="AC165" s="27"/>
      <c r="AD165" s="31" t="s">
        <v>57</v>
      </c>
      <c r="AE165" s="32" t="str">
        <f t="shared" si="12"/>
        <v>✓ OK</v>
      </c>
      <c r="AF165" s="33" t="s">
        <v>61</v>
      </c>
      <c r="AG165" s="33" t="s">
        <v>55</v>
      </c>
      <c r="AH165" s="33" t="s">
        <v>56</v>
      </c>
      <c r="AI165" s="33" t="s">
        <v>57</v>
      </c>
      <c r="AJ165" s="33" t="s">
        <v>58</v>
      </c>
      <c r="AK165" s="33" t="s">
        <v>56</v>
      </c>
      <c r="AL165" s="27"/>
      <c r="AM165" s="34" t="s">
        <v>57</v>
      </c>
      <c r="AN165" s="35" t="str">
        <f t="shared" si="13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5956</v>
      </c>
      <c r="C166" s="41" t="s">
        <v>5957</v>
      </c>
      <c r="D166" s="39" t="s">
        <v>5821</v>
      </c>
      <c r="E166" s="42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69">
        <v>46196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70">
        <v>46248</v>
      </c>
      <c r="X166" s="30" t="s">
        <v>55</v>
      </c>
      <c r="Y166" s="30" t="s">
        <v>56</v>
      </c>
      <c r="Z166" s="30" t="s">
        <v>57</v>
      </c>
      <c r="AA166" s="30" t="s">
        <v>58</v>
      </c>
      <c r="AB166" s="30" t="s">
        <v>56</v>
      </c>
      <c r="AC166" s="27"/>
      <c r="AD166" s="31" t="s">
        <v>57</v>
      </c>
      <c r="AE166" s="32" t="str">
        <f t="shared" si="12"/>
        <v>✓ OK</v>
      </c>
      <c r="AF166" s="33" t="s">
        <v>61</v>
      </c>
      <c r="AG166" s="33" t="s">
        <v>55</v>
      </c>
      <c r="AH166" s="33" t="s">
        <v>56</v>
      </c>
      <c r="AI166" s="33" t="s">
        <v>57</v>
      </c>
      <c r="AJ166" s="33" t="s">
        <v>58</v>
      </c>
      <c r="AK166" s="33" t="s">
        <v>56</v>
      </c>
      <c r="AL166" s="27"/>
      <c r="AM166" s="34" t="s">
        <v>57</v>
      </c>
      <c r="AN166" s="35" t="str">
        <f t="shared" si="13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5958</v>
      </c>
      <c r="C167" s="25" t="s">
        <v>5959</v>
      </c>
      <c r="D167" s="23" t="s">
        <v>5821</v>
      </c>
      <c r="E167" s="42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69">
        <v>46196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70">
        <v>46248</v>
      </c>
      <c r="X167" s="30" t="s">
        <v>55</v>
      </c>
      <c r="Y167" s="30" t="s">
        <v>56</v>
      </c>
      <c r="Z167" s="30" t="s">
        <v>57</v>
      </c>
      <c r="AA167" s="30" t="s">
        <v>58</v>
      </c>
      <c r="AB167" s="30" t="s">
        <v>56</v>
      </c>
      <c r="AC167" s="27"/>
      <c r="AD167" s="31" t="s">
        <v>57</v>
      </c>
      <c r="AE167" s="32" t="str">
        <f t="shared" si="12"/>
        <v>✓ OK</v>
      </c>
      <c r="AF167" s="33" t="s">
        <v>61</v>
      </c>
      <c r="AG167" s="33" t="s">
        <v>55</v>
      </c>
      <c r="AH167" s="33" t="s">
        <v>56</v>
      </c>
      <c r="AI167" s="33" t="s">
        <v>57</v>
      </c>
      <c r="AJ167" s="33" t="s">
        <v>58</v>
      </c>
      <c r="AK167" s="33" t="s">
        <v>56</v>
      </c>
      <c r="AL167" s="27"/>
      <c r="AM167" s="34" t="s">
        <v>57</v>
      </c>
      <c r="AN167" s="35" t="str">
        <f t="shared" si="13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5960</v>
      </c>
      <c r="C168" s="41" t="s">
        <v>5961</v>
      </c>
      <c r="D168" s="39" t="s">
        <v>5821</v>
      </c>
      <c r="E168" s="42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69">
        <v>46196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70">
        <v>46248</v>
      </c>
      <c r="X168" s="30" t="s">
        <v>55</v>
      </c>
      <c r="Y168" s="30" t="s">
        <v>56</v>
      </c>
      <c r="Z168" s="30" t="s">
        <v>57</v>
      </c>
      <c r="AA168" s="30" t="s">
        <v>58</v>
      </c>
      <c r="AB168" s="30" t="s">
        <v>56</v>
      </c>
      <c r="AC168" s="27"/>
      <c r="AD168" s="31" t="s">
        <v>57</v>
      </c>
      <c r="AE168" s="32" t="str">
        <f t="shared" si="12"/>
        <v>✓ OK</v>
      </c>
      <c r="AF168" s="33" t="s">
        <v>61</v>
      </c>
      <c r="AG168" s="33" t="s">
        <v>55</v>
      </c>
      <c r="AH168" s="33" t="s">
        <v>56</v>
      </c>
      <c r="AI168" s="33" t="s">
        <v>57</v>
      </c>
      <c r="AJ168" s="33" t="s">
        <v>58</v>
      </c>
      <c r="AK168" s="33" t="s">
        <v>56</v>
      </c>
      <c r="AL168" s="27"/>
      <c r="AM168" s="34" t="s">
        <v>57</v>
      </c>
      <c r="AN168" s="35" t="str">
        <f t="shared" si="13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5962</v>
      </c>
      <c r="C169" s="25" t="s">
        <v>5963</v>
      </c>
      <c r="D169" s="23" t="s">
        <v>5821</v>
      </c>
      <c r="E169" s="42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69">
        <v>46196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70">
        <v>46248</v>
      </c>
      <c r="X169" s="30" t="s">
        <v>55</v>
      </c>
      <c r="Y169" s="30" t="s">
        <v>56</v>
      </c>
      <c r="Z169" s="30" t="s">
        <v>57</v>
      </c>
      <c r="AA169" s="30" t="s">
        <v>58</v>
      </c>
      <c r="AB169" s="30" t="s">
        <v>56</v>
      </c>
      <c r="AC169" s="27"/>
      <c r="AD169" s="31" t="s">
        <v>57</v>
      </c>
      <c r="AE169" s="32" t="str">
        <f t="shared" si="12"/>
        <v>✓ OK</v>
      </c>
      <c r="AF169" s="33" t="s">
        <v>61</v>
      </c>
      <c r="AG169" s="33" t="s">
        <v>55</v>
      </c>
      <c r="AH169" s="33" t="s">
        <v>56</v>
      </c>
      <c r="AI169" s="33" t="s">
        <v>57</v>
      </c>
      <c r="AJ169" s="33" t="s">
        <v>58</v>
      </c>
      <c r="AK169" s="33" t="s">
        <v>56</v>
      </c>
      <c r="AL169" s="27"/>
      <c r="AM169" s="34" t="s">
        <v>57</v>
      </c>
      <c r="AN169" s="35" t="str">
        <f t="shared" si="13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5964</v>
      </c>
      <c r="C170" s="41" t="s">
        <v>5965</v>
      </c>
      <c r="D170" s="39" t="s">
        <v>5821</v>
      </c>
      <c r="E170" s="42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69">
        <v>46196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70">
        <v>46248</v>
      </c>
      <c r="X170" s="30" t="s">
        <v>55</v>
      </c>
      <c r="Y170" s="30" t="s">
        <v>56</v>
      </c>
      <c r="Z170" s="30" t="s">
        <v>57</v>
      </c>
      <c r="AA170" s="30" t="s">
        <v>58</v>
      </c>
      <c r="AB170" s="30" t="s">
        <v>56</v>
      </c>
      <c r="AC170" s="27"/>
      <c r="AD170" s="31" t="s">
        <v>57</v>
      </c>
      <c r="AE170" s="32" t="str">
        <f t="shared" si="12"/>
        <v>✓ OK</v>
      </c>
      <c r="AF170" s="33" t="s">
        <v>61</v>
      </c>
      <c r="AG170" s="33" t="s">
        <v>55</v>
      </c>
      <c r="AH170" s="33" t="s">
        <v>56</v>
      </c>
      <c r="AI170" s="33" t="s">
        <v>57</v>
      </c>
      <c r="AJ170" s="33" t="s">
        <v>58</v>
      </c>
      <c r="AK170" s="33" t="s">
        <v>56</v>
      </c>
      <c r="AL170" s="27"/>
      <c r="AM170" s="34" t="s">
        <v>57</v>
      </c>
      <c r="AN170" s="35" t="str">
        <f t="shared" si="13"/>
        <v>✓ OK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5966</v>
      </c>
      <c r="C171" s="25" t="s">
        <v>5967</v>
      </c>
      <c r="D171" s="23" t="s">
        <v>5821</v>
      </c>
      <c r="E171" s="42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69">
        <v>46196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70">
        <v>46248</v>
      </c>
      <c r="X171" s="30" t="s">
        <v>55</v>
      </c>
      <c r="Y171" s="30" t="s">
        <v>56</v>
      </c>
      <c r="Z171" s="30" t="s">
        <v>57</v>
      </c>
      <c r="AA171" s="30" t="s">
        <v>58</v>
      </c>
      <c r="AB171" s="30" t="s">
        <v>56</v>
      </c>
      <c r="AC171" s="27"/>
      <c r="AD171" s="31" t="s">
        <v>57</v>
      </c>
      <c r="AE171" s="32" t="str">
        <f t="shared" si="12"/>
        <v>✓ OK</v>
      </c>
      <c r="AF171" s="33" t="s">
        <v>61</v>
      </c>
      <c r="AG171" s="33" t="s">
        <v>55</v>
      </c>
      <c r="AH171" s="33" t="s">
        <v>56</v>
      </c>
      <c r="AI171" s="33" t="s">
        <v>57</v>
      </c>
      <c r="AJ171" s="33" t="s">
        <v>58</v>
      </c>
      <c r="AK171" s="33" t="s">
        <v>56</v>
      </c>
      <c r="AL171" s="27"/>
      <c r="AM171" s="34" t="s">
        <v>57</v>
      </c>
      <c r="AN171" s="35" t="str">
        <f t="shared" si="13"/>
        <v>✓ OK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5968</v>
      </c>
      <c r="C172" s="41" t="s">
        <v>5969</v>
      </c>
      <c r="D172" s="39" t="s">
        <v>5821</v>
      </c>
      <c r="E172" s="42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69">
        <v>46196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70">
        <v>46248</v>
      </c>
      <c r="X172" s="30" t="s">
        <v>55</v>
      </c>
      <c r="Y172" s="30" t="s">
        <v>56</v>
      </c>
      <c r="Z172" s="30" t="s">
        <v>57</v>
      </c>
      <c r="AA172" s="30" t="s">
        <v>58</v>
      </c>
      <c r="AB172" s="30" t="s">
        <v>56</v>
      </c>
      <c r="AC172" s="27"/>
      <c r="AD172" s="31" t="s">
        <v>57</v>
      </c>
      <c r="AE172" s="32" t="str">
        <f t="shared" si="12"/>
        <v>✓ OK</v>
      </c>
      <c r="AF172" s="33" t="s">
        <v>61</v>
      </c>
      <c r="AG172" s="33" t="s">
        <v>55</v>
      </c>
      <c r="AH172" s="33" t="s">
        <v>56</v>
      </c>
      <c r="AI172" s="33" t="s">
        <v>57</v>
      </c>
      <c r="AJ172" s="33" t="s">
        <v>58</v>
      </c>
      <c r="AK172" s="33" t="s">
        <v>56</v>
      </c>
      <c r="AL172" s="27"/>
      <c r="AM172" s="34" t="s">
        <v>57</v>
      </c>
      <c r="AN172" s="35" t="str">
        <f t="shared" si="13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5970</v>
      </c>
      <c r="C173" s="25" t="s">
        <v>5971</v>
      </c>
      <c r="D173" s="23" t="s">
        <v>5821</v>
      </c>
      <c r="E173" s="42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69">
        <v>46196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70">
        <v>46248</v>
      </c>
      <c r="X173" s="30" t="s">
        <v>55</v>
      </c>
      <c r="Y173" s="30" t="s">
        <v>56</v>
      </c>
      <c r="Z173" s="30" t="s">
        <v>57</v>
      </c>
      <c r="AA173" s="30" t="s">
        <v>58</v>
      </c>
      <c r="AB173" s="30" t="s">
        <v>56</v>
      </c>
      <c r="AC173" s="27"/>
      <c r="AD173" s="31" t="s">
        <v>57</v>
      </c>
      <c r="AE173" s="32" t="str">
        <f t="shared" si="12"/>
        <v>✓ OK</v>
      </c>
      <c r="AF173" s="33" t="s">
        <v>61</v>
      </c>
      <c r="AG173" s="33" t="s">
        <v>55</v>
      </c>
      <c r="AH173" s="33" t="s">
        <v>56</v>
      </c>
      <c r="AI173" s="33" t="s">
        <v>57</v>
      </c>
      <c r="AJ173" s="33" t="s">
        <v>58</v>
      </c>
      <c r="AK173" s="33" t="s">
        <v>56</v>
      </c>
      <c r="AL173" s="27"/>
      <c r="AM173" s="34" t="s">
        <v>57</v>
      </c>
      <c r="AN173" s="35" t="str">
        <f t="shared" si="13"/>
        <v>✓ OK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5972</v>
      </c>
      <c r="C174" s="41" t="s">
        <v>5973</v>
      </c>
      <c r="D174" s="39" t="s">
        <v>5821</v>
      </c>
      <c r="E174" s="42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69">
        <v>46196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70">
        <v>46248</v>
      </c>
      <c r="X174" s="30" t="s">
        <v>55</v>
      </c>
      <c r="Y174" s="30" t="s">
        <v>56</v>
      </c>
      <c r="Z174" s="30" t="s">
        <v>57</v>
      </c>
      <c r="AA174" s="30" t="s">
        <v>58</v>
      </c>
      <c r="AB174" s="30" t="s">
        <v>56</v>
      </c>
      <c r="AC174" s="27"/>
      <c r="AD174" s="31" t="s">
        <v>57</v>
      </c>
      <c r="AE174" s="32" t="str">
        <f t="shared" si="12"/>
        <v>✓ OK</v>
      </c>
      <c r="AF174" s="33" t="s">
        <v>61</v>
      </c>
      <c r="AG174" s="33" t="s">
        <v>55</v>
      </c>
      <c r="AH174" s="33" t="s">
        <v>56</v>
      </c>
      <c r="AI174" s="33" t="s">
        <v>57</v>
      </c>
      <c r="AJ174" s="33" t="s">
        <v>58</v>
      </c>
      <c r="AK174" s="33" t="s">
        <v>56</v>
      </c>
      <c r="AL174" s="27"/>
      <c r="AM174" s="34" t="s">
        <v>57</v>
      </c>
      <c r="AN174" s="35" t="str">
        <f t="shared" si="13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5974</v>
      </c>
      <c r="C175" s="25" t="s">
        <v>5975</v>
      </c>
      <c r="D175" s="23" t="s">
        <v>5821</v>
      </c>
      <c r="E175" s="42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69">
        <v>46196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70">
        <v>46248</v>
      </c>
      <c r="X175" s="30" t="s">
        <v>55</v>
      </c>
      <c r="Y175" s="30" t="s">
        <v>56</v>
      </c>
      <c r="Z175" s="30" t="s">
        <v>57</v>
      </c>
      <c r="AA175" s="30" t="s">
        <v>58</v>
      </c>
      <c r="AB175" s="30" t="s">
        <v>56</v>
      </c>
      <c r="AC175" s="27"/>
      <c r="AD175" s="31" t="s">
        <v>57</v>
      </c>
      <c r="AE175" s="32" t="str">
        <f t="shared" si="12"/>
        <v>✓ OK</v>
      </c>
      <c r="AF175" s="33" t="s">
        <v>61</v>
      </c>
      <c r="AG175" s="33" t="s">
        <v>55</v>
      </c>
      <c r="AH175" s="33" t="s">
        <v>56</v>
      </c>
      <c r="AI175" s="33" t="s">
        <v>57</v>
      </c>
      <c r="AJ175" s="33" t="s">
        <v>58</v>
      </c>
      <c r="AK175" s="33" t="s">
        <v>56</v>
      </c>
      <c r="AL175" s="27"/>
      <c r="AM175" s="34" t="s">
        <v>57</v>
      </c>
      <c r="AN175" s="35" t="str">
        <f t="shared" si="13"/>
        <v>✓ OK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5976</v>
      </c>
      <c r="C176" s="41" t="s">
        <v>5977</v>
      </c>
      <c r="D176" s="39" t="s">
        <v>5821</v>
      </c>
      <c r="E176" s="42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69">
        <v>46196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70">
        <v>46248</v>
      </c>
      <c r="X176" s="30" t="s">
        <v>55</v>
      </c>
      <c r="Y176" s="30" t="s">
        <v>56</v>
      </c>
      <c r="Z176" s="30" t="s">
        <v>57</v>
      </c>
      <c r="AA176" s="30" t="s">
        <v>58</v>
      </c>
      <c r="AB176" s="30" t="s">
        <v>56</v>
      </c>
      <c r="AC176" s="27"/>
      <c r="AD176" s="31" t="s">
        <v>57</v>
      </c>
      <c r="AE176" s="32" t="str">
        <f t="shared" si="12"/>
        <v>✓ OK</v>
      </c>
      <c r="AF176" s="33" t="s">
        <v>61</v>
      </c>
      <c r="AG176" s="33" t="s">
        <v>55</v>
      </c>
      <c r="AH176" s="33" t="s">
        <v>56</v>
      </c>
      <c r="AI176" s="33" t="s">
        <v>57</v>
      </c>
      <c r="AJ176" s="33" t="s">
        <v>58</v>
      </c>
      <c r="AK176" s="33" t="s">
        <v>56</v>
      </c>
      <c r="AL176" s="27"/>
      <c r="AM176" s="34" t="s">
        <v>57</v>
      </c>
      <c r="AN176" s="35" t="str">
        <f t="shared" si="13"/>
        <v>✓ OK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5978</v>
      </c>
      <c r="C177" s="25" t="s">
        <v>5979</v>
      </c>
      <c r="D177" s="23" t="s">
        <v>5821</v>
      </c>
      <c r="E177" s="42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69">
        <v>46196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70">
        <v>46248</v>
      </c>
      <c r="X177" s="30" t="s">
        <v>55</v>
      </c>
      <c r="Y177" s="30" t="s">
        <v>56</v>
      </c>
      <c r="Z177" s="30" t="s">
        <v>57</v>
      </c>
      <c r="AA177" s="30" t="s">
        <v>58</v>
      </c>
      <c r="AB177" s="30" t="s">
        <v>56</v>
      </c>
      <c r="AC177" s="27"/>
      <c r="AD177" s="31" t="s">
        <v>57</v>
      </c>
      <c r="AE177" s="32" t="str">
        <f t="shared" si="12"/>
        <v>✓ OK</v>
      </c>
      <c r="AF177" s="33" t="s">
        <v>61</v>
      </c>
      <c r="AG177" s="33" t="s">
        <v>55</v>
      </c>
      <c r="AH177" s="33" t="s">
        <v>56</v>
      </c>
      <c r="AI177" s="33" t="s">
        <v>57</v>
      </c>
      <c r="AJ177" s="33" t="s">
        <v>58</v>
      </c>
      <c r="AK177" s="33" t="s">
        <v>56</v>
      </c>
      <c r="AL177" s="27"/>
      <c r="AM177" s="34" t="s">
        <v>57</v>
      </c>
      <c r="AN177" s="35" t="str">
        <f t="shared" si="13"/>
        <v>✓ OK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5980</v>
      </c>
      <c r="C178" s="41" t="s">
        <v>5981</v>
      </c>
      <c r="D178" s="39" t="s">
        <v>5821</v>
      </c>
      <c r="E178" s="42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69">
        <v>46196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70">
        <v>46248</v>
      </c>
      <c r="X178" s="30" t="s">
        <v>55</v>
      </c>
      <c r="Y178" s="30" t="s">
        <v>56</v>
      </c>
      <c r="Z178" s="30" t="s">
        <v>57</v>
      </c>
      <c r="AA178" s="30" t="s">
        <v>58</v>
      </c>
      <c r="AB178" s="30" t="s">
        <v>56</v>
      </c>
      <c r="AC178" s="27"/>
      <c r="AD178" s="31" t="s">
        <v>57</v>
      </c>
      <c r="AE178" s="32" t="str">
        <f t="shared" si="12"/>
        <v>✓ OK</v>
      </c>
      <c r="AF178" s="33" t="s">
        <v>61</v>
      </c>
      <c r="AG178" s="33" t="s">
        <v>55</v>
      </c>
      <c r="AH178" s="33" t="s">
        <v>56</v>
      </c>
      <c r="AI178" s="33" t="s">
        <v>57</v>
      </c>
      <c r="AJ178" s="33" t="s">
        <v>58</v>
      </c>
      <c r="AK178" s="33" t="s">
        <v>56</v>
      </c>
      <c r="AL178" s="27"/>
      <c r="AM178" s="34" t="s">
        <v>57</v>
      </c>
      <c r="AN178" s="35" t="str">
        <f t="shared" si="13"/>
        <v>✓ OK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5982</v>
      </c>
      <c r="C179" s="25" t="s">
        <v>5983</v>
      </c>
      <c r="D179" s="23" t="s">
        <v>5821</v>
      </c>
      <c r="E179" s="42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69">
        <v>46196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70">
        <v>46248</v>
      </c>
      <c r="X179" s="30" t="s">
        <v>55</v>
      </c>
      <c r="Y179" s="30" t="s">
        <v>56</v>
      </c>
      <c r="Z179" s="30" t="s">
        <v>57</v>
      </c>
      <c r="AA179" s="30" t="s">
        <v>58</v>
      </c>
      <c r="AB179" s="30" t="s">
        <v>56</v>
      </c>
      <c r="AC179" s="27"/>
      <c r="AD179" s="31" t="s">
        <v>57</v>
      </c>
      <c r="AE179" s="32" t="str">
        <f t="shared" si="12"/>
        <v>✓ OK</v>
      </c>
      <c r="AF179" s="33" t="s">
        <v>61</v>
      </c>
      <c r="AG179" s="33" t="s">
        <v>55</v>
      </c>
      <c r="AH179" s="33" t="s">
        <v>56</v>
      </c>
      <c r="AI179" s="33" t="s">
        <v>57</v>
      </c>
      <c r="AJ179" s="33" t="s">
        <v>58</v>
      </c>
      <c r="AK179" s="33" t="s">
        <v>56</v>
      </c>
      <c r="AL179" s="27"/>
      <c r="AM179" s="34" t="s">
        <v>57</v>
      </c>
      <c r="AN179" s="35" t="str">
        <f t="shared" si="13"/>
        <v>✓ OK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5984</v>
      </c>
      <c r="C180" s="41" t="s">
        <v>5985</v>
      </c>
      <c r="D180" s="39" t="s">
        <v>5821</v>
      </c>
      <c r="E180" s="42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69">
        <v>46196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70">
        <v>46248</v>
      </c>
      <c r="X180" s="30" t="s">
        <v>55</v>
      </c>
      <c r="Y180" s="30" t="s">
        <v>56</v>
      </c>
      <c r="Z180" s="30" t="s">
        <v>57</v>
      </c>
      <c r="AA180" s="30" t="s">
        <v>58</v>
      </c>
      <c r="AB180" s="30" t="s">
        <v>56</v>
      </c>
      <c r="AC180" s="27"/>
      <c r="AD180" s="31" t="s">
        <v>57</v>
      </c>
      <c r="AE180" s="32" t="str">
        <f t="shared" si="12"/>
        <v>✓ OK</v>
      </c>
      <c r="AF180" s="33" t="s">
        <v>61</v>
      </c>
      <c r="AG180" s="33" t="s">
        <v>55</v>
      </c>
      <c r="AH180" s="33" t="s">
        <v>56</v>
      </c>
      <c r="AI180" s="33" t="s">
        <v>57</v>
      </c>
      <c r="AJ180" s="33" t="s">
        <v>58</v>
      </c>
      <c r="AK180" s="33" t="s">
        <v>56</v>
      </c>
      <c r="AL180" s="27"/>
      <c r="AM180" s="34" t="s">
        <v>57</v>
      </c>
      <c r="AN180" s="35" t="str">
        <f t="shared" si="13"/>
        <v>✓ OK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5986</v>
      </c>
      <c r="C181" s="25" t="s">
        <v>5987</v>
      </c>
      <c r="D181" s="23" t="s">
        <v>5821</v>
      </c>
      <c r="E181" s="42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69">
        <v>46196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70">
        <v>46248</v>
      </c>
      <c r="X181" s="30" t="s">
        <v>55</v>
      </c>
      <c r="Y181" s="30" t="s">
        <v>56</v>
      </c>
      <c r="Z181" s="30" t="s">
        <v>57</v>
      </c>
      <c r="AA181" s="30" t="s">
        <v>58</v>
      </c>
      <c r="AB181" s="30" t="s">
        <v>56</v>
      </c>
      <c r="AC181" s="27"/>
      <c r="AD181" s="31" t="s">
        <v>57</v>
      </c>
      <c r="AE181" s="32" t="str">
        <f t="shared" si="12"/>
        <v>✓ OK</v>
      </c>
      <c r="AF181" s="33" t="s">
        <v>61</v>
      </c>
      <c r="AG181" s="33" t="s">
        <v>55</v>
      </c>
      <c r="AH181" s="33" t="s">
        <v>56</v>
      </c>
      <c r="AI181" s="33" t="s">
        <v>57</v>
      </c>
      <c r="AJ181" s="33" t="s">
        <v>58</v>
      </c>
      <c r="AK181" s="33" t="s">
        <v>56</v>
      </c>
      <c r="AL181" s="27"/>
      <c r="AM181" s="34" t="s">
        <v>57</v>
      </c>
      <c r="AN181" s="35" t="str">
        <f t="shared" si="13"/>
        <v>✓ OK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5988</v>
      </c>
      <c r="C182" s="41" t="s">
        <v>5989</v>
      </c>
      <c r="D182" s="39" t="s">
        <v>5821</v>
      </c>
      <c r="E182" s="42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69">
        <v>46196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70">
        <v>46248</v>
      </c>
      <c r="X182" s="30" t="s">
        <v>55</v>
      </c>
      <c r="Y182" s="30" t="s">
        <v>56</v>
      </c>
      <c r="Z182" s="30" t="s">
        <v>57</v>
      </c>
      <c r="AA182" s="30" t="s">
        <v>58</v>
      </c>
      <c r="AB182" s="30" t="s">
        <v>56</v>
      </c>
      <c r="AC182" s="27"/>
      <c r="AD182" s="31" t="s">
        <v>57</v>
      </c>
      <c r="AE182" s="32" t="str">
        <f t="shared" si="12"/>
        <v>✓ OK</v>
      </c>
      <c r="AF182" s="33" t="s">
        <v>61</v>
      </c>
      <c r="AG182" s="33" t="s">
        <v>55</v>
      </c>
      <c r="AH182" s="33" t="s">
        <v>56</v>
      </c>
      <c r="AI182" s="33" t="s">
        <v>57</v>
      </c>
      <c r="AJ182" s="33" t="s">
        <v>58</v>
      </c>
      <c r="AK182" s="33" t="s">
        <v>56</v>
      </c>
      <c r="AL182" s="27"/>
      <c r="AM182" s="34" t="s">
        <v>57</v>
      </c>
      <c r="AN182" s="35" t="str">
        <f t="shared" si="13"/>
        <v>✓ OK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5990</v>
      </c>
      <c r="C183" s="25" t="s">
        <v>5991</v>
      </c>
      <c r="D183" s="23" t="s">
        <v>5821</v>
      </c>
      <c r="E183" s="42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69">
        <v>46196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70">
        <v>46248</v>
      </c>
      <c r="X183" s="30" t="s">
        <v>55</v>
      </c>
      <c r="Y183" s="30" t="s">
        <v>56</v>
      </c>
      <c r="Z183" s="30" t="s">
        <v>57</v>
      </c>
      <c r="AA183" s="30" t="s">
        <v>58</v>
      </c>
      <c r="AB183" s="30" t="s">
        <v>56</v>
      </c>
      <c r="AC183" s="27"/>
      <c r="AD183" s="31" t="s">
        <v>57</v>
      </c>
      <c r="AE183" s="32" t="str">
        <f t="shared" si="12"/>
        <v>✓ OK</v>
      </c>
      <c r="AF183" s="33" t="s">
        <v>61</v>
      </c>
      <c r="AG183" s="33" t="s">
        <v>55</v>
      </c>
      <c r="AH183" s="33" t="s">
        <v>56</v>
      </c>
      <c r="AI183" s="33" t="s">
        <v>57</v>
      </c>
      <c r="AJ183" s="33" t="s">
        <v>58</v>
      </c>
      <c r="AK183" s="33" t="s">
        <v>56</v>
      </c>
      <c r="AL183" s="27"/>
      <c r="AM183" s="34" t="s">
        <v>57</v>
      </c>
      <c r="AN183" s="35" t="str">
        <f t="shared" si="13"/>
        <v>✓ OK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5992</v>
      </c>
      <c r="C184" s="41" t="s">
        <v>5993</v>
      </c>
      <c r="D184" s="39" t="s">
        <v>5821</v>
      </c>
      <c r="E184" s="42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69">
        <v>46196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70">
        <v>46248</v>
      </c>
      <c r="X184" s="30" t="s">
        <v>55</v>
      </c>
      <c r="Y184" s="30" t="s">
        <v>56</v>
      </c>
      <c r="Z184" s="30" t="s">
        <v>57</v>
      </c>
      <c r="AA184" s="30" t="s">
        <v>58</v>
      </c>
      <c r="AB184" s="30" t="s">
        <v>56</v>
      </c>
      <c r="AC184" s="27"/>
      <c r="AD184" s="31" t="s">
        <v>57</v>
      </c>
      <c r="AE184" s="32" t="str">
        <f t="shared" si="12"/>
        <v>✓ OK</v>
      </c>
      <c r="AF184" s="33" t="s">
        <v>61</v>
      </c>
      <c r="AG184" s="33" t="s">
        <v>55</v>
      </c>
      <c r="AH184" s="33" t="s">
        <v>56</v>
      </c>
      <c r="AI184" s="33" t="s">
        <v>57</v>
      </c>
      <c r="AJ184" s="33" t="s">
        <v>58</v>
      </c>
      <c r="AK184" s="33" t="s">
        <v>56</v>
      </c>
      <c r="AL184" s="27"/>
      <c r="AM184" s="34" t="s">
        <v>57</v>
      </c>
      <c r="AN184" s="35" t="str">
        <f t="shared" si="13"/>
        <v>✓ OK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5994</v>
      </c>
      <c r="C185" s="25" t="s">
        <v>5995</v>
      </c>
      <c r="D185" s="23" t="s">
        <v>5821</v>
      </c>
      <c r="E185" s="42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69">
        <v>46196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70">
        <v>46248</v>
      </c>
      <c r="X185" s="30" t="s">
        <v>55</v>
      </c>
      <c r="Y185" s="30" t="s">
        <v>56</v>
      </c>
      <c r="Z185" s="30" t="s">
        <v>57</v>
      </c>
      <c r="AA185" s="30" t="s">
        <v>58</v>
      </c>
      <c r="AB185" s="30" t="s">
        <v>56</v>
      </c>
      <c r="AC185" s="27"/>
      <c r="AD185" s="31" t="s">
        <v>57</v>
      </c>
      <c r="AE185" s="32" t="str">
        <f t="shared" si="12"/>
        <v>✓ OK</v>
      </c>
      <c r="AF185" s="33" t="s">
        <v>61</v>
      </c>
      <c r="AG185" s="33" t="s">
        <v>55</v>
      </c>
      <c r="AH185" s="33" t="s">
        <v>56</v>
      </c>
      <c r="AI185" s="33" t="s">
        <v>57</v>
      </c>
      <c r="AJ185" s="33" t="s">
        <v>58</v>
      </c>
      <c r="AK185" s="33" t="s">
        <v>56</v>
      </c>
      <c r="AL185" s="27"/>
      <c r="AM185" s="34" t="s">
        <v>57</v>
      </c>
      <c r="AN185" s="35" t="str">
        <f t="shared" si="13"/>
        <v>✓ OK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5996</v>
      </c>
      <c r="C186" s="41" t="s">
        <v>5997</v>
      </c>
      <c r="D186" s="39" t="s">
        <v>5821</v>
      </c>
      <c r="E186" s="42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69">
        <v>46196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70">
        <v>46248</v>
      </c>
      <c r="X186" s="30" t="s">
        <v>55</v>
      </c>
      <c r="Y186" s="30" t="s">
        <v>56</v>
      </c>
      <c r="Z186" s="30" t="s">
        <v>57</v>
      </c>
      <c r="AA186" s="30" t="s">
        <v>58</v>
      </c>
      <c r="AB186" s="30" t="s">
        <v>56</v>
      </c>
      <c r="AC186" s="27"/>
      <c r="AD186" s="31" t="s">
        <v>57</v>
      </c>
      <c r="AE186" s="32" t="str">
        <f t="shared" si="12"/>
        <v>✓ OK</v>
      </c>
      <c r="AF186" s="33" t="s">
        <v>61</v>
      </c>
      <c r="AG186" s="33" t="s">
        <v>55</v>
      </c>
      <c r="AH186" s="33" t="s">
        <v>56</v>
      </c>
      <c r="AI186" s="33" t="s">
        <v>57</v>
      </c>
      <c r="AJ186" s="33" t="s">
        <v>58</v>
      </c>
      <c r="AK186" s="33" t="s">
        <v>56</v>
      </c>
      <c r="AL186" s="27"/>
      <c r="AM186" s="34" t="s">
        <v>57</v>
      </c>
      <c r="AN186" s="35" t="str">
        <f t="shared" si="13"/>
        <v>✓ OK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5998</v>
      </c>
      <c r="C187" s="25" t="s">
        <v>5999</v>
      </c>
      <c r="D187" s="23" t="s">
        <v>5821</v>
      </c>
      <c r="E187" s="42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69">
        <v>46196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70">
        <v>46248</v>
      </c>
      <c r="X187" s="30" t="s">
        <v>55</v>
      </c>
      <c r="Y187" s="30" t="s">
        <v>56</v>
      </c>
      <c r="Z187" s="30" t="s">
        <v>57</v>
      </c>
      <c r="AA187" s="30" t="s">
        <v>58</v>
      </c>
      <c r="AB187" s="30" t="s">
        <v>56</v>
      </c>
      <c r="AC187" s="27"/>
      <c r="AD187" s="31" t="s">
        <v>57</v>
      </c>
      <c r="AE187" s="32" t="str">
        <f t="shared" si="12"/>
        <v>✓ OK</v>
      </c>
      <c r="AF187" s="33" t="s">
        <v>61</v>
      </c>
      <c r="AG187" s="33" t="s">
        <v>55</v>
      </c>
      <c r="AH187" s="33" t="s">
        <v>56</v>
      </c>
      <c r="AI187" s="33" t="s">
        <v>57</v>
      </c>
      <c r="AJ187" s="33" t="s">
        <v>58</v>
      </c>
      <c r="AK187" s="33" t="s">
        <v>56</v>
      </c>
      <c r="AL187" s="27"/>
      <c r="AM187" s="34" t="s">
        <v>57</v>
      </c>
      <c r="AN187" s="35" t="str">
        <f t="shared" si="13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6000</v>
      </c>
      <c r="C188" s="41" t="s">
        <v>6001</v>
      </c>
      <c r="D188" s="39" t="s">
        <v>5821</v>
      </c>
      <c r="E188" s="42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69">
        <v>46196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70">
        <v>46248</v>
      </c>
      <c r="X188" s="30" t="s">
        <v>55</v>
      </c>
      <c r="Y188" s="30" t="s">
        <v>56</v>
      </c>
      <c r="Z188" s="30" t="s">
        <v>57</v>
      </c>
      <c r="AA188" s="30" t="s">
        <v>58</v>
      </c>
      <c r="AB188" s="30" t="s">
        <v>56</v>
      </c>
      <c r="AC188" s="27"/>
      <c r="AD188" s="31" t="s">
        <v>57</v>
      </c>
      <c r="AE188" s="32" t="str">
        <f t="shared" si="12"/>
        <v>✓ OK</v>
      </c>
      <c r="AF188" s="33" t="s">
        <v>61</v>
      </c>
      <c r="AG188" s="33" t="s">
        <v>55</v>
      </c>
      <c r="AH188" s="33" t="s">
        <v>56</v>
      </c>
      <c r="AI188" s="33" t="s">
        <v>57</v>
      </c>
      <c r="AJ188" s="33" t="s">
        <v>58</v>
      </c>
      <c r="AK188" s="33" t="s">
        <v>56</v>
      </c>
      <c r="AL188" s="27"/>
      <c r="AM188" s="34" t="s">
        <v>57</v>
      </c>
      <c r="AN188" s="35" t="str">
        <f t="shared" si="13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6002</v>
      </c>
      <c r="C189" s="25" t="s">
        <v>6003</v>
      </c>
      <c r="D189" s="23" t="s">
        <v>5821</v>
      </c>
      <c r="E189" s="42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69">
        <v>46196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70">
        <v>46248</v>
      </c>
      <c r="X189" s="30" t="s">
        <v>55</v>
      </c>
      <c r="Y189" s="30" t="s">
        <v>56</v>
      </c>
      <c r="Z189" s="30" t="s">
        <v>57</v>
      </c>
      <c r="AA189" s="30" t="s">
        <v>58</v>
      </c>
      <c r="AB189" s="30" t="s">
        <v>56</v>
      </c>
      <c r="AC189" s="27"/>
      <c r="AD189" s="31" t="s">
        <v>57</v>
      </c>
      <c r="AE189" s="32" t="str">
        <f t="shared" si="12"/>
        <v>✓ OK</v>
      </c>
      <c r="AF189" s="33" t="s">
        <v>61</v>
      </c>
      <c r="AG189" s="33" t="s">
        <v>55</v>
      </c>
      <c r="AH189" s="33" t="s">
        <v>56</v>
      </c>
      <c r="AI189" s="33" t="s">
        <v>57</v>
      </c>
      <c r="AJ189" s="33" t="s">
        <v>58</v>
      </c>
      <c r="AK189" s="33" t="s">
        <v>56</v>
      </c>
      <c r="AL189" s="27"/>
      <c r="AM189" s="34" t="s">
        <v>57</v>
      </c>
      <c r="AN189" s="35" t="str">
        <f t="shared" si="13"/>
        <v>✓ OK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6004</v>
      </c>
      <c r="C190" s="41" t="s">
        <v>6005</v>
      </c>
      <c r="D190" s="39" t="s">
        <v>5821</v>
      </c>
      <c r="E190" s="42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69">
        <v>46196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70">
        <v>46248</v>
      </c>
      <c r="X190" s="30" t="s">
        <v>55</v>
      </c>
      <c r="Y190" s="30" t="s">
        <v>56</v>
      </c>
      <c r="Z190" s="30" t="s">
        <v>57</v>
      </c>
      <c r="AA190" s="30" t="s">
        <v>58</v>
      </c>
      <c r="AB190" s="30" t="s">
        <v>56</v>
      </c>
      <c r="AC190" s="27"/>
      <c r="AD190" s="31" t="s">
        <v>57</v>
      </c>
      <c r="AE190" s="32" t="str">
        <f t="shared" si="12"/>
        <v>✓ OK</v>
      </c>
      <c r="AF190" s="33" t="s">
        <v>61</v>
      </c>
      <c r="AG190" s="33" t="s">
        <v>55</v>
      </c>
      <c r="AH190" s="33" t="s">
        <v>56</v>
      </c>
      <c r="AI190" s="33" t="s">
        <v>57</v>
      </c>
      <c r="AJ190" s="33" t="s">
        <v>58</v>
      </c>
      <c r="AK190" s="33" t="s">
        <v>56</v>
      </c>
      <c r="AL190" s="27"/>
      <c r="AM190" s="34" t="s">
        <v>57</v>
      </c>
      <c r="AN190" s="35" t="str">
        <f t="shared" si="13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6006</v>
      </c>
      <c r="C191" s="25" t="s">
        <v>6007</v>
      </c>
      <c r="D191" s="23" t="s">
        <v>5821</v>
      </c>
      <c r="E191" s="42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69">
        <v>46196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70">
        <v>46248</v>
      </c>
      <c r="X191" s="30" t="s">
        <v>55</v>
      </c>
      <c r="Y191" s="30" t="s">
        <v>56</v>
      </c>
      <c r="Z191" s="30" t="s">
        <v>57</v>
      </c>
      <c r="AA191" s="30" t="s">
        <v>58</v>
      </c>
      <c r="AB191" s="30" t="s">
        <v>56</v>
      </c>
      <c r="AC191" s="27"/>
      <c r="AD191" s="31" t="s">
        <v>57</v>
      </c>
      <c r="AE191" s="32" t="str">
        <f t="shared" si="12"/>
        <v>✓ OK</v>
      </c>
      <c r="AF191" s="33" t="s">
        <v>61</v>
      </c>
      <c r="AG191" s="33" t="s">
        <v>55</v>
      </c>
      <c r="AH191" s="33" t="s">
        <v>56</v>
      </c>
      <c r="AI191" s="33" t="s">
        <v>57</v>
      </c>
      <c r="AJ191" s="33" t="s">
        <v>58</v>
      </c>
      <c r="AK191" s="33" t="s">
        <v>56</v>
      </c>
      <c r="AL191" s="27"/>
      <c r="AM191" s="34" t="s">
        <v>57</v>
      </c>
      <c r="AN191" s="35" t="str">
        <f t="shared" si="13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6008</v>
      </c>
      <c r="C192" s="41" t="s">
        <v>6009</v>
      </c>
      <c r="D192" s="39" t="s">
        <v>5821</v>
      </c>
      <c r="E192" s="42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69">
        <v>46196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70">
        <v>46248</v>
      </c>
      <c r="X192" s="30" t="s">
        <v>55</v>
      </c>
      <c r="Y192" s="30" t="s">
        <v>56</v>
      </c>
      <c r="Z192" s="30" t="s">
        <v>57</v>
      </c>
      <c r="AA192" s="30" t="s">
        <v>58</v>
      </c>
      <c r="AB192" s="30" t="s">
        <v>56</v>
      </c>
      <c r="AC192" s="27"/>
      <c r="AD192" s="31" t="s">
        <v>57</v>
      </c>
      <c r="AE192" s="32" t="str">
        <f t="shared" si="12"/>
        <v>✓ OK</v>
      </c>
      <c r="AF192" s="33" t="s">
        <v>61</v>
      </c>
      <c r="AG192" s="33" t="s">
        <v>55</v>
      </c>
      <c r="AH192" s="33" t="s">
        <v>56</v>
      </c>
      <c r="AI192" s="33" t="s">
        <v>57</v>
      </c>
      <c r="AJ192" s="33" t="s">
        <v>58</v>
      </c>
      <c r="AK192" s="33" t="s">
        <v>56</v>
      </c>
      <c r="AL192" s="27"/>
      <c r="AM192" s="34" t="s">
        <v>57</v>
      </c>
      <c r="AN192" s="35" t="str">
        <f t="shared" si="13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6010</v>
      </c>
      <c r="C193" s="25" t="s">
        <v>6011</v>
      </c>
      <c r="D193" s="23" t="s">
        <v>5821</v>
      </c>
      <c r="E193" s="42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69">
        <v>46196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70">
        <v>46248</v>
      </c>
      <c r="X193" s="30" t="s">
        <v>55</v>
      </c>
      <c r="Y193" s="30" t="s">
        <v>56</v>
      </c>
      <c r="Z193" s="30" t="s">
        <v>57</v>
      </c>
      <c r="AA193" s="30" t="s">
        <v>58</v>
      </c>
      <c r="AB193" s="30" t="s">
        <v>56</v>
      </c>
      <c r="AC193" s="27"/>
      <c r="AD193" s="31" t="s">
        <v>57</v>
      </c>
      <c r="AE193" s="32" t="str">
        <f t="shared" si="12"/>
        <v>✓ OK</v>
      </c>
      <c r="AF193" s="33" t="s">
        <v>61</v>
      </c>
      <c r="AG193" s="33" t="s">
        <v>55</v>
      </c>
      <c r="AH193" s="33" t="s">
        <v>56</v>
      </c>
      <c r="AI193" s="33" t="s">
        <v>57</v>
      </c>
      <c r="AJ193" s="33" t="s">
        <v>58</v>
      </c>
      <c r="AK193" s="33" t="s">
        <v>56</v>
      </c>
      <c r="AL193" s="27"/>
      <c r="AM193" s="34" t="s">
        <v>57</v>
      </c>
      <c r="AN193" s="35" t="str">
        <f t="shared" si="13"/>
        <v>✓ OK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6012</v>
      </c>
      <c r="C194" s="41" t="s">
        <v>6013</v>
      </c>
      <c r="D194" s="39" t="s">
        <v>5821</v>
      </c>
      <c r="E194" s="42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69">
        <v>46196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70">
        <v>46248</v>
      </c>
      <c r="X194" s="30" t="s">
        <v>55</v>
      </c>
      <c r="Y194" s="30" t="s">
        <v>56</v>
      </c>
      <c r="Z194" s="30" t="s">
        <v>57</v>
      </c>
      <c r="AA194" s="30" t="s">
        <v>58</v>
      </c>
      <c r="AB194" s="30" t="s">
        <v>56</v>
      </c>
      <c r="AC194" s="27"/>
      <c r="AD194" s="31" t="s">
        <v>57</v>
      </c>
      <c r="AE194" s="32" t="str">
        <f t="shared" si="12"/>
        <v>✓ OK</v>
      </c>
      <c r="AF194" s="33" t="s">
        <v>61</v>
      </c>
      <c r="AG194" s="33" t="s">
        <v>55</v>
      </c>
      <c r="AH194" s="33" t="s">
        <v>56</v>
      </c>
      <c r="AI194" s="33" t="s">
        <v>57</v>
      </c>
      <c r="AJ194" s="33" t="s">
        <v>58</v>
      </c>
      <c r="AK194" s="33" t="s">
        <v>56</v>
      </c>
      <c r="AL194" s="27"/>
      <c r="AM194" s="34" t="s">
        <v>57</v>
      </c>
      <c r="AN194" s="35" t="str">
        <f t="shared" si="13"/>
        <v>✓ OK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6014</v>
      </c>
      <c r="C195" s="25" t="s">
        <v>6015</v>
      </c>
      <c r="D195" s="23" t="s">
        <v>5821</v>
      </c>
      <c r="E195" s="42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69">
        <v>46196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70">
        <v>46248</v>
      </c>
      <c r="X195" s="30" t="s">
        <v>55</v>
      </c>
      <c r="Y195" s="30" t="s">
        <v>56</v>
      </c>
      <c r="Z195" s="30" t="s">
        <v>57</v>
      </c>
      <c r="AA195" s="30" t="s">
        <v>58</v>
      </c>
      <c r="AB195" s="30" t="s">
        <v>56</v>
      </c>
      <c r="AC195" s="27"/>
      <c r="AD195" s="31" t="s">
        <v>57</v>
      </c>
      <c r="AE195" s="32" t="str">
        <f t="shared" si="12"/>
        <v>✓ OK</v>
      </c>
      <c r="AF195" s="33" t="s">
        <v>61</v>
      </c>
      <c r="AG195" s="33" t="s">
        <v>55</v>
      </c>
      <c r="AH195" s="33" t="s">
        <v>56</v>
      </c>
      <c r="AI195" s="33" t="s">
        <v>57</v>
      </c>
      <c r="AJ195" s="33" t="s">
        <v>58</v>
      </c>
      <c r="AK195" s="33" t="s">
        <v>56</v>
      </c>
      <c r="AL195" s="27"/>
      <c r="AM195" s="34" t="s">
        <v>57</v>
      </c>
      <c r="AN195" s="35" t="str">
        <f t="shared" si="13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6016</v>
      </c>
      <c r="C196" s="41" t="s">
        <v>6017</v>
      </c>
      <c r="D196" s="39" t="s">
        <v>5821</v>
      </c>
      <c r="E196" s="42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69">
        <v>46196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70">
        <v>46248</v>
      </c>
      <c r="X196" s="30" t="s">
        <v>55</v>
      </c>
      <c r="Y196" s="30" t="s">
        <v>56</v>
      </c>
      <c r="Z196" s="30" t="s">
        <v>57</v>
      </c>
      <c r="AA196" s="30" t="s">
        <v>58</v>
      </c>
      <c r="AB196" s="30" t="s">
        <v>56</v>
      </c>
      <c r="AC196" s="27"/>
      <c r="AD196" s="31" t="s">
        <v>57</v>
      </c>
      <c r="AE196" s="32" t="str">
        <f t="shared" si="12"/>
        <v>✓ OK</v>
      </c>
      <c r="AF196" s="33" t="s">
        <v>61</v>
      </c>
      <c r="AG196" s="33" t="s">
        <v>55</v>
      </c>
      <c r="AH196" s="33" t="s">
        <v>56</v>
      </c>
      <c r="AI196" s="33" t="s">
        <v>57</v>
      </c>
      <c r="AJ196" s="33" t="s">
        <v>58</v>
      </c>
      <c r="AK196" s="33" t="s">
        <v>56</v>
      </c>
      <c r="AL196" s="27"/>
      <c r="AM196" s="34" t="s">
        <v>57</v>
      </c>
      <c r="AN196" s="35" t="str">
        <f t="shared" si="13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6018</v>
      </c>
      <c r="C197" s="25" t="s">
        <v>6019</v>
      </c>
      <c r="D197" s="23" t="s">
        <v>5821</v>
      </c>
      <c r="E197" s="42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69">
        <v>46196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70">
        <v>46248</v>
      </c>
      <c r="X197" s="30" t="s">
        <v>55</v>
      </c>
      <c r="Y197" s="30" t="s">
        <v>56</v>
      </c>
      <c r="Z197" s="30" t="s">
        <v>57</v>
      </c>
      <c r="AA197" s="30" t="s">
        <v>58</v>
      </c>
      <c r="AB197" s="30" t="s">
        <v>56</v>
      </c>
      <c r="AC197" s="27"/>
      <c r="AD197" s="31" t="s">
        <v>57</v>
      </c>
      <c r="AE197" s="32" t="str">
        <f t="shared" ref="AE197:AE260" si="17">IF(W197="","",IF(Z197="Yes","❌ Disc",IF(Y197="No","⚠ Missing",IF(AB197="Yes","✓ OK","⚠ Check"))))</f>
        <v>✓ OK</v>
      </c>
      <c r="AF197" s="33" t="s">
        <v>61</v>
      </c>
      <c r="AG197" s="33" t="s">
        <v>55</v>
      </c>
      <c r="AH197" s="33" t="s">
        <v>56</v>
      </c>
      <c r="AI197" s="33" t="s">
        <v>57</v>
      </c>
      <c r="AJ197" s="33" t="s">
        <v>58</v>
      </c>
      <c r="AK197" s="33" t="s">
        <v>56</v>
      </c>
      <c r="AL197" s="27"/>
      <c r="AM197" s="34" t="s">
        <v>57</v>
      </c>
      <c r="AN197" s="35" t="str">
        <f t="shared" ref="AN197:AN260" si="18">IF(AF197="","",IF(AI197="Yes","❌ Disc",IF(AH197="No","⚠ Missing",IF(AK197="Yes","✓ OK","⚠ Check"))))</f>
        <v>✓ OK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6020</v>
      </c>
      <c r="C198" s="41" t="s">
        <v>6021</v>
      </c>
      <c r="D198" s="39" t="s">
        <v>5821</v>
      </c>
      <c r="E198" s="42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69">
        <v>46196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70">
        <v>46248</v>
      </c>
      <c r="X198" s="30" t="s">
        <v>55</v>
      </c>
      <c r="Y198" s="30" t="s">
        <v>56</v>
      </c>
      <c r="Z198" s="30" t="s">
        <v>57</v>
      </c>
      <c r="AA198" s="30" t="s">
        <v>58</v>
      </c>
      <c r="AB198" s="30" t="s">
        <v>56</v>
      </c>
      <c r="AC198" s="27"/>
      <c r="AD198" s="31" t="s">
        <v>57</v>
      </c>
      <c r="AE198" s="32" t="str">
        <f t="shared" si="17"/>
        <v>✓ OK</v>
      </c>
      <c r="AF198" s="33" t="s">
        <v>61</v>
      </c>
      <c r="AG198" s="33" t="s">
        <v>55</v>
      </c>
      <c r="AH198" s="33" t="s">
        <v>56</v>
      </c>
      <c r="AI198" s="33" t="s">
        <v>57</v>
      </c>
      <c r="AJ198" s="33" t="s">
        <v>58</v>
      </c>
      <c r="AK198" s="33" t="s">
        <v>56</v>
      </c>
      <c r="AL198" s="27"/>
      <c r="AM198" s="34" t="s">
        <v>57</v>
      </c>
      <c r="AN198" s="35" t="str">
        <f t="shared" si="18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6022</v>
      </c>
      <c r="C199" s="25" t="s">
        <v>6023</v>
      </c>
      <c r="D199" s="23" t="s">
        <v>5821</v>
      </c>
      <c r="E199" s="42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69">
        <v>46196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70">
        <v>46248</v>
      </c>
      <c r="X199" s="30" t="s">
        <v>55</v>
      </c>
      <c r="Y199" s="30" t="s">
        <v>56</v>
      </c>
      <c r="Z199" s="30" t="s">
        <v>57</v>
      </c>
      <c r="AA199" s="30" t="s">
        <v>58</v>
      </c>
      <c r="AB199" s="30" t="s">
        <v>56</v>
      </c>
      <c r="AC199" s="27"/>
      <c r="AD199" s="31" t="s">
        <v>57</v>
      </c>
      <c r="AE199" s="32" t="str">
        <f t="shared" si="17"/>
        <v>✓ OK</v>
      </c>
      <c r="AF199" s="33" t="s">
        <v>61</v>
      </c>
      <c r="AG199" s="33" t="s">
        <v>55</v>
      </c>
      <c r="AH199" s="33" t="s">
        <v>56</v>
      </c>
      <c r="AI199" s="33" t="s">
        <v>57</v>
      </c>
      <c r="AJ199" s="33" t="s">
        <v>58</v>
      </c>
      <c r="AK199" s="33" t="s">
        <v>56</v>
      </c>
      <c r="AL199" s="27"/>
      <c r="AM199" s="34" t="s">
        <v>57</v>
      </c>
      <c r="AN199" s="35" t="str">
        <f t="shared" si="18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6024</v>
      </c>
      <c r="C200" s="41" t="s">
        <v>6025</v>
      </c>
      <c r="D200" s="39" t="s">
        <v>5821</v>
      </c>
      <c r="E200" s="42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69">
        <v>46196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70">
        <v>46248</v>
      </c>
      <c r="X200" s="30" t="s">
        <v>55</v>
      </c>
      <c r="Y200" s="30" t="s">
        <v>56</v>
      </c>
      <c r="Z200" s="30" t="s">
        <v>57</v>
      </c>
      <c r="AA200" s="30" t="s">
        <v>58</v>
      </c>
      <c r="AB200" s="30" t="s">
        <v>56</v>
      </c>
      <c r="AC200" s="27"/>
      <c r="AD200" s="31" t="s">
        <v>57</v>
      </c>
      <c r="AE200" s="32" t="str">
        <f t="shared" si="17"/>
        <v>✓ OK</v>
      </c>
      <c r="AF200" s="33" t="s">
        <v>61</v>
      </c>
      <c r="AG200" s="33" t="s">
        <v>55</v>
      </c>
      <c r="AH200" s="33" t="s">
        <v>56</v>
      </c>
      <c r="AI200" s="33" t="s">
        <v>57</v>
      </c>
      <c r="AJ200" s="33" t="s">
        <v>58</v>
      </c>
      <c r="AK200" s="33" t="s">
        <v>56</v>
      </c>
      <c r="AL200" s="27"/>
      <c r="AM200" s="34" t="s">
        <v>57</v>
      </c>
      <c r="AN200" s="35" t="str">
        <f t="shared" si="18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6026</v>
      </c>
      <c r="C201" s="25" t="s">
        <v>6027</v>
      </c>
      <c r="D201" s="23" t="s">
        <v>5821</v>
      </c>
      <c r="E201" s="42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69">
        <v>46196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70">
        <v>46248</v>
      </c>
      <c r="X201" s="30" t="s">
        <v>55</v>
      </c>
      <c r="Y201" s="30" t="s">
        <v>56</v>
      </c>
      <c r="Z201" s="30" t="s">
        <v>57</v>
      </c>
      <c r="AA201" s="30" t="s">
        <v>58</v>
      </c>
      <c r="AB201" s="30" t="s">
        <v>56</v>
      </c>
      <c r="AC201" s="27"/>
      <c r="AD201" s="31" t="s">
        <v>57</v>
      </c>
      <c r="AE201" s="32" t="str">
        <f t="shared" si="17"/>
        <v>✓ OK</v>
      </c>
      <c r="AF201" s="33" t="s">
        <v>61</v>
      </c>
      <c r="AG201" s="33" t="s">
        <v>55</v>
      </c>
      <c r="AH201" s="33" t="s">
        <v>56</v>
      </c>
      <c r="AI201" s="33" t="s">
        <v>57</v>
      </c>
      <c r="AJ201" s="33" t="s">
        <v>58</v>
      </c>
      <c r="AK201" s="33" t="s">
        <v>56</v>
      </c>
      <c r="AL201" s="27"/>
      <c r="AM201" s="34" t="s">
        <v>57</v>
      </c>
      <c r="AN201" s="35" t="str">
        <f t="shared" si="18"/>
        <v>✓ OK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6028</v>
      </c>
      <c r="C202" s="41" t="s">
        <v>6029</v>
      </c>
      <c r="D202" s="39" t="s">
        <v>5821</v>
      </c>
      <c r="E202" s="42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69">
        <v>46196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70">
        <v>46248</v>
      </c>
      <c r="X202" s="30" t="s">
        <v>55</v>
      </c>
      <c r="Y202" s="30" t="s">
        <v>56</v>
      </c>
      <c r="Z202" s="30" t="s">
        <v>57</v>
      </c>
      <c r="AA202" s="30" t="s">
        <v>58</v>
      </c>
      <c r="AB202" s="30" t="s">
        <v>56</v>
      </c>
      <c r="AC202" s="27"/>
      <c r="AD202" s="31" t="s">
        <v>57</v>
      </c>
      <c r="AE202" s="32" t="str">
        <f t="shared" si="17"/>
        <v>✓ OK</v>
      </c>
      <c r="AF202" s="33" t="s">
        <v>61</v>
      </c>
      <c r="AG202" s="33" t="s">
        <v>55</v>
      </c>
      <c r="AH202" s="33" t="s">
        <v>56</v>
      </c>
      <c r="AI202" s="33" t="s">
        <v>57</v>
      </c>
      <c r="AJ202" s="33" t="s">
        <v>58</v>
      </c>
      <c r="AK202" s="33" t="s">
        <v>56</v>
      </c>
      <c r="AL202" s="27"/>
      <c r="AM202" s="34" t="s">
        <v>57</v>
      </c>
      <c r="AN202" s="35" t="str">
        <f t="shared" si="18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6030</v>
      </c>
      <c r="C203" s="25" t="s">
        <v>6031</v>
      </c>
      <c r="D203" s="23" t="s">
        <v>5821</v>
      </c>
      <c r="E203" s="42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69">
        <v>46196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70">
        <v>46248</v>
      </c>
      <c r="X203" s="30" t="s">
        <v>55</v>
      </c>
      <c r="Y203" s="30" t="s">
        <v>56</v>
      </c>
      <c r="Z203" s="30" t="s">
        <v>57</v>
      </c>
      <c r="AA203" s="30" t="s">
        <v>58</v>
      </c>
      <c r="AB203" s="30" t="s">
        <v>56</v>
      </c>
      <c r="AC203" s="27"/>
      <c r="AD203" s="31" t="s">
        <v>57</v>
      </c>
      <c r="AE203" s="32" t="str">
        <f t="shared" si="17"/>
        <v>✓ OK</v>
      </c>
      <c r="AF203" s="33" t="s">
        <v>61</v>
      </c>
      <c r="AG203" s="33" t="s">
        <v>55</v>
      </c>
      <c r="AH203" s="33" t="s">
        <v>56</v>
      </c>
      <c r="AI203" s="33" t="s">
        <v>57</v>
      </c>
      <c r="AJ203" s="33" t="s">
        <v>58</v>
      </c>
      <c r="AK203" s="33" t="s">
        <v>56</v>
      </c>
      <c r="AL203" s="27"/>
      <c r="AM203" s="34" t="s">
        <v>57</v>
      </c>
      <c r="AN203" s="35" t="str">
        <f t="shared" si="18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6032</v>
      </c>
      <c r="C204" s="41" t="s">
        <v>6033</v>
      </c>
      <c r="D204" s="39" t="s">
        <v>5821</v>
      </c>
      <c r="E204" s="42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69">
        <v>46196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70">
        <v>46248</v>
      </c>
      <c r="X204" s="30" t="s">
        <v>55</v>
      </c>
      <c r="Y204" s="30" t="s">
        <v>56</v>
      </c>
      <c r="Z204" s="30" t="s">
        <v>57</v>
      </c>
      <c r="AA204" s="30" t="s">
        <v>58</v>
      </c>
      <c r="AB204" s="30" t="s">
        <v>56</v>
      </c>
      <c r="AC204" s="27"/>
      <c r="AD204" s="31" t="s">
        <v>57</v>
      </c>
      <c r="AE204" s="32" t="str">
        <f t="shared" si="17"/>
        <v>✓ OK</v>
      </c>
      <c r="AF204" s="33" t="s">
        <v>61</v>
      </c>
      <c r="AG204" s="33" t="s">
        <v>55</v>
      </c>
      <c r="AH204" s="33" t="s">
        <v>56</v>
      </c>
      <c r="AI204" s="33" t="s">
        <v>57</v>
      </c>
      <c r="AJ204" s="33" t="s">
        <v>58</v>
      </c>
      <c r="AK204" s="33" t="s">
        <v>56</v>
      </c>
      <c r="AL204" s="27"/>
      <c r="AM204" s="34" t="s">
        <v>57</v>
      </c>
      <c r="AN204" s="35" t="str">
        <f t="shared" si="18"/>
        <v>✓ OK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6034</v>
      </c>
      <c r="C205" s="25" t="s">
        <v>6035</v>
      </c>
      <c r="D205" s="23" t="s">
        <v>5821</v>
      </c>
      <c r="E205" s="42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69">
        <v>46196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70">
        <v>46248</v>
      </c>
      <c r="X205" s="30" t="s">
        <v>55</v>
      </c>
      <c r="Y205" s="30" t="s">
        <v>56</v>
      </c>
      <c r="Z205" s="30" t="s">
        <v>57</v>
      </c>
      <c r="AA205" s="30" t="s">
        <v>58</v>
      </c>
      <c r="AB205" s="30" t="s">
        <v>56</v>
      </c>
      <c r="AC205" s="27"/>
      <c r="AD205" s="31" t="s">
        <v>57</v>
      </c>
      <c r="AE205" s="32" t="str">
        <f t="shared" si="17"/>
        <v>✓ OK</v>
      </c>
      <c r="AF205" s="33" t="s">
        <v>61</v>
      </c>
      <c r="AG205" s="33" t="s">
        <v>55</v>
      </c>
      <c r="AH205" s="33" t="s">
        <v>56</v>
      </c>
      <c r="AI205" s="33" t="s">
        <v>57</v>
      </c>
      <c r="AJ205" s="33" t="s">
        <v>58</v>
      </c>
      <c r="AK205" s="33" t="s">
        <v>56</v>
      </c>
      <c r="AL205" s="27"/>
      <c r="AM205" s="34" t="s">
        <v>57</v>
      </c>
      <c r="AN205" s="35" t="str">
        <f t="shared" si="18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6036</v>
      </c>
      <c r="C206" s="41" t="s">
        <v>6037</v>
      </c>
      <c r="D206" s="39" t="s">
        <v>5821</v>
      </c>
      <c r="E206" s="42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69">
        <v>46196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70">
        <v>46248</v>
      </c>
      <c r="X206" s="30" t="s">
        <v>55</v>
      </c>
      <c r="Y206" s="30" t="s">
        <v>56</v>
      </c>
      <c r="Z206" s="30" t="s">
        <v>57</v>
      </c>
      <c r="AA206" s="30" t="s">
        <v>58</v>
      </c>
      <c r="AB206" s="30" t="s">
        <v>56</v>
      </c>
      <c r="AC206" s="27"/>
      <c r="AD206" s="31" t="s">
        <v>57</v>
      </c>
      <c r="AE206" s="32" t="str">
        <f t="shared" si="17"/>
        <v>✓ OK</v>
      </c>
      <c r="AF206" s="33" t="s">
        <v>61</v>
      </c>
      <c r="AG206" s="33" t="s">
        <v>55</v>
      </c>
      <c r="AH206" s="33" t="s">
        <v>56</v>
      </c>
      <c r="AI206" s="33" t="s">
        <v>57</v>
      </c>
      <c r="AJ206" s="33" t="s">
        <v>58</v>
      </c>
      <c r="AK206" s="33" t="s">
        <v>56</v>
      </c>
      <c r="AL206" s="27"/>
      <c r="AM206" s="34" t="s">
        <v>57</v>
      </c>
      <c r="AN206" s="35" t="str">
        <f t="shared" si="18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6038</v>
      </c>
      <c r="C207" s="25" t="s">
        <v>6039</v>
      </c>
      <c r="D207" s="23" t="s">
        <v>5821</v>
      </c>
      <c r="E207" s="42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69">
        <v>46196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70">
        <v>46248</v>
      </c>
      <c r="X207" s="30" t="s">
        <v>55</v>
      </c>
      <c r="Y207" s="30" t="s">
        <v>56</v>
      </c>
      <c r="Z207" s="30" t="s">
        <v>57</v>
      </c>
      <c r="AA207" s="30" t="s">
        <v>58</v>
      </c>
      <c r="AB207" s="30" t="s">
        <v>56</v>
      </c>
      <c r="AC207" s="27"/>
      <c r="AD207" s="31" t="s">
        <v>57</v>
      </c>
      <c r="AE207" s="32" t="str">
        <f t="shared" si="17"/>
        <v>✓ OK</v>
      </c>
      <c r="AF207" s="33" t="s">
        <v>61</v>
      </c>
      <c r="AG207" s="33" t="s">
        <v>55</v>
      </c>
      <c r="AH207" s="33" t="s">
        <v>56</v>
      </c>
      <c r="AI207" s="33" t="s">
        <v>57</v>
      </c>
      <c r="AJ207" s="33" t="s">
        <v>58</v>
      </c>
      <c r="AK207" s="33" t="s">
        <v>56</v>
      </c>
      <c r="AL207" s="27"/>
      <c r="AM207" s="34" t="s">
        <v>57</v>
      </c>
      <c r="AN207" s="35" t="str">
        <f t="shared" si="18"/>
        <v>✓ OK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6040</v>
      </c>
      <c r="C208" s="41" t="s">
        <v>6041</v>
      </c>
      <c r="D208" s="39" t="s">
        <v>5821</v>
      </c>
      <c r="E208" s="42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69">
        <v>46196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70">
        <v>46248</v>
      </c>
      <c r="X208" s="30" t="s">
        <v>55</v>
      </c>
      <c r="Y208" s="30" t="s">
        <v>56</v>
      </c>
      <c r="Z208" s="30" t="s">
        <v>57</v>
      </c>
      <c r="AA208" s="30" t="s">
        <v>58</v>
      </c>
      <c r="AB208" s="30" t="s">
        <v>56</v>
      </c>
      <c r="AC208" s="27"/>
      <c r="AD208" s="31" t="s">
        <v>57</v>
      </c>
      <c r="AE208" s="32" t="str">
        <f t="shared" si="17"/>
        <v>✓ OK</v>
      </c>
      <c r="AF208" s="33" t="s">
        <v>61</v>
      </c>
      <c r="AG208" s="33" t="s">
        <v>55</v>
      </c>
      <c r="AH208" s="33" t="s">
        <v>56</v>
      </c>
      <c r="AI208" s="33" t="s">
        <v>57</v>
      </c>
      <c r="AJ208" s="33" t="s">
        <v>58</v>
      </c>
      <c r="AK208" s="33" t="s">
        <v>56</v>
      </c>
      <c r="AL208" s="27"/>
      <c r="AM208" s="34" t="s">
        <v>57</v>
      </c>
      <c r="AN208" s="35" t="str">
        <f t="shared" si="18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6042</v>
      </c>
      <c r="C209" s="25" t="s">
        <v>6043</v>
      </c>
      <c r="D209" s="23" t="s">
        <v>5821</v>
      </c>
      <c r="E209" s="42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69">
        <v>46196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70">
        <v>46248</v>
      </c>
      <c r="X209" s="30" t="s">
        <v>55</v>
      </c>
      <c r="Y209" s="30" t="s">
        <v>56</v>
      </c>
      <c r="Z209" s="30" t="s">
        <v>57</v>
      </c>
      <c r="AA209" s="30" t="s">
        <v>58</v>
      </c>
      <c r="AB209" s="30" t="s">
        <v>56</v>
      </c>
      <c r="AC209" s="27"/>
      <c r="AD209" s="31" t="s">
        <v>57</v>
      </c>
      <c r="AE209" s="32" t="str">
        <f t="shared" si="17"/>
        <v>✓ OK</v>
      </c>
      <c r="AF209" s="33" t="s">
        <v>61</v>
      </c>
      <c r="AG209" s="33" t="s">
        <v>55</v>
      </c>
      <c r="AH209" s="33" t="s">
        <v>56</v>
      </c>
      <c r="AI209" s="33" t="s">
        <v>57</v>
      </c>
      <c r="AJ209" s="33" t="s">
        <v>58</v>
      </c>
      <c r="AK209" s="33" t="s">
        <v>56</v>
      </c>
      <c r="AL209" s="27"/>
      <c r="AM209" s="34" t="s">
        <v>57</v>
      </c>
      <c r="AN209" s="35" t="str">
        <f t="shared" si="18"/>
        <v>✓ OK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6044</v>
      </c>
      <c r="C210" s="41" t="s">
        <v>6045</v>
      </c>
      <c r="D210" s="39" t="s">
        <v>5821</v>
      </c>
      <c r="E210" s="42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69">
        <v>46196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70">
        <v>46248</v>
      </c>
      <c r="X210" s="30" t="s">
        <v>55</v>
      </c>
      <c r="Y210" s="30" t="s">
        <v>56</v>
      </c>
      <c r="Z210" s="30" t="s">
        <v>57</v>
      </c>
      <c r="AA210" s="30" t="s">
        <v>58</v>
      </c>
      <c r="AB210" s="30" t="s">
        <v>56</v>
      </c>
      <c r="AC210" s="27"/>
      <c r="AD210" s="31" t="s">
        <v>57</v>
      </c>
      <c r="AE210" s="32" t="str">
        <f t="shared" si="17"/>
        <v>✓ OK</v>
      </c>
      <c r="AF210" s="33" t="s">
        <v>61</v>
      </c>
      <c r="AG210" s="33" t="s">
        <v>55</v>
      </c>
      <c r="AH210" s="33" t="s">
        <v>56</v>
      </c>
      <c r="AI210" s="33" t="s">
        <v>57</v>
      </c>
      <c r="AJ210" s="33" t="s">
        <v>58</v>
      </c>
      <c r="AK210" s="33" t="s">
        <v>56</v>
      </c>
      <c r="AL210" s="27"/>
      <c r="AM210" s="34" t="s">
        <v>57</v>
      </c>
      <c r="AN210" s="35" t="str">
        <f t="shared" si="18"/>
        <v>✓ OK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6046</v>
      </c>
      <c r="C211" s="25" t="s">
        <v>6047</v>
      </c>
      <c r="D211" s="23" t="s">
        <v>5821</v>
      </c>
      <c r="E211" s="42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69">
        <v>46196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70">
        <v>46248</v>
      </c>
      <c r="X211" s="30" t="s">
        <v>55</v>
      </c>
      <c r="Y211" s="30" t="s">
        <v>56</v>
      </c>
      <c r="Z211" s="30" t="s">
        <v>57</v>
      </c>
      <c r="AA211" s="30" t="s">
        <v>58</v>
      </c>
      <c r="AB211" s="30" t="s">
        <v>56</v>
      </c>
      <c r="AC211" s="27"/>
      <c r="AD211" s="31" t="s">
        <v>57</v>
      </c>
      <c r="AE211" s="32" t="str">
        <f t="shared" si="17"/>
        <v>✓ OK</v>
      </c>
      <c r="AF211" s="33" t="s">
        <v>61</v>
      </c>
      <c r="AG211" s="33" t="s">
        <v>55</v>
      </c>
      <c r="AH211" s="33" t="s">
        <v>56</v>
      </c>
      <c r="AI211" s="33" t="s">
        <v>57</v>
      </c>
      <c r="AJ211" s="33" t="s">
        <v>58</v>
      </c>
      <c r="AK211" s="33" t="s">
        <v>56</v>
      </c>
      <c r="AL211" s="27"/>
      <c r="AM211" s="34" t="s">
        <v>57</v>
      </c>
      <c r="AN211" s="35" t="str">
        <f t="shared" si="18"/>
        <v>✓ OK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6048</v>
      </c>
      <c r="C212" s="41" t="s">
        <v>6049</v>
      </c>
      <c r="D212" s="39" t="s">
        <v>5821</v>
      </c>
      <c r="E212" s="42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69">
        <v>46196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70">
        <v>46248</v>
      </c>
      <c r="X212" s="30" t="s">
        <v>55</v>
      </c>
      <c r="Y212" s="30" t="s">
        <v>56</v>
      </c>
      <c r="Z212" s="30" t="s">
        <v>57</v>
      </c>
      <c r="AA212" s="30" t="s">
        <v>58</v>
      </c>
      <c r="AB212" s="30" t="s">
        <v>56</v>
      </c>
      <c r="AC212" s="27"/>
      <c r="AD212" s="31" t="s">
        <v>57</v>
      </c>
      <c r="AE212" s="32" t="str">
        <f t="shared" si="17"/>
        <v>✓ OK</v>
      </c>
      <c r="AF212" s="33" t="s">
        <v>61</v>
      </c>
      <c r="AG212" s="33" t="s">
        <v>55</v>
      </c>
      <c r="AH212" s="33" t="s">
        <v>56</v>
      </c>
      <c r="AI212" s="33" t="s">
        <v>57</v>
      </c>
      <c r="AJ212" s="33" t="s">
        <v>58</v>
      </c>
      <c r="AK212" s="33" t="s">
        <v>56</v>
      </c>
      <c r="AL212" s="27"/>
      <c r="AM212" s="34" t="s">
        <v>57</v>
      </c>
      <c r="AN212" s="35" t="str">
        <f t="shared" si="18"/>
        <v>✓ OK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6050</v>
      </c>
      <c r="C213" s="25" t="s">
        <v>6051</v>
      </c>
      <c r="D213" s="23" t="s">
        <v>5821</v>
      </c>
      <c r="E213" s="42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69">
        <v>46196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70">
        <v>46248</v>
      </c>
      <c r="X213" s="30" t="s">
        <v>55</v>
      </c>
      <c r="Y213" s="30" t="s">
        <v>56</v>
      </c>
      <c r="Z213" s="30" t="s">
        <v>57</v>
      </c>
      <c r="AA213" s="30" t="s">
        <v>58</v>
      </c>
      <c r="AB213" s="30" t="s">
        <v>56</v>
      </c>
      <c r="AC213" s="27"/>
      <c r="AD213" s="31" t="s">
        <v>57</v>
      </c>
      <c r="AE213" s="32" t="str">
        <f t="shared" si="17"/>
        <v>✓ OK</v>
      </c>
      <c r="AF213" s="33" t="s">
        <v>61</v>
      </c>
      <c r="AG213" s="33" t="s">
        <v>55</v>
      </c>
      <c r="AH213" s="33" t="s">
        <v>56</v>
      </c>
      <c r="AI213" s="33" t="s">
        <v>57</v>
      </c>
      <c r="AJ213" s="33" t="s">
        <v>58</v>
      </c>
      <c r="AK213" s="33" t="s">
        <v>56</v>
      </c>
      <c r="AL213" s="27"/>
      <c r="AM213" s="34" t="s">
        <v>57</v>
      </c>
      <c r="AN213" s="35" t="str">
        <f t="shared" si="18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6052</v>
      </c>
      <c r="C214" s="41" t="s">
        <v>6053</v>
      </c>
      <c r="D214" s="39" t="s">
        <v>5821</v>
      </c>
      <c r="E214" s="42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69">
        <v>46196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70">
        <v>46248</v>
      </c>
      <c r="X214" s="30" t="s">
        <v>55</v>
      </c>
      <c r="Y214" s="30" t="s">
        <v>56</v>
      </c>
      <c r="Z214" s="30" t="s">
        <v>57</v>
      </c>
      <c r="AA214" s="30" t="s">
        <v>58</v>
      </c>
      <c r="AB214" s="30" t="s">
        <v>56</v>
      </c>
      <c r="AC214" s="27"/>
      <c r="AD214" s="31" t="s">
        <v>57</v>
      </c>
      <c r="AE214" s="32" t="str">
        <f t="shared" si="17"/>
        <v>✓ OK</v>
      </c>
      <c r="AF214" s="33" t="s">
        <v>61</v>
      </c>
      <c r="AG214" s="33" t="s">
        <v>55</v>
      </c>
      <c r="AH214" s="33" t="s">
        <v>56</v>
      </c>
      <c r="AI214" s="33" t="s">
        <v>57</v>
      </c>
      <c r="AJ214" s="33" t="s">
        <v>58</v>
      </c>
      <c r="AK214" s="33" t="s">
        <v>56</v>
      </c>
      <c r="AL214" s="27"/>
      <c r="AM214" s="34" t="s">
        <v>57</v>
      </c>
      <c r="AN214" s="35" t="str">
        <f t="shared" si="18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6054</v>
      </c>
      <c r="C215" s="25" t="s">
        <v>6055</v>
      </c>
      <c r="D215" s="23" t="s">
        <v>5821</v>
      </c>
      <c r="E215" s="42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69">
        <v>46196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70">
        <v>46248</v>
      </c>
      <c r="X215" s="30" t="s">
        <v>55</v>
      </c>
      <c r="Y215" s="30" t="s">
        <v>56</v>
      </c>
      <c r="Z215" s="30" t="s">
        <v>57</v>
      </c>
      <c r="AA215" s="30" t="s">
        <v>58</v>
      </c>
      <c r="AB215" s="30" t="s">
        <v>56</v>
      </c>
      <c r="AC215" s="27"/>
      <c r="AD215" s="31" t="s">
        <v>57</v>
      </c>
      <c r="AE215" s="32" t="str">
        <f t="shared" si="17"/>
        <v>✓ OK</v>
      </c>
      <c r="AF215" s="33" t="s">
        <v>61</v>
      </c>
      <c r="AG215" s="33" t="s">
        <v>55</v>
      </c>
      <c r="AH215" s="33" t="s">
        <v>56</v>
      </c>
      <c r="AI215" s="33" t="s">
        <v>57</v>
      </c>
      <c r="AJ215" s="33" t="s">
        <v>58</v>
      </c>
      <c r="AK215" s="33" t="s">
        <v>56</v>
      </c>
      <c r="AL215" s="27"/>
      <c r="AM215" s="34" t="s">
        <v>57</v>
      </c>
      <c r="AN215" s="35" t="str">
        <f t="shared" si="18"/>
        <v>✓ OK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6056</v>
      </c>
      <c r="C216" s="41" t="s">
        <v>6057</v>
      </c>
      <c r="D216" s="39" t="s">
        <v>5821</v>
      </c>
      <c r="E216" s="42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69">
        <v>46196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70">
        <v>46248</v>
      </c>
      <c r="X216" s="30" t="s">
        <v>55</v>
      </c>
      <c r="Y216" s="30" t="s">
        <v>56</v>
      </c>
      <c r="Z216" s="30" t="s">
        <v>57</v>
      </c>
      <c r="AA216" s="30" t="s">
        <v>58</v>
      </c>
      <c r="AB216" s="30" t="s">
        <v>56</v>
      </c>
      <c r="AC216" s="27"/>
      <c r="AD216" s="31" t="s">
        <v>57</v>
      </c>
      <c r="AE216" s="32" t="str">
        <f t="shared" si="17"/>
        <v>✓ OK</v>
      </c>
      <c r="AF216" s="33" t="s">
        <v>61</v>
      </c>
      <c r="AG216" s="33" t="s">
        <v>55</v>
      </c>
      <c r="AH216" s="33" t="s">
        <v>56</v>
      </c>
      <c r="AI216" s="33" t="s">
        <v>57</v>
      </c>
      <c r="AJ216" s="33" t="s">
        <v>58</v>
      </c>
      <c r="AK216" s="33" t="s">
        <v>56</v>
      </c>
      <c r="AL216" s="27"/>
      <c r="AM216" s="34" t="s">
        <v>57</v>
      </c>
      <c r="AN216" s="35" t="str">
        <f t="shared" si="18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6058</v>
      </c>
      <c r="C217" s="25" t="s">
        <v>6059</v>
      </c>
      <c r="D217" s="23" t="s">
        <v>5821</v>
      </c>
      <c r="E217" s="42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69">
        <v>46196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70">
        <v>46248</v>
      </c>
      <c r="X217" s="30" t="s">
        <v>55</v>
      </c>
      <c r="Y217" s="30" t="s">
        <v>56</v>
      </c>
      <c r="Z217" s="30" t="s">
        <v>57</v>
      </c>
      <c r="AA217" s="30" t="s">
        <v>58</v>
      </c>
      <c r="AB217" s="30" t="s">
        <v>56</v>
      </c>
      <c r="AC217" s="27"/>
      <c r="AD217" s="31" t="s">
        <v>57</v>
      </c>
      <c r="AE217" s="32" t="str">
        <f t="shared" si="17"/>
        <v>✓ OK</v>
      </c>
      <c r="AF217" s="33" t="s">
        <v>61</v>
      </c>
      <c r="AG217" s="33" t="s">
        <v>55</v>
      </c>
      <c r="AH217" s="33" t="s">
        <v>56</v>
      </c>
      <c r="AI217" s="33" t="s">
        <v>57</v>
      </c>
      <c r="AJ217" s="33" t="s">
        <v>58</v>
      </c>
      <c r="AK217" s="33" t="s">
        <v>56</v>
      </c>
      <c r="AL217" s="27"/>
      <c r="AM217" s="34" t="s">
        <v>57</v>
      </c>
      <c r="AN217" s="35" t="str">
        <f t="shared" si="18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6060</v>
      </c>
      <c r="C218" s="41" t="s">
        <v>6061</v>
      </c>
      <c r="D218" s="39" t="s">
        <v>5821</v>
      </c>
      <c r="E218" s="42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69">
        <v>46196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70">
        <v>46248</v>
      </c>
      <c r="X218" s="30" t="s">
        <v>55</v>
      </c>
      <c r="Y218" s="30" t="s">
        <v>56</v>
      </c>
      <c r="Z218" s="30" t="s">
        <v>57</v>
      </c>
      <c r="AA218" s="30" t="s">
        <v>58</v>
      </c>
      <c r="AB218" s="30" t="s">
        <v>56</v>
      </c>
      <c r="AC218" s="27"/>
      <c r="AD218" s="31" t="s">
        <v>57</v>
      </c>
      <c r="AE218" s="32" t="str">
        <f t="shared" si="17"/>
        <v>✓ OK</v>
      </c>
      <c r="AF218" s="33" t="s">
        <v>61</v>
      </c>
      <c r="AG218" s="33" t="s">
        <v>55</v>
      </c>
      <c r="AH218" s="33" t="s">
        <v>56</v>
      </c>
      <c r="AI218" s="33" t="s">
        <v>57</v>
      </c>
      <c r="AJ218" s="33" t="s">
        <v>58</v>
      </c>
      <c r="AK218" s="33" t="s">
        <v>56</v>
      </c>
      <c r="AL218" s="27"/>
      <c r="AM218" s="34" t="s">
        <v>57</v>
      </c>
      <c r="AN218" s="35" t="str">
        <f t="shared" si="18"/>
        <v>✓ OK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6062</v>
      </c>
      <c r="C219" s="25" t="s">
        <v>6063</v>
      </c>
      <c r="D219" s="23" t="s">
        <v>5821</v>
      </c>
      <c r="E219" s="42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69">
        <v>46196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70">
        <v>46248</v>
      </c>
      <c r="X219" s="30" t="s">
        <v>55</v>
      </c>
      <c r="Y219" s="30" t="s">
        <v>56</v>
      </c>
      <c r="Z219" s="30" t="s">
        <v>57</v>
      </c>
      <c r="AA219" s="30" t="s">
        <v>58</v>
      </c>
      <c r="AB219" s="30" t="s">
        <v>56</v>
      </c>
      <c r="AC219" s="27"/>
      <c r="AD219" s="31" t="s">
        <v>57</v>
      </c>
      <c r="AE219" s="32" t="str">
        <f t="shared" si="17"/>
        <v>✓ OK</v>
      </c>
      <c r="AF219" s="33" t="s">
        <v>61</v>
      </c>
      <c r="AG219" s="33" t="s">
        <v>55</v>
      </c>
      <c r="AH219" s="33" t="s">
        <v>56</v>
      </c>
      <c r="AI219" s="33" t="s">
        <v>57</v>
      </c>
      <c r="AJ219" s="33" t="s">
        <v>58</v>
      </c>
      <c r="AK219" s="33" t="s">
        <v>56</v>
      </c>
      <c r="AL219" s="27"/>
      <c r="AM219" s="34" t="s">
        <v>57</v>
      </c>
      <c r="AN219" s="35" t="str">
        <f t="shared" si="18"/>
        <v>✓ OK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6064</v>
      </c>
      <c r="C220" s="41" t="s">
        <v>6065</v>
      </c>
      <c r="D220" s="39" t="s">
        <v>5821</v>
      </c>
      <c r="E220" s="42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69">
        <v>46196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70">
        <v>46248</v>
      </c>
      <c r="X220" s="30" t="s">
        <v>55</v>
      </c>
      <c r="Y220" s="30" t="s">
        <v>56</v>
      </c>
      <c r="Z220" s="30" t="s">
        <v>57</v>
      </c>
      <c r="AA220" s="30" t="s">
        <v>58</v>
      </c>
      <c r="AB220" s="30" t="s">
        <v>56</v>
      </c>
      <c r="AC220" s="27"/>
      <c r="AD220" s="31" t="s">
        <v>57</v>
      </c>
      <c r="AE220" s="32" t="str">
        <f t="shared" si="17"/>
        <v>✓ OK</v>
      </c>
      <c r="AF220" s="33" t="s">
        <v>61</v>
      </c>
      <c r="AG220" s="33" t="s">
        <v>55</v>
      </c>
      <c r="AH220" s="33" t="s">
        <v>56</v>
      </c>
      <c r="AI220" s="33" t="s">
        <v>57</v>
      </c>
      <c r="AJ220" s="33" t="s">
        <v>58</v>
      </c>
      <c r="AK220" s="33" t="s">
        <v>56</v>
      </c>
      <c r="AL220" s="27"/>
      <c r="AM220" s="34" t="s">
        <v>57</v>
      </c>
      <c r="AN220" s="35" t="str">
        <f t="shared" si="18"/>
        <v>✓ OK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6066</v>
      </c>
      <c r="C221" s="25" t="s">
        <v>6067</v>
      </c>
      <c r="D221" s="23" t="s">
        <v>5821</v>
      </c>
      <c r="E221" s="42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69">
        <v>46196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70">
        <v>46248</v>
      </c>
      <c r="X221" s="30" t="s">
        <v>55</v>
      </c>
      <c r="Y221" s="30" t="s">
        <v>56</v>
      </c>
      <c r="Z221" s="30" t="s">
        <v>57</v>
      </c>
      <c r="AA221" s="30" t="s">
        <v>58</v>
      </c>
      <c r="AB221" s="30" t="s">
        <v>56</v>
      </c>
      <c r="AC221" s="27"/>
      <c r="AD221" s="31" t="s">
        <v>57</v>
      </c>
      <c r="AE221" s="32" t="str">
        <f t="shared" si="17"/>
        <v>✓ OK</v>
      </c>
      <c r="AF221" s="33" t="s">
        <v>61</v>
      </c>
      <c r="AG221" s="33" t="s">
        <v>55</v>
      </c>
      <c r="AH221" s="33" t="s">
        <v>56</v>
      </c>
      <c r="AI221" s="33" t="s">
        <v>57</v>
      </c>
      <c r="AJ221" s="33" t="s">
        <v>58</v>
      </c>
      <c r="AK221" s="33" t="s">
        <v>56</v>
      </c>
      <c r="AL221" s="27"/>
      <c r="AM221" s="34" t="s">
        <v>57</v>
      </c>
      <c r="AN221" s="35" t="str">
        <f t="shared" si="18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6068</v>
      </c>
      <c r="C222" s="41" t="s">
        <v>6069</v>
      </c>
      <c r="D222" s="39" t="s">
        <v>5821</v>
      </c>
      <c r="E222" s="42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69">
        <v>46196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70">
        <v>46248</v>
      </c>
      <c r="X222" s="30" t="s">
        <v>55</v>
      </c>
      <c r="Y222" s="30" t="s">
        <v>56</v>
      </c>
      <c r="Z222" s="30" t="s">
        <v>57</v>
      </c>
      <c r="AA222" s="30" t="s">
        <v>58</v>
      </c>
      <c r="AB222" s="30" t="s">
        <v>56</v>
      </c>
      <c r="AC222" s="27"/>
      <c r="AD222" s="31" t="s">
        <v>57</v>
      </c>
      <c r="AE222" s="32" t="str">
        <f t="shared" si="17"/>
        <v>✓ OK</v>
      </c>
      <c r="AF222" s="33" t="s">
        <v>61</v>
      </c>
      <c r="AG222" s="33" t="s">
        <v>55</v>
      </c>
      <c r="AH222" s="33" t="s">
        <v>56</v>
      </c>
      <c r="AI222" s="33" t="s">
        <v>57</v>
      </c>
      <c r="AJ222" s="33" t="s">
        <v>58</v>
      </c>
      <c r="AK222" s="33" t="s">
        <v>56</v>
      </c>
      <c r="AL222" s="27"/>
      <c r="AM222" s="34" t="s">
        <v>57</v>
      </c>
      <c r="AN222" s="35" t="str">
        <f t="shared" si="18"/>
        <v>✓ OK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6070</v>
      </c>
      <c r="C223" s="25" t="s">
        <v>6071</v>
      </c>
      <c r="D223" s="23" t="s">
        <v>5821</v>
      </c>
      <c r="E223" s="42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69">
        <v>46196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70">
        <v>46248</v>
      </c>
      <c r="X223" s="30" t="s">
        <v>55</v>
      </c>
      <c r="Y223" s="30" t="s">
        <v>56</v>
      </c>
      <c r="Z223" s="30" t="s">
        <v>57</v>
      </c>
      <c r="AA223" s="30" t="s">
        <v>58</v>
      </c>
      <c r="AB223" s="30" t="s">
        <v>56</v>
      </c>
      <c r="AC223" s="27"/>
      <c r="AD223" s="31" t="s">
        <v>57</v>
      </c>
      <c r="AE223" s="32" t="str">
        <f t="shared" si="17"/>
        <v>✓ OK</v>
      </c>
      <c r="AF223" s="33" t="s">
        <v>61</v>
      </c>
      <c r="AG223" s="33" t="s">
        <v>55</v>
      </c>
      <c r="AH223" s="33" t="s">
        <v>56</v>
      </c>
      <c r="AI223" s="33" t="s">
        <v>57</v>
      </c>
      <c r="AJ223" s="33" t="s">
        <v>58</v>
      </c>
      <c r="AK223" s="33" t="s">
        <v>56</v>
      </c>
      <c r="AL223" s="27"/>
      <c r="AM223" s="34" t="s">
        <v>57</v>
      </c>
      <c r="AN223" s="35" t="str">
        <f t="shared" si="18"/>
        <v>✓ OK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6072</v>
      </c>
      <c r="C224" s="41" t="s">
        <v>6073</v>
      </c>
      <c r="D224" s="39" t="s">
        <v>5821</v>
      </c>
      <c r="E224" s="42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69">
        <v>46196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70">
        <v>46248</v>
      </c>
      <c r="X224" s="30" t="s">
        <v>55</v>
      </c>
      <c r="Y224" s="30" t="s">
        <v>56</v>
      </c>
      <c r="Z224" s="30" t="s">
        <v>57</v>
      </c>
      <c r="AA224" s="30" t="s">
        <v>58</v>
      </c>
      <c r="AB224" s="30" t="s">
        <v>56</v>
      </c>
      <c r="AC224" s="27"/>
      <c r="AD224" s="31" t="s">
        <v>57</v>
      </c>
      <c r="AE224" s="32" t="str">
        <f t="shared" si="17"/>
        <v>✓ OK</v>
      </c>
      <c r="AF224" s="33" t="s">
        <v>61</v>
      </c>
      <c r="AG224" s="33" t="s">
        <v>55</v>
      </c>
      <c r="AH224" s="33" t="s">
        <v>56</v>
      </c>
      <c r="AI224" s="33" t="s">
        <v>57</v>
      </c>
      <c r="AJ224" s="33" t="s">
        <v>58</v>
      </c>
      <c r="AK224" s="33" t="s">
        <v>56</v>
      </c>
      <c r="AL224" s="27"/>
      <c r="AM224" s="34" t="s">
        <v>57</v>
      </c>
      <c r="AN224" s="35" t="str">
        <f t="shared" si="18"/>
        <v>✓ OK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6074</v>
      </c>
      <c r="C225" s="25" t="s">
        <v>6075</v>
      </c>
      <c r="D225" s="23" t="s">
        <v>5821</v>
      </c>
      <c r="E225" s="42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69">
        <v>46196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70">
        <v>46248</v>
      </c>
      <c r="X225" s="30" t="s">
        <v>55</v>
      </c>
      <c r="Y225" s="30" t="s">
        <v>56</v>
      </c>
      <c r="Z225" s="30" t="s">
        <v>57</v>
      </c>
      <c r="AA225" s="30" t="s">
        <v>58</v>
      </c>
      <c r="AB225" s="30" t="s">
        <v>56</v>
      </c>
      <c r="AC225" s="27"/>
      <c r="AD225" s="31" t="s">
        <v>57</v>
      </c>
      <c r="AE225" s="32" t="str">
        <f t="shared" si="17"/>
        <v>✓ OK</v>
      </c>
      <c r="AF225" s="33" t="s">
        <v>61</v>
      </c>
      <c r="AG225" s="33" t="s">
        <v>55</v>
      </c>
      <c r="AH225" s="33" t="s">
        <v>56</v>
      </c>
      <c r="AI225" s="33" t="s">
        <v>57</v>
      </c>
      <c r="AJ225" s="33" t="s">
        <v>58</v>
      </c>
      <c r="AK225" s="33" t="s">
        <v>56</v>
      </c>
      <c r="AL225" s="27"/>
      <c r="AM225" s="34" t="s">
        <v>57</v>
      </c>
      <c r="AN225" s="35" t="str">
        <f t="shared" si="18"/>
        <v>✓ OK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6076</v>
      </c>
      <c r="C226" s="41" t="s">
        <v>6077</v>
      </c>
      <c r="D226" s="39" t="s">
        <v>5821</v>
      </c>
      <c r="E226" s="42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69">
        <v>46196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70">
        <v>46248</v>
      </c>
      <c r="X226" s="30" t="s">
        <v>55</v>
      </c>
      <c r="Y226" s="30" t="s">
        <v>56</v>
      </c>
      <c r="Z226" s="30" t="s">
        <v>57</v>
      </c>
      <c r="AA226" s="30" t="s">
        <v>58</v>
      </c>
      <c r="AB226" s="30" t="s">
        <v>56</v>
      </c>
      <c r="AC226" s="27"/>
      <c r="AD226" s="31" t="s">
        <v>57</v>
      </c>
      <c r="AE226" s="32" t="str">
        <f t="shared" si="17"/>
        <v>✓ OK</v>
      </c>
      <c r="AF226" s="33" t="s">
        <v>61</v>
      </c>
      <c r="AG226" s="33" t="s">
        <v>55</v>
      </c>
      <c r="AH226" s="33" t="s">
        <v>56</v>
      </c>
      <c r="AI226" s="33" t="s">
        <v>57</v>
      </c>
      <c r="AJ226" s="33" t="s">
        <v>58</v>
      </c>
      <c r="AK226" s="33" t="s">
        <v>56</v>
      </c>
      <c r="AL226" s="27"/>
      <c r="AM226" s="34" t="s">
        <v>57</v>
      </c>
      <c r="AN226" s="35" t="str">
        <f t="shared" si="18"/>
        <v>✓ OK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6078</v>
      </c>
      <c r="C227" s="25" t="s">
        <v>6079</v>
      </c>
      <c r="D227" s="23" t="s">
        <v>5821</v>
      </c>
      <c r="E227" s="42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69">
        <v>46196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70">
        <v>46248</v>
      </c>
      <c r="X227" s="30" t="s">
        <v>55</v>
      </c>
      <c r="Y227" s="30" t="s">
        <v>56</v>
      </c>
      <c r="Z227" s="30" t="s">
        <v>57</v>
      </c>
      <c r="AA227" s="30" t="s">
        <v>58</v>
      </c>
      <c r="AB227" s="30" t="s">
        <v>56</v>
      </c>
      <c r="AC227" s="27"/>
      <c r="AD227" s="31" t="s">
        <v>57</v>
      </c>
      <c r="AE227" s="32" t="str">
        <f t="shared" si="17"/>
        <v>✓ OK</v>
      </c>
      <c r="AF227" s="33" t="s">
        <v>61</v>
      </c>
      <c r="AG227" s="33" t="s">
        <v>55</v>
      </c>
      <c r="AH227" s="33" t="s">
        <v>56</v>
      </c>
      <c r="AI227" s="33" t="s">
        <v>57</v>
      </c>
      <c r="AJ227" s="33" t="s">
        <v>58</v>
      </c>
      <c r="AK227" s="33" t="s">
        <v>56</v>
      </c>
      <c r="AL227" s="27"/>
      <c r="AM227" s="34" t="s">
        <v>57</v>
      </c>
      <c r="AN227" s="35" t="str">
        <f t="shared" si="18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6080</v>
      </c>
      <c r="C228" s="41" t="s">
        <v>6081</v>
      </c>
      <c r="D228" s="39" t="s">
        <v>5821</v>
      </c>
      <c r="E228" s="42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69">
        <v>46196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70">
        <v>46248</v>
      </c>
      <c r="X228" s="30" t="s">
        <v>55</v>
      </c>
      <c r="Y228" s="30" t="s">
        <v>56</v>
      </c>
      <c r="Z228" s="30" t="s">
        <v>57</v>
      </c>
      <c r="AA228" s="30" t="s">
        <v>58</v>
      </c>
      <c r="AB228" s="30" t="s">
        <v>56</v>
      </c>
      <c r="AC228" s="27"/>
      <c r="AD228" s="31" t="s">
        <v>57</v>
      </c>
      <c r="AE228" s="32" t="str">
        <f t="shared" si="17"/>
        <v>✓ OK</v>
      </c>
      <c r="AF228" s="33" t="s">
        <v>61</v>
      </c>
      <c r="AG228" s="33" t="s">
        <v>55</v>
      </c>
      <c r="AH228" s="33" t="s">
        <v>56</v>
      </c>
      <c r="AI228" s="33" t="s">
        <v>57</v>
      </c>
      <c r="AJ228" s="33" t="s">
        <v>58</v>
      </c>
      <c r="AK228" s="33" t="s">
        <v>56</v>
      </c>
      <c r="AL228" s="27"/>
      <c r="AM228" s="34" t="s">
        <v>57</v>
      </c>
      <c r="AN228" s="35" t="str">
        <f t="shared" si="18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6082</v>
      </c>
      <c r="C229" s="25" t="s">
        <v>6083</v>
      </c>
      <c r="D229" s="23" t="s">
        <v>5821</v>
      </c>
      <c r="E229" s="42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69">
        <v>46196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70">
        <v>46248</v>
      </c>
      <c r="X229" s="30" t="s">
        <v>55</v>
      </c>
      <c r="Y229" s="30" t="s">
        <v>56</v>
      </c>
      <c r="Z229" s="30" t="s">
        <v>57</v>
      </c>
      <c r="AA229" s="30" t="s">
        <v>58</v>
      </c>
      <c r="AB229" s="30" t="s">
        <v>56</v>
      </c>
      <c r="AC229" s="27"/>
      <c r="AD229" s="31" t="s">
        <v>57</v>
      </c>
      <c r="AE229" s="32" t="str">
        <f t="shared" si="17"/>
        <v>✓ OK</v>
      </c>
      <c r="AF229" s="33" t="s">
        <v>61</v>
      </c>
      <c r="AG229" s="33" t="s">
        <v>55</v>
      </c>
      <c r="AH229" s="33" t="s">
        <v>56</v>
      </c>
      <c r="AI229" s="33" t="s">
        <v>57</v>
      </c>
      <c r="AJ229" s="33" t="s">
        <v>58</v>
      </c>
      <c r="AK229" s="33" t="s">
        <v>56</v>
      </c>
      <c r="AL229" s="27"/>
      <c r="AM229" s="34" t="s">
        <v>57</v>
      </c>
      <c r="AN229" s="35" t="str">
        <f t="shared" si="18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6084</v>
      </c>
      <c r="C230" s="41" t="s">
        <v>6085</v>
      </c>
      <c r="D230" s="39" t="s">
        <v>5821</v>
      </c>
      <c r="E230" s="42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69">
        <v>46196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70">
        <v>46248</v>
      </c>
      <c r="X230" s="30" t="s">
        <v>55</v>
      </c>
      <c r="Y230" s="30" t="s">
        <v>56</v>
      </c>
      <c r="Z230" s="30" t="s">
        <v>57</v>
      </c>
      <c r="AA230" s="30" t="s">
        <v>58</v>
      </c>
      <c r="AB230" s="30" t="s">
        <v>56</v>
      </c>
      <c r="AC230" s="27"/>
      <c r="AD230" s="31" t="s">
        <v>57</v>
      </c>
      <c r="AE230" s="32" t="str">
        <f t="shared" si="17"/>
        <v>✓ OK</v>
      </c>
      <c r="AF230" s="33" t="s">
        <v>61</v>
      </c>
      <c r="AG230" s="33" t="s">
        <v>55</v>
      </c>
      <c r="AH230" s="33" t="s">
        <v>56</v>
      </c>
      <c r="AI230" s="33" t="s">
        <v>57</v>
      </c>
      <c r="AJ230" s="33" t="s">
        <v>58</v>
      </c>
      <c r="AK230" s="33" t="s">
        <v>56</v>
      </c>
      <c r="AL230" s="27"/>
      <c r="AM230" s="34" t="s">
        <v>57</v>
      </c>
      <c r="AN230" s="35" t="str">
        <f t="shared" si="18"/>
        <v>✓ OK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6086</v>
      </c>
      <c r="C231" s="25" t="s">
        <v>6087</v>
      </c>
      <c r="D231" s="23" t="s">
        <v>5821</v>
      </c>
      <c r="E231" s="42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69">
        <v>46196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70">
        <v>46248</v>
      </c>
      <c r="X231" s="30" t="s">
        <v>55</v>
      </c>
      <c r="Y231" s="30" t="s">
        <v>56</v>
      </c>
      <c r="Z231" s="30" t="s">
        <v>57</v>
      </c>
      <c r="AA231" s="30" t="s">
        <v>58</v>
      </c>
      <c r="AB231" s="30" t="s">
        <v>56</v>
      </c>
      <c r="AC231" s="27"/>
      <c r="AD231" s="31" t="s">
        <v>57</v>
      </c>
      <c r="AE231" s="32" t="str">
        <f t="shared" si="17"/>
        <v>✓ OK</v>
      </c>
      <c r="AF231" s="33" t="s">
        <v>61</v>
      </c>
      <c r="AG231" s="33" t="s">
        <v>55</v>
      </c>
      <c r="AH231" s="33" t="s">
        <v>56</v>
      </c>
      <c r="AI231" s="33" t="s">
        <v>57</v>
      </c>
      <c r="AJ231" s="33" t="s">
        <v>58</v>
      </c>
      <c r="AK231" s="33" t="s">
        <v>56</v>
      </c>
      <c r="AL231" s="27"/>
      <c r="AM231" s="34" t="s">
        <v>57</v>
      </c>
      <c r="AN231" s="35" t="str">
        <f t="shared" si="18"/>
        <v>✓ OK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6088</v>
      </c>
      <c r="C232" s="41" t="s">
        <v>6089</v>
      </c>
      <c r="D232" s="39" t="s">
        <v>5821</v>
      </c>
      <c r="E232" s="42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69">
        <v>46196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70">
        <v>46248</v>
      </c>
      <c r="X232" s="30" t="s">
        <v>55</v>
      </c>
      <c r="Y232" s="30" t="s">
        <v>56</v>
      </c>
      <c r="Z232" s="30" t="s">
        <v>57</v>
      </c>
      <c r="AA232" s="30" t="s">
        <v>58</v>
      </c>
      <c r="AB232" s="30" t="s">
        <v>56</v>
      </c>
      <c r="AC232" s="27"/>
      <c r="AD232" s="31" t="s">
        <v>57</v>
      </c>
      <c r="AE232" s="32" t="str">
        <f t="shared" si="17"/>
        <v>✓ OK</v>
      </c>
      <c r="AF232" s="33" t="s">
        <v>61</v>
      </c>
      <c r="AG232" s="33" t="s">
        <v>55</v>
      </c>
      <c r="AH232" s="33" t="s">
        <v>56</v>
      </c>
      <c r="AI232" s="33" t="s">
        <v>57</v>
      </c>
      <c r="AJ232" s="33" t="s">
        <v>58</v>
      </c>
      <c r="AK232" s="33" t="s">
        <v>56</v>
      </c>
      <c r="AL232" s="27"/>
      <c r="AM232" s="34" t="s">
        <v>57</v>
      </c>
      <c r="AN232" s="35" t="str">
        <f t="shared" si="18"/>
        <v>✓ OK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6090</v>
      </c>
      <c r="C233" s="25" t="s">
        <v>6091</v>
      </c>
      <c r="D233" s="23" t="s">
        <v>5821</v>
      </c>
      <c r="E233" s="42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69">
        <v>46196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70">
        <v>46248</v>
      </c>
      <c r="X233" s="30" t="s">
        <v>55</v>
      </c>
      <c r="Y233" s="30" t="s">
        <v>56</v>
      </c>
      <c r="Z233" s="30" t="s">
        <v>57</v>
      </c>
      <c r="AA233" s="30" t="s">
        <v>58</v>
      </c>
      <c r="AB233" s="30" t="s">
        <v>56</v>
      </c>
      <c r="AC233" s="27"/>
      <c r="AD233" s="31" t="s">
        <v>57</v>
      </c>
      <c r="AE233" s="32" t="str">
        <f t="shared" si="17"/>
        <v>✓ OK</v>
      </c>
      <c r="AF233" s="33" t="s">
        <v>61</v>
      </c>
      <c r="AG233" s="33" t="s">
        <v>55</v>
      </c>
      <c r="AH233" s="33" t="s">
        <v>56</v>
      </c>
      <c r="AI233" s="33" t="s">
        <v>57</v>
      </c>
      <c r="AJ233" s="33" t="s">
        <v>58</v>
      </c>
      <c r="AK233" s="33" t="s">
        <v>56</v>
      </c>
      <c r="AL233" s="27"/>
      <c r="AM233" s="34" t="s">
        <v>57</v>
      </c>
      <c r="AN233" s="35" t="str">
        <f t="shared" si="18"/>
        <v>✓ OK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6092</v>
      </c>
      <c r="C234" s="41" t="s">
        <v>6093</v>
      </c>
      <c r="D234" s="39" t="s">
        <v>5821</v>
      </c>
      <c r="E234" s="42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69">
        <v>46196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70">
        <v>46248</v>
      </c>
      <c r="X234" s="30" t="s">
        <v>55</v>
      </c>
      <c r="Y234" s="30" t="s">
        <v>56</v>
      </c>
      <c r="Z234" s="30" t="s">
        <v>57</v>
      </c>
      <c r="AA234" s="30" t="s">
        <v>58</v>
      </c>
      <c r="AB234" s="30" t="s">
        <v>56</v>
      </c>
      <c r="AC234" s="27"/>
      <c r="AD234" s="31" t="s">
        <v>57</v>
      </c>
      <c r="AE234" s="32" t="str">
        <f t="shared" si="17"/>
        <v>✓ OK</v>
      </c>
      <c r="AF234" s="33" t="s">
        <v>61</v>
      </c>
      <c r="AG234" s="33" t="s">
        <v>55</v>
      </c>
      <c r="AH234" s="33" t="s">
        <v>56</v>
      </c>
      <c r="AI234" s="33" t="s">
        <v>57</v>
      </c>
      <c r="AJ234" s="33" t="s">
        <v>58</v>
      </c>
      <c r="AK234" s="33" t="s">
        <v>56</v>
      </c>
      <c r="AL234" s="27"/>
      <c r="AM234" s="34" t="s">
        <v>57</v>
      </c>
      <c r="AN234" s="35" t="str">
        <f t="shared" si="18"/>
        <v>✓ OK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6094</v>
      </c>
      <c r="C235" s="25" t="s">
        <v>6095</v>
      </c>
      <c r="D235" s="23" t="s">
        <v>5821</v>
      </c>
      <c r="E235" s="42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69">
        <v>46196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70">
        <v>46248</v>
      </c>
      <c r="X235" s="30" t="s">
        <v>55</v>
      </c>
      <c r="Y235" s="30" t="s">
        <v>56</v>
      </c>
      <c r="Z235" s="30" t="s">
        <v>57</v>
      </c>
      <c r="AA235" s="30" t="s">
        <v>58</v>
      </c>
      <c r="AB235" s="30" t="s">
        <v>56</v>
      </c>
      <c r="AC235" s="27"/>
      <c r="AD235" s="31" t="s">
        <v>57</v>
      </c>
      <c r="AE235" s="32" t="str">
        <f t="shared" si="17"/>
        <v>✓ OK</v>
      </c>
      <c r="AF235" s="33" t="s">
        <v>61</v>
      </c>
      <c r="AG235" s="33" t="s">
        <v>55</v>
      </c>
      <c r="AH235" s="33" t="s">
        <v>56</v>
      </c>
      <c r="AI235" s="33" t="s">
        <v>57</v>
      </c>
      <c r="AJ235" s="33" t="s">
        <v>58</v>
      </c>
      <c r="AK235" s="33" t="s">
        <v>56</v>
      </c>
      <c r="AL235" s="27"/>
      <c r="AM235" s="34" t="s">
        <v>57</v>
      </c>
      <c r="AN235" s="35" t="str">
        <f t="shared" si="18"/>
        <v>✓ OK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6096</v>
      </c>
      <c r="C236" s="41" t="s">
        <v>6097</v>
      </c>
      <c r="D236" s="39" t="s">
        <v>5821</v>
      </c>
      <c r="E236" s="42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69">
        <v>46196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70">
        <v>46248</v>
      </c>
      <c r="X236" s="30" t="s">
        <v>55</v>
      </c>
      <c r="Y236" s="30" t="s">
        <v>56</v>
      </c>
      <c r="Z236" s="30" t="s">
        <v>57</v>
      </c>
      <c r="AA236" s="30" t="s">
        <v>58</v>
      </c>
      <c r="AB236" s="30" t="s">
        <v>56</v>
      </c>
      <c r="AC236" s="27"/>
      <c r="AD236" s="31" t="s">
        <v>57</v>
      </c>
      <c r="AE236" s="32" t="str">
        <f t="shared" si="17"/>
        <v>✓ OK</v>
      </c>
      <c r="AF236" s="33" t="s">
        <v>61</v>
      </c>
      <c r="AG236" s="33" t="s">
        <v>55</v>
      </c>
      <c r="AH236" s="33" t="s">
        <v>56</v>
      </c>
      <c r="AI236" s="33" t="s">
        <v>57</v>
      </c>
      <c r="AJ236" s="33" t="s">
        <v>58</v>
      </c>
      <c r="AK236" s="33" t="s">
        <v>56</v>
      </c>
      <c r="AL236" s="27"/>
      <c r="AM236" s="34" t="s">
        <v>57</v>
      </c>
      <c r="AN236" s="35" t="str">
        <f t="shared" si="18"/>
        <v>✓ OK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6098</v>
      </c>
      <c r="C237" s="25" t="s">
        <v>6099</v>
      </c>
      <c r="D237" s="23" t="s">
        <v>5821</v>
      </c>
      <c r="E237" s="42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69">
        <v>46196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70">
        <v>46248</v>
      </c>
      <c r="X237" s="30" t="s">
        <v>55</v>
      </c>
      <c r="Y237" s="30" t="s">
        <v>56</v>
      </c>
      <c r="Z237" s="30" t="s">
        <v>57</v>
      </c>
      <c r="AA237" s="30" t="s">
        <v>58</v>
      </c>
      <c r="AB237" s="30" t="s">
        <v>56</v>
      </c>
      <c r="AC237" s="27"/>
      <c r="AD237" s="31" t="s">
        <v>57</v>
      </c>
      <c r="AE237" s="32" t="str">
        <f t="shared" si="17"/>
        <v>✓ OK</v>
      </c>
      <c r="AF237" s="33" t="s">
        <v>61</v>
      </c>
      <c r="AG237" s="33" t="s">
        <v>55</v>
      </c>
      <c r="AH237" s="33" t="s">
        <v>56</v>
      </c>
      <c r="AI237" s="33" t="s">
        <v>57</v>
      </c>
      <c r="AJ237" s="33" t="s">
        <v>58</v>
      </c>
      <c r="AK237" s="33" t="s">
        <v>56</v>
      </c>
      <c r="AL237" s="27"/>
      <c r="AM237" s="34" t="s">
        <v>57</v>
      </c>
      <c r="AN237" s="35" t="str">
        <f t="shared" si="18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6100</v>
      </c>
      <c r="C238" s="41" t="s">
        <v>6101</v>
      </c>
      <c r="D238" s="39" t="s">
        <v>5821</v>
      </c>
      <c r="E238" s="42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69">
        <v>46196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70">
        <v>46248</v>
      </c>
      <c r="X238" s="30" t="s">
        <v>55</v>
      </c>
      <c r="Y238" s="30" t="s">
        <v>56</v>
      </c>
      <c r="Z238" s="30" t="s">
        <v>57</v>
      </c>
      <c r="AA238" s="30" t="s">
        <v>58</v>
      </c>
      <c r="AB238" s="30" t="s">
        <v>56</v>
      </c>
      <c r="AC238" s="27"/>
      <c r="AD238" s="31" t="s">
        <v>57</v>
      </c>
      <c r="AE238" s="32" t="str">
        <f t="shared" si="17"/>
        <v>✓ OK</v>
      </c>
      <c r="AF238" s="33" t="s">
        <v>61</v>
      </c>
      <c r="AG238" s="33" t="s">
        <v>55</v>
      </c>
      <c r="AH238" s="33" t="s">
        <v>56</v>
      </c>
      <c r="AI238" s="33" t="s">
        <v>57</v>
      </c>
      <c r="AJ238" s="33" t="s">
        <v>58</v>
      </c>
      <c r="AK238" s="33" t="s">
        <v>56</v>
      </c>
      <c r="AL238" s="27"/>
      <c r="AM238" s="34" t="s">
        <v>57</v>
      </c>
      <c r="AN238" s="35" t="str">
        <f t="shared" si="18"/>
        <v>✓ OK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6102</v>
      </c>
      <c r="C239" s="25" t="s">
        <v>6103</v>
      </c>
      <c r="D239" s="23" t="s">
        <v>5821</v>
      </c>
      <c r="E239" s="42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69">
        <v>46196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70">
        <v>46248</v>
      </c>
      <c r="X239" s="30" t="s">
        <v>55</v>
      </c>
      <c r="Y239" s="30" t="s">
        <v>56</v>
      </c>
      <c r="Z239" s="30" t="s">
        <v>57</v>
      </c>
      <c r="AA239" s="30" t="s">
        <v>58</v>
      </c>
      <c r="AB239" s="30" t="s">
        <v>56</v>
      </c>
      <c r="AC239" s="27"/>
      <c r="AD239" s="31" t="s">
        <v>57</v>
      </c>
      <c r="AE239" s="32" t="str">
        <f t="shared" si="17"/>
        <v>✓ OK</v>
      </c>
      <c r="AF239" s="33" t="s">
        <v>61</v>
      </c>
      <c r="AG239" s="33" t="s">
        <v>55</v>
      </c>
      <c r="AH239" s="33" t="s">
        <v>56</v>
      </c>
      <c r="AI239" s="33" t="s">
        <v>57</v>
      </c>
      <c r="AJ239" s="33" t="s">
        <v>58</v>
      </c>
      <c r="AK239" s="33" t="s">
        <v>56</v>
      </c>
      <c r="AL239" s="27"/>
      <c r="AM239" s="34" t="s">
        <v>57</v>
      </c>
      <c r="AN239" s="35" t="str">
        <f t="shared" si="18"/>
        <v>✓ OK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6104</v>
      </c>
      <c r="C240" s="41" t="s">
        <v>6105</v>
      </c>
      <c r="D240" s="39" t="s">
        <v>5821</v>
      </c>
      <c r="E240" s="42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69">
        <v>46196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70">
        <v>46248</v>
      </c>
      <c r="X240" s="30" t="s">
        <v>55</v>
      </c>
      <c r="Y240" s="30" t="s">
        <v>56</v>
      </c>
      <c r="Z240" s="30" t="s">
        <v>57</v>
      </c>
      <c r="AA240" s="30" t="s">
        <v>58</v>
      </c>
      <c r="AB240" s="30" t="s">
        <v>56</v>
      </c>
      <c r="AC240" s="27"/>
      <c r="AD240" s="31" t="s">
        <v>57</v>
      </c>
      <c r="AE240" s="32" t="str">
        <f t="shared" si="17"/>
        <v>✓ OK</v>
      </c>
      <c r="AF240" s="33" t="s">
        <v>61</v>
      </c>
      <c r="AG240" s="33" t="s">
        <v>55</v>
      </c>
      <c r="AH240" s="33" t="s">
        <v>56</v>
      </c>
      <c r="AI240" s="33" t="s">
        <v>57</v>
      </c>
      <c r="AJ240" s="33" t="s">
        <v>58</v>
      </c>
      <c r="AK240" s="33" t="s">
        <v>56</v>
      </c>
      <c r="AL240" s="27"/>
      <c r="AM240" s="34" t="s">
        <v>57</v>
      </c>
      <c r="AN240" s="35" t="str">
        <f t="shared" si="18"/>
        <v>✓ OK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6106</v>
      </c>
      <c r="C241" s="25" t="s">
        <v>6107</v>
      </c>
      <c r="D241" s="23" t="s">
        <v>5821</v>
      </c>
      <c r="E241" s="42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69">
        <v>46196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70">
        <v>46248</v>
      </c>
      <c r="X241" s="30" t="s">
        <v>55</v>
      </c>
      <c r="Y241" s="30" t="s">
        <v>56</v>
      </c>
      <c r="Z241" s="30" t="s">
        <v>57</v>
      </c>
      <c r="AA241" s="30" t="s">
        <v>58</v>
      </c>
      <c r="AB241" s="30" t="s">
        <v>56</v>
      </c>
      <c r="AC241" s="27"/>
      <c r="AD241" s="31" t="s">
        <v>57</v>
      </c>
      <c r="AE241" s="32" t="str">
        <f t="shared" si="17"/>
        <v>✓ OK</v>
      </c>
      <c r="AF241" s="33" t="s">
        <v>61</v>
      </c>
      <c r="AG241" s="33" t="s">
        <v>55</v>
      </c>
      <c r="AH241" s="33" t="s">
        <v>56</v>
      </c>
      <c r="AI241" s="33" t="s">
        <v>57</v>
      </c>
      <c r="AJ241" s="33" t="s">
        <v>58</v>
      </c>
      <c r="AK241" s="33" t="s">
        <v>56</v>
      </c>
      <c r="AL241" s="27"/>
      <c r="AM241" s="34" t="s">
        <v>57</v>
      </c>
      <c r="AN241" s="35" t="str">
        <f t="shared" si="18"/>
        <v>✓ OK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6108</v>
      </c>
      <c r="C242" s="41" t="s">
        <v>6109</v>
      </c>
      <c r="D242" s="39" t="s">
        <v>5821</v>
      </c>
      <c r="E242" s="42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69">
        <v>46196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70">
        <v>46248</v>
      </c>
      <c r="X242" s="30" t="s">
        <v>55</v>
      </c>
      <c r="Y242" s="30" t="s">
        <v>56</v>
      </c>
      <c r="Z242" s="30" t="s">
        <v>57</v>
      </c>
      <c r="AA242" s="30" t="s">
        <v>58</v>
      </c>
      <c r="AB242" s="30" t="s">
        <v>56</v>
      </c>
      <c r="AC242" s="27"/>
      <c r="AD242" s="31" t="s">
        <v>57</v>
      </c>
      <c r="AE242" s="32" t="str">
        <f t="shared" si="17"/>
        <v>✓ OK</v>
      </c>
      <c r="AF242" s="33" t="s">
        <v>61</v>
      </c>
      <c r="AG242" s="33" t="s">
        <v>55</v>
      </c>
      <c r="AH242" s="33" t="s">
        <v>56</v>
      </c>
      <c r="AI242" s="33" t="s">
        <v>57</v>
      </c>
      <c r="AJ242" s="33" t="s">
        <v>58</v>
      </c>
      <c r="AK242" s="33" t="s">
        <v>56</v>
      </c>
      <c r="AL242" s="27"/>
      <c r="AM242" s="34" t="s">
        <v>57</v>
      </c>
      <c r="AN242" s="35" t="str">
        <f t="shared" si="18"/>
        <v>✓ OK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6110</v>
      </c>
      <c r="C243" s="25" t="s">
        <v>6111</v>
      </c>
      <c r="D243" s="23" t="s">
        <v>5821</v>
      </c>
      <c r="E243" s="42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69">
        <v>46196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70">
        <v>46248</v>
      </c>
      <c r="X243" s="30" t="s">
        <v>55</v>
      </c>
      <c r="Y243" s="30" t="s">
        <v>56</v>
      </c>
      <c r="Z243" s="30" t="s">
        <v>57</v>
      </c>
      <c r="AA243" s="30" t="s">
        <v>58</v>
      </c>
      <c r="AB243" s="30" t="s">
        <v>56</v>
      </c>
      <c r="AC243" s="27"/>
      <c r="AD243" s="31" t="s">
        <v>57</v>
      </c>
      <c r="AE243" s="32" t="str">
        <f t="shared" si="17"/>
        <v>✓ OK</v>
      </c>
      <c r="AF243" s="33" t="s">
        <v>61</v>
      </c>
      <c r="AG243" s="33" t="s">
        <v>55</v>
      </c>
      <c r="AH243" s="33" t="s">
        <v>56</v>
      </c>
      <c r="AI243" s="33" t="s">
        <v>57</v>
      </c>
      <c r="AJ243" s="33" t="s">
        <v>58</v>
      </c>
      <c r="AK243" s="33" t="s">
        <v>56</v>
      </c>
      <c r="AL243" s="27"/>
      <c r="AM243" s="34" t="s">
        <v>57</v>
      </c>
      <c r="AN243" s="35" t="str">
        <f t="shared" si="18"/>
        <v>✓ OK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6112</v>
      </c>
      <c r="C244" s="41" t="s">
        <v>6113</v>
      </c>
      <c r="D244" s="39" t="s">
        <v>5821</v>
      </c>
      <c r="E244" s="42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69">
        <v>46196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70">
        <v>46248</v>
      </c>
      <c r="X244" s="30" t="s">
        <v>55</v>
      </c>
      <c r="Y244" s="30" t="s">
        <v>56</v>
      </c>
      <c r="Z244" s="30" t="s">
        <v>57</v>
      </c>
      <c r="AA244" s="30" t="s">
        <v>58</v>
      </c>
      <c r="AB244" s="30" t="s">
        <v>56</v>
      </c>
      <c r="AC244" s="27"/>
      <c r="AD244" s="31" t="s">
        <v>57</v>
      </c>
      <c r="AE244" s="32" t="str">
        <f t="shared" si="17"/>
        <v>✓ OK</v>
      </c>
      <c r="AF244" s="33" t="s">
        <v>61</v>
      </c>
      <c r="AG244" s="33" t="s">
        <v>55</v>
      </c>
      <c r="AH244" s="33" t="s">
        <v>56</v>
      </c>
      <c r="AI244" s="33" t="s">
        <v>57</v>
      </c>
      <c r="AJ244" s="33" t="s">
        <v>58</v>
      </c>
      <c r="AK244" s="33" t="s">
        <v>56</v>
      </c>
      <c r="AL244" s="27"/>
      <c r="AM244" s="34" t="s">
        <v>57</v>
      </c>
      <c r="AN244" s="35" t="str">
        <f t="shared" si="18"/>
        <v>✓ OK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6114</v>
      </c>
      <c r="C245" s="25" t="s">
        <v>6115</v>
      </c>
      <c r="D245" s="23" t="s">
        <v>5821</v>
      </c>
      <c r="E245" s="42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69">
        <v>46196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70">
        <v>46248</v>
      </c>
      <c r="X245" s="30" t="s">
        <v>55</v>
      </c>
      <c r="Y245" s="30" t="s">
        <v>56</v>
      </c>
      <c r="Z245" s="30" t="s">
        <v>57</v>
      </c>
      <c r="AA245" s="30" t="s">
        <v>58</v>
      </c>
      <c r="AB245" s="30" t="s">
        <v>56</v>
      </c>
      <c r="AC245" s="27"/>
      <c r="AD245" s="31" t="s">
        <v>57</v>
      </c>
      <c r="AE245" s="32" t="str">
        <f t="shared" si="17"/>
        <v>✓ OK</v>
      </c>
      <c r="AF245" s="33" t="s">
        <v>61</v>
      </c>
      <c r="AG245" s="33" t="s">
        <v>55</v>
      </c>
      <c r="AH245" s="33" t="s">
        <v>56</v>
      </c>
      <c r="AI245" s="33" t="s">
        <v>57</v>
      </c>
      <c r="AJ245" s="33" t="s">
        <v>58</v>
      </c>
      <c r="AK245" s="33" t="s">
        <v>56</v>
      </c>
      <c r="AL245" s="27"/>
      <c r="AM245" s="34" t="s">
        <v>57</v>
      </c>
      <c r="AN245" s="35" t="str">
        <f t="shared" si="18"/>
        <v>✓ OK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6116</v>
      </c>
      <c r="C246" s="41" t="s">
        <v>6117</v>
      </c>
      <c r="D246" s="39" t="s">
        <v>5821</v>
      </c>
      <c r="E246" s="42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69">
        <v>46196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70">
        <v>46248</v>
      </c>
      <c r="X246" s="30" t="s">
        <v>55</v>
      </c>
      <c r="Y246" s="30" t="s">
        <v>56</v>
      </c>
      <c r="Z246" s="30" t="s">
        <v>57</v>
      </c>
      <c r="AA246" s="30" t="s">
        <v>58</v>
      </c>
      <c r="AB246" s="30" t="s">
        <v>56</v>
      </c>
      <c r="AC246" s="27"/>
      <c r="AD246" s="31" t="s">
        <v>57</v>
      </c>
      <c r="AE246" s="32" t="str">
        <f t="shared" si="17"/>
        <v>✓ OK</v>
      </c>
      <c r="AF246" s="33" t="s">
        <v>61</v>
      </c>
      <c r="AG246" s="33" t="s">
        <v>55</v>
      </c>
      <c r="AH246" s="33" t="s">
        <v>56</v>
      </c>
      <c r="AI246" s="33" t="s">
        <v>57</v>
      </c>
      <c r="AJ246" s="33" t="s">
        <v>58</v>
      </c>
      <c r="AK246" s="33" t="s">
        <v>56</v>
      </c>
      <c r="AL246" s="27"/>
      <c r="AM246" s="34" t="s">
        <v>57</v>
      </c>
      <c r="AN246" s="35" t="str">
        <f t="shared" si="18"/>
        <v>✓ OK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6118</v>
      </c>
      <c r="C247" s="25" t="s">
        <v>6119</v>
      </c>
      <c r="D247" s="23" t="s">
        <v>5821</v>
      </c>
      <c r="E247" s="42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69">
        <v>46196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70">
        <v>46248</v>
      </c>
      <c r="X247" s="30" t="s">
        <v>55</v>
      </c>
      <c r="Y247" s="30" t="s">
        <v>56</v>
      </c>
      <c r="Z247" s="30" t="s">
        <v>57</v>
      </c>
      <c r="AA247" s="30" t="s">
        <v>58</v>
      </c>
      <c r="AB247" s="30" t="s">
        <v>56</v>
      </c>
      <c r="AC247" s="27"/>
      <c r="AD247" s="31" t="s">
        <v>57</v>
      </c>
      <c r="AE247" s="32" t="str">
        <f t="shared" si="17"/>
        <v>✓ OK</v>
      </c>
      <c r="AF247" s="33" t="s">
        <v>61</v>
      </c>
      <c r="AG247" s="33" t="s">
        <v>55</v>
      </c>
      <c r="AH247" s="33" t="s">
        <v>56</v>
      </c>
      <c r="AI247" s="33" t="s">
        <v>57</v>
      </c>
      <c r="AJ247" s="33" t="s">
        <v>58</v>
      </c>
      <c r="AK247" s="33" t="s">
        <v>56</v>
      </c>
      <c r="AL247" s="27"/>
      <c r="AM247" s="34" t="s">
        <v>57</v>
      </c>
      <c r="AN247" s="35" t="str">
        <f t="shared" si="18"/>
        <v>✓ OK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6120</v>
      </c>
      <c r="C248" s="41" t="s">
        <v>6121</v>
      </c>
      <c r="D248" s="39" t="s">
        <v>5821</v>
      </c>
      <c r="E248" s="42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69">
        <v>46196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70">
        <v>46248</v>
      </c>
      <c r="X248" s="30" t="s">
        <v>55</v>
      </c>
      <c r="Y248" s="30" t="s">
        <v>56</v>
      </c>
      <c r="Z248" s="30" t="s">
        <v>57</v>
      </c>
      <c r="AA248" s="30" t="s">
        <v>58</v>
      </c>
      <c r="AB248" s="30" t="s">
        <v>56</v>
      </c>
      <c r="AC248" s="27"/>
      <c r="AD248" s="31" t="s">
        <v>57</v>
      </c>
      <c r="AE248" s="32" t="str">
        <f t="shared" si="17"/>
        <v>✓ OK</v>
      </c>
      <c r="AF248" s="33" t="s">
        <v>61</v>
      </c>
      <c r="AG248" s="33" t="s">
        <v>55</v>
      </c>
      <c r="AH248" s="33" t="s">
        <v>56</v>
      </c>
      <c r="AI248" s="33" t="s">
        <v>57</v>
      </c>
      <c r="AJ248" s="33" t="s">
        <v>58</v>
      </c>
      <c r="AK248" s="33" t="s">
        <v>56</v>
      </c>
      <c r="AL248" s="27"/>
      <c r="AM248" s="34" t="s">
        <v>57</v>
      </c>
      <c r="AN248" s="35" t="str">
        <f t="shared" si="18"/>
        <v>✓ OK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6122</v>
      </c>
      <c r="C249" s="25" t="s">
        <v>6123</v>
      </c>
      <c r="D249" s="23" t="s">
        <v>5821</v>
      </c>
      <c r="E249" s="42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69">
        <v>46196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70">
        <v>46248</v>
      </c>
      <c r="X249" s="30" t="s">
        <v>55</v>
      </c>
      <c r="Y249" s="30" t="s">
        <v>56</v>
      </c>
      <c r="Z249" s="30" t="s">
        <v>57</v>
      </c>
      <c r="AA249" s="30" t="s">
        <v>58</v>
      </c>
      <c r="AB249" s="30" t="s">
        <v>56</v>
      </c>
      <c r="AC249" s="27"/>
      <c r="AD249" s="31" t="s">
        <v>57</v>
      </c>
      <c r="AE249" s="32" t="str">
        <f t="shared" si="17"/>
        <v>✓ OK</v>
      </c>
      <c r="AF249" s="33" t="s">
        <v>61</v>
      </c>
      <c r="AG249" s="33" t="s">
        <v>55</v>
      </c>
      <c r="AH249" s="33" t="s">
        <v>56</v>
      </c>
      <c r="AI249" s="33" t="s">
        <v>57</v>
      </c>
      <c r="AJ249" s="33" t="s">
        <v>58</v>
      </c>
      <c r="AK249" s="33" t="s">
        <v>56</v>
      </c>
      <c r="AL249" s="27"/>
      <c r="AM249" s="34" t="s">
        <v>57</v>
      </c>
      <c r="AN249" s="35" t="str">
        <f t="shared" si="18"/>
        <v>✓ OK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6124</v>
      </c>
      <c r="C250" s="41" t="s">
        <v>6125</v>
      </c>
      <c r="D250" s="39" t="s">
        <v>5821</v>
      </c>
      <c r="E250" s="42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69">
        <v>46196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70">
        <v>46248</v>
      </c>
      <c r="X250" s="30" t="s">
        <v>55</v>
      </c>
      <c r="Y250" s="30" t="s">
        <v>56</v>
      </c>
      <c r="Z250" s="30" t="s">
        <v>57</v>
      </c>
      <c r="AA250" s="30" t="s">
        <v>58</v>
      </c>
      <c r="AB250" s="30" t="s">
        <v>56</v>
      </c>
      <c r="AC250" s="27"/>
      <c r="AD250" s="31" t="s">
        <v>57</v>
      </c>
      <c r="AE250" s="32" t="str">
        <f t="shared" si="17"/>
        <v>✓ OK</v>
      </c>
      <c r="AF250" s="33" t="s">
        <v>61</v>
      </c>
      <c r="AG250" s="33" t="s">
        <v>55</v>
      </c>
      <c r="AH250" s="33" t="s">
        <v>56</v>
      </c>
      <c r="AI250" s="33" t="s">
        <v>57</v>
      </c>
      <c r="AJ250" s="33" t="s">
        <v>58</v>
      </c>
      <c r="AK250" s="33" t="s">
        <v>56</v>
      </c>
      <c r="AL250" s="27"/>
      <c r="AM250" s="34" t="s">
        <v>57</v>
      </c>
      <c r="AN250" s="35" t="str">
        <f t="shared" si="18"/>
        <v>✓ OK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6126</v>
      </c>
      <c r="C251" s="25" t="s">
        <v>6127</v>
      </c>
      <c r="D251" s="23" t="s">
        <v>5821</v>
      </c>
      <c r="E251" s="42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69">
        <v>46196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70">
        <v>46248</v>
      </c>
      <c r="X251" s="30" t="s">
        <v>55</v>
      </c>
      <c r="Y251" s="30" t="s">
        <v>56</v>
      </c>
      <c r="Z251" s="30" t="s">
        <v>57</v>
      </c>
      <c r="AA251" s="30" t="s">
        <v>58</v>
      </c>
      <c r="AB251" s="30" t="s">
        <v>56</v>
      </c>
      <c r="AC251" s="27"/>
      <c r="AD251" s="31" t="s">
        <v>57</v>
      </c>
      <c r="AE251" s="32" t="str">
        <f t="shared" si="17"/>
        <v>✓ OK</v>
      </c>
      <c r="AF251" s="33" t="s">
        <v>61</v>
      </c>
      <c r="AG251" s="33" t="s">
        <v>55</v>
      </c>
      <c r="AH251" s="33" t="s">
        <v>56</v>
      </c>
      <c r="AI251" s="33" t="s">
        <v>57</v>
      </c>
      <c r="AJ251" s="33" t="s">
        <v>58</v>
      </c>
      <c r="AK251" s="33" t="s">
        <v>56</v>
      </c>
      <c r="AL251" s="27"/>
      <c r="AM251" s="34" t="s">
        <v>57</v>
      </c>
      <c r="AN251" s="35" t="str">
        <f t="shared" si="18"/>
        <v>✓ OK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6128</v>
      </c>
      <c r="C252" s="41" t="s">
        <v>6129</v>
      </c>
      <c r="D252" s="39" t="s">
        <v>5821</v>
      </c>
      <c r="E252" s="42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69">
        <v>46196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70">
        <v>46248</v>
      </c>
      <c r="X252" s="30" t="s">
        <v>55</v>
      </c>
      <c r="Y252" s="30" t="s">
        <v>56</v>
      </c>
      <c r="Z252" s="30" t="s">
        <v>57</v>
      </c>
      <c r="AA252" s="30" t="s">
        <v>58</v>
      </c>
      <c r="AB252" s="30" t="s">
        <v>56</v>
      </c>
      <c r="AC252" s="27"/>
      <c r="AD252" s="31" t="s">
        <v>57</v>
      </c>
      <c r="AE252" s="32" t="str">
        <f t="shared" si="17"/>
        <v>✓ OK</v>
      </c>
      <c r="AF252" s="33" t="s">
        <v>61</v>
      </c>
      <c r="AG252" s="33" t="s">
        <v>55</v>
      </c>
      <c r="AH252" s="33" t="s">
        <v>56</v>
      </c>
      <c r="AI252" s="33" t="s">
        <v>57</v>
      </c>
      <c r="AJ252" s="33" t="s">
        <v>58</v>
      </c>
      <c r="AK252" s="33" t="s">
        <v>56</v>
      </c>
      <c r="AL252" s="27"/>
      <c r="AM252" s="34" t="s">
        <v>57</v>
      </c>
      <c r="AN252" s="35" t="str">
        <f t="shared" si="18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6130</v>
      </c>
      <c r="C253" s="25" t="s">
        <v>6131</v>
      </c>
      <c r="D253" s="23" t="s">
        <v>5821</v>
      </c>
      <c r="E253" s="42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69">
        <v>46196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70">
        <v>46248</v>
      </c>
      <c r="X253" s="30" t="s">
        <v>55</v>
      </c>
      <c r="Y253" s="30" t="s">
        <v>56</v>
      </c>
      <c r="Z253" s="30" t="s">
        <v>57</v>
      </c>
      <c r="AA253" s="30" t="s">
        <v>58</v>
      </c>
      <c r="AB253" s="30" t="s">
        <v>56</v>
      </c>
      <c r="AC253" s="27"/>
      <c r="AD253" s="31" t="s">
        <v>57</v>
      </c>
      <c r="AE253" s="32" t="str">
        <f t="shared" si="17"/>
        <v>✓ OK</v>
      </c>
      <c r="AF253" s="33" t="s">
        <v>61</v>
      </c>
      <c r="AG253" s="33" t="s">
        <v>55</v>
      </c>
      <c r="AH253" s="33" t="s">
        <v>56</v>
      </c>
      <c r="AI253" s="33" t="s">
        <v>57</v>
      </c>
      <c r="AJ253" s="33" t="s">
        <v>58</v>
      </c>
      <c r="AK253" s="33" t="s">
        <v>56</v>
      </c>
      <c r="AL253" s="27"/>
      <c r="AM253" s="34" t="s">
        <v>57</v>
      </c>
      <c r="AN253" s="35" t="str">
        <f t="shared" si="18"/>
        <v>✓ OK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6132</v>
      </c>
      <c r="C254" s="41" t="s">
        <v>6133</v>
      </c>
      <c r="D254" s="39" t="s">
        <v>5821</v>
      </c>
      <c r="E254" s="42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69">
        <v>46196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70">
        <v>46248</v>
      </c>
      <c r="X254" s="30" t="s">
        <v>55</v>
      </c>
      <c r="Y254" s="30" t="s">
        <v>56</v>
      </c>
      <c r="Z254" s="30" t="s">
        <v>57</v>
      </c>
      <c r="AA254" s="30" t="s">
        <v>58</v>
      </c>
      <c r="AB254" s="30" t="s">
        <v>56</v>
      </c>
      <c r="AC254" s="27"/>
      <c r="AD254" s="31" t="s">
        <v>57</v>
      </c>
      <c r="AE254" s="32" t="str">
        <f t="shared" si="17"/>
        <v>✓ OK</v>
      </c>
      <c r="AF254" s="33" t="s">
        <v>61</v>
      </c>
      <c r="AG254" s="33" t="s">
        <v>55</v>
      </c>
      <c r="AH254" s="33" t="s">
        <v>56</v>
      </c>
      <c r="AI254" s="33" t="s">
        <v>57</v>
      </c>
      <c r="AJ254" s="33" t="s">
        <v>58</v>
      </c>
      <c r="AK254" s="33" t="s">
        <v>56</v>
      </c>
      <c r="AL254" s="27"/>
      <c r="AM254" s="34" t="s">
        <v>57</v>
      </c>
      <c r="AN254" s="35" t="str">
        <f t="shared" si="18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6134</v>
      </c>
      <c r="C255" s="25" t="s">
        <v>6135</v>
      </c>
      <c r="D255" s="23" t="s">
        <v>5821</v>
      </c>
      <c r="E255" s="42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69">
        <v>46196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70">
        <v>46248</v>
      </c>
      <c r="X255" s="30" t="s">
        <v>55</v>
      </c>
      <c r="Y255" s="30" t="s">
        <v>56</v>
      </c>
      <c r="Z255" s="30" t="s">
        <v>57</v>
      </c>
      <c r="AA255" s="30" t="s">
        <v>58</v>
      </c>
      <c r="AB255" s="30" t="s">
        <v>56</v>
      </c>
      <c r="AC255" s="27"/>
      <c r="AD255" s="31" t="s">
        <v>57</v>
      </c>
      <c r="AE255" s="32" t="str">
        <f t="shared" si="17"/>
        <v>✓ OK</v>
      </c>
      <c r="AF255" s="33" t="s">
        <v>61</v>
      </c>
      <c r="AG255" s="33" t="s">
        <v>55</v>
      </c>
      <c r="AH255" s="33" t="s">
        <v>56</v>
      </c>
      <c r="AI255" s="33" t="s">
        <v>57</v>
      </c>
      <c r="AJ255" s="33" t="s">
        <v>58</v>
      </c>
      <c r="AK255" s="33" t="s">
        <v>56</v>
      </c>
      <c r="AL255" s="27"/>
      <c r="AM255" s="34" t="s">
        <v>57</v>
      </c>
      <c r="AN255" s="35" t="str">
        <f t="shared" si="18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6136</v>
      </c>
      <c r="C256" s="41" t="s">
        <v>6137</v>
      </c>
      <c r="D256" s="39" t="s">
        <v>5821</v>
      </c>
      <c r="E256" s="42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69">
        <v>46196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70">
        <v>46248</v>
      </c>
      <c r="X256" s="30" t="s">
        <v>55</v>
      </c>
      <c r="Y256" s="30" t="s">
        <v>56</v>
      </c>
      <c r="Z256" s="30" t="s">
        <v>57</v>
      </c>
      <c r="AA256" s="30" t="s">
        <v>58</v>
      </c>
      <c r="AB256" s="30" t="s">
        <v>56</v>
      </c>
      <c r="AC256" s="27"/>
      <c r="AD256" s="31" t="s">
        <v>57</v>
      </c>
      <c r="AE256" s="32" t="str">
        <f t="shared" si="17"/>
        <v>✓ OK</v>
      </c>
      <c r="AF256" s="33" t="s">
        <v>61</v>
      </c>
      <c r="AG256" s="33" t="s">
        <v>55</v>
      </c>
      <c r="AH256" s="33" t="s">
        <v>56</v>
      </c>
      <c r="AI256" s="33" t="s">
        <v>57</v>
      </c>
      <c r="AJ256" s="33" t="s">
        <v>58</v>
      </c>
      <c r="AK256" s="33" t="s">
        <v>56</v>
      </c>
      <c r="AL256" s="27"/>
      <c r="AM256" s="34" t="s">
        <v>57</v>
      </c>
      <c r="AN256" s="35" t="str">
        <f t="shared" si="18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6138</v>
      </c>
      <c r="C257" s="25" t="s">
        <v>6139</v>
      </c>
      <c r="D257" s="23" t="s">
        <v>5821</v>
      </c>
      <c r="E257" s="42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69">
        <v>46196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70">
        <v>46248</v>
      </c>
      <c r="X257" s="30" t="s">
        <v>55</v>
      </c>
      <c r="Y257" s="30" t="s">
        <v>56</v>
      </c>
      <c r="Z257" s="30" t="s">
        <v>57</v>
      </c>
      <c r="AA257" s="30" t="s">
        <v>58</v>
      </c>
      <c r="AB257" s="30" t="s">
        <v>56</v>
      </c>
      <c r="AC257" s="27"/>
      <c r="AD257" s="31" t="s">
        <v>57</v>
      </c>
      <c r="AE257" s="32" t="str">
        <f t="shared" si="17"/>
        <v>✓ OK</v>
      </c>
      <c r="AF257" s="33" t="s">
        <v>61</v>
      </c>
      <c r="AG257" s="33" t="s">
        <v>55</v>
      </c>
      <c r="AH257" s="33" t="s">
        <v>56</v>
      </c>
      <c r="AI257" s="33" t="s">
        <v>57</v>
      </c>
      <c r="AJ257" s="33" t="s">
        <v>58</v>
      </c>
      <c r="AK257" s="33" t="s">
        <v>56</v>
      </c>
      <c r="AL257" s="27"/>
      <c r="AM257" s="34" t="s">
        <v>57</v>
      </c>
      <c r="AN257" s="35" t="str">
        <f t="shared" si="18"/>
        <v>✓ OK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6140</v>
      </c>
      <c r="C258" s="41" t="s">
        <v>6141</v>
      </c>
      <c r="D258" s="39" t="s">
        <v>5821</v>
      </c>
      <c r="E258" s="42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69">
        <v>46196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70">
        <v>46248</v>
      </c>
      <c r="X258" s="30" t="s">
        <v>55</v>
      </c>
      <c r="Y258" s="30" t="s">
        <v>56</v>
      </c>
      <c r="Z258" s="30" t="s">
        <v>57</v>
      </c>
      <c r="AA258" s="30" t="s">
        <v>58</v>
      </c>
      <c r="AB258" s="30" t="s">
        <v>56</v>
      </c>
      <c r="AC258" s="27"/>
      <c r="AD258" s="31" t="s">
        <v>57</v>
      </c>
      <c r="AE258" s="32" t="str">
        <f t="shared" si="17"/>
        <v>✓ OK</v>
      </c>
      <c r="AF258" s="33" t="s">
        <v>61</v>
      </c>
      <c r="AG258" s="33" t="s">
        <v>55</v>
      </c>
      <c r="AH258" s="33" t="s">
        <v>56</v>
      </c>
      <c r="AI258" s="33" t="s">
        <v>57</v>
      </c>
      <c r="AJ258" s="33" t="s">
        <v>58</v>
      </c>
      <c r="AK258" s="33" t="s">
        <v>56</v>
      </c>
      <c r="AL258" s="27"/>
      <c r="AM258" s="34" t="s">
        <v>57</v>
      </c>
      <c r="AN258" s="35" t="str">
        <f t="shared" si="18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6142</v>
      </c>
      <c r="C259" s="25" t="s">
        <v>6143</v>
      </c>
      <c r="D259" s="23" t="s">
        <v>5821</v>
      </c>
      <c r="E259" s="42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69">
        <v>46196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70">
        <v>46248</v>
      </c>
      <c r="X259" s="30" t="s">
        <v>55</v>
      </c>
      <c r="Y259" s="30" t="s">
        <v>56</v>
      </c>
      <c r="Z259" s="30" t="s">
        <v>57</v>
      </c>
      <c r="AA259" s="30" t="s">
        <v>58</v>
      </c>
      <c r="AB259" s="30" t="s">
        <v>56</v>
      </c>
      <c r="AC259" s="27"/>
      <c r="AD259" s="31" t="s">
        <v>57</v>
      </c>
      <c r="AE259" s="32" t="str">
        <f t="shared" si="17"/>
        <v>✓ OK</v>
      </c>
      <c r="AF259" s="33" t="s">
        <v>61</v>
      </c>
      <c r="AG259" s="33" t="s">
        <v>55</v>
      </c>
      <c r="AH259" s="33" t="s">
        <v>56</v>
      </c>
      <c r="AI259" s="33" t="s">
        <v>57</v>
      </c>
      <c r="AJ259" s="33" t="s">
        <v>58</v>
      </c>
      <c r="AK259" s="33" t="s">
        <v>56</v>
      </c>
      <c r="AL259" s="27"/>
      <c r="AM259" s="34" t="s">
        <v>57</v>
      </c>
      <c r="AN259" s="35" t="str">
        <f t="shared" si="18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6144</v>
      </c>
      <c r="C260" s="41" t="s">
        <v>6145</v>
      </c>
      <c r="D260" s="39" t="s">
        <v>5821</v>
      </c>
      <c r="E260" s="42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69">
        <v>46196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70">
        <v>46248</v>
      </c>
      <c r="X260" s="30" t="s">
        <v>55</v>
      </c>
      <c r="Y260" s="30" t="s">
        <v>56</v>
      </c>
      <c r="Z260" s="30" t="s">
        <v>57</v>
      </c>
      <c r="AA260" s="30" t="s">
        <v>58</v>
      </c>
      <c r="AB260" s="30" t="s">
        <v>56</v>
      </c>
      <c r="AC260" s="27"/>
      <c r="AD260" s="31" t="s">
        <v>57</v>
      </c>
      <c r="AE260" s="32" t="str">
        <f t="shared" si="17"/>
        <v>✓ OK</v>
      </c>
      <c r="AF260" s="33" t="s">
        <v>61</v>
      </c>
      <c r="AG260" s="33" t="s">
        <v>55</v>
      </c>
      <c r="AH260" s="33" t="s">
        <v>56</v>
      </c>
      <c r="AI260" s="33" t="s">
        <v>57</v>
      </c>
      <c r="AJ260" s="33" t="s">
        <v>58</v>
      </c>
      <c r="AK260" s="33" t="s">
        <v>56</v>
      </c>
      <c r="AL260" s="27"/>
      <c r="AM260" s="34" t="s">
        <v>57</v>
      </c>
      <c r="AN260" s="35" t="str">
        <f t="shared" si="18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6146</v>
      </c>
      <c r="C261" s="25" t="s">
        <v>6147</v>
      </c>
      <c r="D261" s="23" t="s">
        <v>5821</v>
      </c>
      <c r="E261" s="42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8" si="20">IF(E261="","",IF(H261="Yes","❌ Disc",IF(G261="No","⚠ Missing",IF(J261="Yes","✓ OK","⚠ Check"))))</f>
        <v>✓ OK</v>
      </c>
      <c r="N261" s="69">
        <v>46196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8" si="21">IF(N261="","",IF(Q261="Yes","❌ Disc",IF(P261="No","⚠ Missing",IF(S261="Yes","✓ OK","⚠ Check"))))</f>
        <v>✓ OK</v>
      </c>
      <c r="W261" s="70">
        <v>46248</v>
      </c>
      <c r="X261" s="30" t="s">
        <v>55</v>
      </c>
      <c r="Y261" s="30" t="s">
        <v>56</v>
      </c>
      <c r="Z261" s="30" t="s">
        <v>57</v>
      </c>
      <c r="AA261" s="30" t="s">
        <v>58</v>
      </c>
      <c r="AB261" s="30" t="s">
        <v>56</v>
      </c>
      <c r="AC261" s="27"/>
      <c r="AD261" s="31" t="s">
        <v>57</v>
      </c>
      <c r="AE261" s="32" t="str">
        <f t="shared" ref="AE261:AE298" si="22">IF(W261="","",IF(Z261="Yes","❌ Disc",IF(Y261="No","⚠ Missing",IF(AB261="Yes","✓ OK","⚠ Check"))))</f>
        <v>✓ OK</v>
      </c>
      <c r="AF261" s="33" t="s">
        <v>61</v>
      </c>
      <c r="AG261" s="33" t="s">
        <v>55</v>
      </c>
      <c r="AH261" s="33" t="s">
        <v>56</v>
      </c>
      <c r="AI261" s="33" t="s">
        <v>57</v>
      </c>
      <c r="AJ261" s="33" t="s">
        <v>58</v>
      </c>
      <c r="AK261" s="33" t="s">
        <v>56</v>
      </c>
      <c r="AL261" s="27"/>
      <c r="AM261" s="34" t="s">
        <v>57</v>
      </c>
      <c r="AN261" s="35" t="str">
        <f t="shared" ref="AN261:AN298" si="23">IF(AF261="","",IF(AI261="Yes","❌ Disc",IF(AH261="No","⚠ Missing",IF(AK261="Yes","✓ OK","⚠ Check"))))</f>
        <v>✓ OK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6148</v>
      </c>
      <c r="C262" s="41" t="s">
        <v>6149</v>
      </c>
      <c r="D262" s="39" t="s">
        <v>5821</v>
      </c>
      <c r="E262" s="42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69">
        <v>46196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70">
        <v>46248</v>
      </c>
      <c r="X262" s="30" t="s">
        <v>55</v>
      </c>
      <c r="Y262" s="30" t="s">
        <v>56</v>
      </c>
      <c r="Z262" s="30" t="s">
        <v>57</v>
      </c>
      <c r="AA262" s="30" t="s">
        <v>58</v>
      </c>
      <c r="AB262" s="30" t="s">
        <v>56</v>
      </c>
      <c r="AC262" s="27"/>
      <c r="AD262" s="31" t="s">
        <v>57</v>
      </c>
      <c r="AE262" s="32" t="str">
        <f t="shared" si="22"/>
        <v>✓ OK</v>
      </c>
      <c r="AF262" s="33" t="s">
        <v>61</v>
      </c>
      <c r="AG262" s="33" t="s">
        <v>55</v>
      </c>
      <c r="AH262" s="33" t="s">
        <v>56</v>
      </c>
      <c r="AI262" s="33" t="s">
        <v>57</v>
      </c>
      <c r="AJ262" s="33" t="s">
        <v>58</v>
      </c>
      <c r="AK262" s="33" t="s">
        <v>56</v>
      </c>
      <c r="AL262" s="27"/>
      <c r="AM262" s="34" t="s">
        <v>57</v>
      </c>
      <c r="AN262" s="35" t="str">
        <f t="shared" si="23"/>
        <v>✓ OK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6150</v>
      </c>
      <c r="C263" s="25" t="s">
        <v>6151</v>
      </c>
      <c r="D263" s="23" t="s">
        <v>5821</v>
      </c>
      <c r="E263" s="42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69">
        <v>46196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70">
        <v>46248</v>
      </c>
      <c r="X263" s="30" t="s">
        <v>55</v>
      </c>
      <c r="Y263" s="30" t="s">
        <v>56</v>
      </c>
      <c r="Z263" s="30" t="s">
        <v>57</v>
      </c>
      <c r="AA263" s="30" t="s">
        <v>58</v>
      </c>
      <c r="AB263" s="30" t="s">
        <v>56</v>
      </c>
      <c r="AC263" s="27"/>
      <c r="AD263" s="31" t="s">
        <v>57</v>
      </c>
      <c r="AE263" s="32" t="str">
        <f t="shared" si="22"/>
        <v>✓ OK</v>
      </c>
      <c r="AF263" s="33" t="s">
        <v>61</v>
      </c>
      <c r="AG263" s="33" t="s">
        <v>55</v>
      </c>
      <c r="AH263" s="33" t="s">
        <v>56</v>
      </c>
      <c r="AI263" s="33" t="s">
        <v>57</v>
      </c>
      <c r="AJ263" s="33" t="s">
        <v>58</v>
      </c>
      <c r="AK263" s="33" t="s">
        <v>56</v>
      </c>
      <c r="AL263" s="27"/>
      <c r="AM263" s="34" t="s">
        <v>57</v>
      </c>
      <c r="AN263" s="35" t="str">
        <f t="shared" si="23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6152</v>
      </c>
      <c r="C264" s="41" t="s">
        <v>6153</v>
      </c>
      <c r="D264" s="39" t="s">
        <v>5821</v>
      </c>
      <c r="E264" s="42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69">
        <v>46196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70">
        <v>46248</v>
      </c>
      <c r="X264" s="30" t="s">
        <v>55</v>
      </c>
      <c r="Y264" s="30" t="s">
        <v>56</v>
      </c>
      <c r="Z264" s="30" t="s">
        <v>57</v>
      </c>
      <c r="AA264" s="30" t="s">
        <v>58</v>
      </c>
      <c r="AB264" s="30" t="s">
        <v>56</v>
      </c>
      <c r="AC264" s="27"/>
      <c r="AD264" s="31" t="s">
        <v>57</v>
      </c>
      <c r="AE264" s="32" t="str">
        <f t="shared" si="22"/>
        <v>✓ OK</v>
      </c>
      <c r="AF264" s="33" t="s">
        <v>61</v>
      </c>
      <c r="AG264" s="33" t="s">
        <v>55</v>
      </c>
      <c r="AH264" s="33" t="s">
        <v>56</v>
      </c>
      <c r="AI264" s="33" t="s">
        <v>57</v>
      </c>
      <c r="AJ264" s="33" t="s">
        <v>58</v>
      </c>
      <c r="AK264" s="33" t="s">
        <v>56</v>
      </c>
      <c r="AL264" s="27"/>
      <c r="AM264" s="34" t="s">
        <v>57</v>
      </c>
      <c r="AN264" s="35" t="str">
        <f t="shared" si="23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6154</v>
      </c>
      <c r="C265" s="25" t="s">
        <v>6155</v>
      </c>
      <c r="D265" s="23" t="s">
        <v>5821</v>
      </c>
      <c r="E265" s="42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69">
        <v>46196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70">
        <v>46248</v>
      </c>
      <c r="X265" s="30" t="s">
        <v>55</v>
      </c>
      <c r="Y265" s="30" t="s">
        <v>56</v>
      </c>
      <c r="Z265" s="30" t="s">
        <v>57</v>
      </c>
      <c r="AA265" s="30" t="s">
        <v>58</v>
      </c>
      <c r="AB265" s="30" t="s">
        <v>56</v>
      </c>
      <c r="AC265" s="27"/>
      <c r="AD265" s="31" t="s">
        <v>57</v>
      </c>
      <c r="AE265" s="32" t="str">
        <f t="shared" si="22"/>
        <v>✓ OK</v>
      </c>
      <c r="AF265" s="33" t="s">
        <v>61</v>
      </c>
      <c r="AG265" s="33" t="s">
        <v>55</v>
      </c>
      <c r="AH265" s="33" t="s">
        <v>56</v>
      </c>
      <c r="AI265" s="33" t="s">
        <v>57</v>
      </c>
      <c r="AJ265" s="33" t="s">
        <v>58</v>
      </c>
      <c r="AK265" s="33" t="s">
        <v>56</v>
      </c>
      <c r="AL265" s="27"/>
      <c r="AM265" s="34" t="s">
        <v>57</v>
      </c>
      <c r="AN265" s="35" t="str">
        <f t="shared" si="23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6156</v>
      </c>
      <c r="C266" s="41" t="s">
        <v>6157</v>
      </c>
      <c r="D266" s="39" t="s">
        <v>5821</v>
      </c>
      <c r="E266" s="42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69">
        <v>46196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70">
        <v>46248</v>
      </c>
      <c r="X266" s="30" t="s">
        <v>55</v>
      </c>
      <c r="Y266" s="30" t="s">
        <v>56</v>
      </c>
      <c r="Z266" s="30" t="s">
        <v>57</v>
      </c>
      <c r="AA266" s="30" t="s">
        <v>58</v>
      </c>
      <c r="AB266" s="30" t="s">
        <v>56</v>
      </c>
      <c r="AC266" s="27"/>
      <c r="AD266" s="31" t="s">
        <v>57</v>
      </c>
      <c r="AE266" s="32" t="str">
        <f t="shared" si="22"/>
        <v>✓ OK</v>
      </c>
      <c r="AF266" s="33" t="s">
        <v>61</v>
      </c>
      <c r="AG266" s="33" t="s">
        <v>55</v>
      </c>
      <c r="AH266" s="33" t="s">
        <v>56</v>
      </c>
      <c r="AI266" s="33" t="s">
        <v>57</v>
      </c>
      <c r="AJ266" s="33" t="s">
        <v>58</v>
      </c>
      <c r="AK266" s="33" t="s">
        <v>56</v>
      </c>
      <c r="AL266" s="27"/>
      <c r="AM266" s="34" t="s">
        <v>57</v>
      </c>
      <c r="AN266" s="35" t="str">
        <f t="shared" si="23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6158</v>
      </c>
      <c r="C267" s="25" t="s">
        <v>6159</v>
      </c>
      <c r="D267" s="23" t="s">
        <v>5821</v>
      </c>
      <c r="E267" s="42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69">
        <v>46196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70">
        <v>46248</v>
      </c>
      <c r="X267" s="30" t="s">
        <v>55</v>
      </c>
      <c r="Y267" s="30" t="s">
        <v>56</v>
      </c>
      <c r="Z267" s="30" t="s">
        <v>57</v>
      </c>
      <c r="AA267" s="30" t="s">
        <v>58</v>
      </c>
      <c r="AB267" s="30" t="s">
        <v>56</v>
      </c>
      <c r="AC267" s="27"/>
      <c r="AD267" s="31" t="s">
        <v>57</v>
      </c>
      <c r="AE267" s="32" t="str">
        <f t="shared" si="22"/>
        <v>✓ OK</v>
      </c>
      <c r="AF267" s="33" t="s">
        <v>61</v>
      </c>
      <c r="AG267" s="33" t="s">
        <v>55</v>
      </c>
      <c r="AH267" s="33" t="s">
        <v>56</v>
      </c>
      <c r="AI267" s="33" t="s">
        <v>57</v>
      </c>
      <c r="AJ267" s="33" t="s">
        <v>58</v>
      </c>
      <c r="AK267" s="33" t="s">
        <v>56</v>
      </c>
      <c r="AL267" s="27"/>
      <c r="AM267" s="34" t="s">
        <v>57</v>
      </c>
      <c r="AN267" s="35" t="str">
        <f t="shared" si="23"/>
        <v>✓ OK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6160</v>
      </c>
      <c r="C268" s="41" t="s">
        <v>6161</v>
      </c>
      <c r="D268" s="39" t="s">
        <v>5821</v>
      </c>
      <c r="E268" s="42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69">
        <v>46196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70">
        <v>46248</v>
      </c>
      <c r="X268" s="30" t="s">
        <v>55</v>
      </c>
      <c r="Y268" s="30" t="s">
        <v>56</v>
      </c>
      <c r="Z268" s="30" t="s">
        <v>57</v>
      </c>
      <c r="AA268" s="30" t="s">
        <v>58</v>
      </c>
      <c r="AB268" s="30" t="s">
        <v>56</v>
      </c>
      <c r="AC268" s="27"/>
      <c r="AD268" s="31" t="s">
        <v>57</v>
      </c>
      <c r="AE268" s="32" t="str">
        <f t="shared" si="22"/>
        <v>✓ OK</v>
      </c>
      <c r="AF268" s="33" t="s">
        <v>61</v>
      </c>
      <c r="AG268" s="33" t="s">
        <v>55</v>
      </c>
      <c r="AH268" s="33" t="s">
        <v>56</v>
      </c>
      <c r="AI268" s="33" t="s">
        <v>57</v>
      </c>
      <c r="AJ268" s="33" t="s">
        <v>58</v>
      </c>
      <c r="AK268" s="33" t="s">
        <v>56</v>
      </c>
      <c r="AL268" s="27"/>
      <c r="AM268" s="34" t="s">
        <v>57</v>
      </c>
      <c r="AN268" s="35" t="str">
        <f t="shared" si="23"/>
        <v>✓ OK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6162</v>
      </c>
      <c r="C269" s="25" t="s">
        <v>6163</v>
      </c>
      <c r="D269" s="23" t="s">
        <v>5821</v>
      </c>
      <c r="E269" s="42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69">
        <v>46196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70">
        <v>46248</v>
      </c>
      <c r="X269" s="30" t="s">
        <v>55</v>
      </c>
      <c r="Y269" s="30" t="s">
        <v>56</v>
      </c>
      <c r="Z269" s="30" t="s">
        <v>57</v>
      </c>
      <c r="AA269" s="30" t="s">
        <v>58</v>
      </c>
      <c r="AB269" s="30" t="s">
        <v>56</v>
      </c>
      <c r="AC269" s="27"/>
      <c r="AD269" s="31" t="s">
        <v>57</v>
      </c>
      <c r="AE269" s="32" t="str">
        <f t="shared" si="22"/>
        <v>✓ OK</v>
      </c>
      <c r="AF269" s="33" t="s">
        <v>61</v>
      </c>
      <c r="AG269" s="33" t="s">
        <v>55</v>
      </c>
      <c r="AH269" s="33" t="s">
        <v>56</v>
      </c>
      <c r="AI269" s="33" t="s">
        <v>57</v>
      </c>
      <c r="AJ269" s="33" t="s">
        <v>58</v>
      </c>
      <c r="AK269" s="33" t="s">
        <v>56</v>
      </c>
      <c r="AL269" s="27"/>
      <c r="AM269" s="34" t="s">
        <v>57</v>
      </c>
      <c r="AN269" s="35" t="str">
        <f t="shared" si="23"/>
        <v>✓ OK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6164</v>
      </c>
      <c r="C270" s="41" t="s">
        <v>6165</v>
      </c>
      <c r="D270" s="39" t="s">
        <v>5821</v>
      </c>
      <c r="E270" s="42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69">
        <v>46196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70">
        <v>46248</v>
      </c>
      <c r="X270" s="30" t="s">
        <v>55</v>
      </c>
      <c r="Y270" s="30" t="s">
        <v>56</v>
      </c>
      <c r="Z270" s="30" t="s">
        <v>57</v>
      </c>
      <c r="AA270" s="30" t="s">
        <v>58</v>
      </c>
      <c r="AB270" s="30" t="s">
        <v>56</v>
      </c>
      <c r="AC270" s="27"/>
      <c r="AD270" s="31" t="s">
        <v>57</v>
      </c>
      <c r="AE270" s="32" t="str">
        <f t="shared" si="22"/>
        <v>✓ OK</v>
      </c>
      <c r="AF270" s="33" t="s">
        <v>61</v>
      </c>
      <c r="AG270" s="33" t="s">
        <v>55</v>
      </c>
      <c r="AH270" s="33" t="s">
        <v>56</v>
      </c>
      <c r="AI270" s="33" t="s">
        <v>57</v>
      </c>
      <c r="AJ270" s="33" t="s">
        <v>58</v>
      </c>
      <c r="AK270" s="33" t="s">
        <v>56</v>
      </c>
      <c r="AL270" s="27"/>
      <c r="AM270" s="34" t="s">
        <v>57</v>
      </c>
      <c r="AN270" s="35" t="str">
        <f t="shared" si="23"/>
        <v>✓ OK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6166</v>
      </c>
      <c r="C271" s="25" t="s">
        <v>6167</v>
      </c>
      <c r="D271" s="23" t="s">
        <v>5821</v>
      </c>
      <c r="E271" s="42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69">
        <v>46196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70">
        <v>46248</v>
      </c>
      <c r="X271" s="30" t="s">
        <v>55</v>
      </c>
      <c r="Y271" s="30" t="s">
        <v>56</v>
      </c>
      <c r="Z271" s="30" t="s">
        <v>57</v>
      </c>
      <c r="AA271" s="30" t="s">
        <v>58</v>
      </c>
      <c r="AB271" s="30" t="s">
        <v>56</v>
      </c>
      <c r="AC271" s="27"/>
      <c r="AD271" s="31" t="s">
        <v>57</v>
      </c>
      <c r="AE271" s="32" t="str">
        <f t="shared" si="22"/>
        <v>✓ OK</v>
      </c>
      <c r="AF271" s="33" t="s">
        <v>61</v>
      </c>
      <c r="AG271" s="33" t="s">
        <v>55</v>
      </c>
      <c r="AH271" s="33" t="s">
        <v>56</v>
      </c>
      <c r="AI271" s="33" t="s">
        <v>57</v>
      </c>
      <c r="AJ271" s="33" t="s">
        <v>58</v>
      </c>
      <c r="AK271" s="33" t="s">
        <v>56</v>
      </c>
      <c r="AL271" s="27"/>
      <c r="AM271" s="34" t="s">
        <v>57</v>
      </c>
      <c r="AN271" s="35" t="str">
        <f t="shared" si="23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6168</v>
      </c>
      <c r="C272" s="41" t="s">
        <v>6169</v>
      </c>
      <c r="D272" s="39" t="s">
        <v>5821</v>
      </c>
      <c r="E272" s="42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69">
        <v>46196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70">
        <v>46248</v>
      </c>
      <c r="X272" s="30" t="s">
        <v>55</v>
      </c>
      <c r="Y272" s="30" t="s">
        <v>56</v>
      </c>
      <c r="Z272" s="30" t="s">
        <v>57</v>
      </c>
      <c r="AA272" s="30" t="s">
        <v>58</v>
      </c>
      <c r="AB272" s="30" t="s">
        <v>56</v>
      </c>
      <c r="AC272" s="27"/>
      <c r="AD272" s="31" t="s">
        <v>57</v>
      </c>
      <c r="AE272" s="32" t="str">
        <f t="shared" si="22"/>
        <v>✓ OK</v>
      </c>
      <c r="AF272" s="33" t="s">
        <v>61</v>
      </c>
      <c r="AG272" s="33" t="s">
        <v>55</v>
      </c>
      <c r="AH272" s="33" t="s">
        <v>56</v>
      </c>
      <c r="AI272" s="33" t="s">
        <v>57</v>
      </c>
      <c r="AJ272" s="33" t="s">
        <v>58</v>
      </c>
      <c r="AK272" s="33" t="s">
        <v>56</v>
      </c>
      <c r="AL272" s="27"/>
      <c r="AM272" s="34" t="s">
        <v>57</v>
      </c>
      <c r="AN272" s="35" t="str">
        <f t="shared" si="23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6170</v>
      </c>
      <c r="C273" s="25" t="s">
        <v>6171</v>
      </c>
      <c r="D273" s="23" t="s">
        <v>5821</v>
      </c>
      <c r="E273" s="42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69">
        <v>46196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70">
        <v>46248</v>
      </c>
      <c r="X273" s="30" t="s">
        <v>55</v>
      </c>
      <c r="Y273" s="30" t="s">
        <v>56</v>
      </c>
      <c r="Z273" s="30" t="s">
        <v>57</v>
      </c>
      <c r="AA273" s="30" t="s">
        <v>58</v>
      </c>
      <c r="AB273" s="30" t="s">
        <v>56</v>
      </c>
      <c r="AC273" s="27"/>
      <c r="AD273" s="31" t="s">
        <v>57</v>
      </c>
      <c r="AE273" s="32" t="str">
        <f t="shared" si="22"/>
        <v>✓ OK</v>
      </c>
      <c r="AF273" s="33" t="s">
        <v>61</v>
      </c>
      <c r="AG273" s="33" t="s">
        <v>55</v>
      </c>
      <c r="AH273" s="33" t="s">
        <v>56</v>
      </c>
      <c r="AI273" s="33" t="s">
        <v>57</v>
      </c>
      <c r="AJ273" s="33" t="s">
        <v>58</v>
      </c>
      <c r="AK273" s="33" t="s">
        <v>56</v>
      </c>
      <c r="AL273" s="27"/>
      <c r="AM273" s="34" t="s">
        <v>57</v>
      </c>
      <c r="AN273" s="35" t="str">
        <f t="shared" si="23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6172</v>
      </c>
      <c r="C274" s="41" t="s">
        <v>6173</v>
      </c>
      <c r="D274" s="39" t="s">
        <v>5821</v>
      </c>
      <c r="E274" s="42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69">
        <v>46196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70">
        <v>46248</v>
      </c>
      <c r="X274" s="30" t="s">
        <v>55</v>
      </c>
      <c r="Y274" s="30" t="s">
        <v>56</v>
      </c>
      <c r="Z274" s="30" t="s">
        <v>57</v>
      </c>
      <c r="AA274" s="30" t="s">
        <v>58</v>
      </c>
      <c r="AB274" s="30" t="s">
        <v>56</v>
      </c>
      <c r="AC274" s="27"/>
      <c r="AD274" s="31" t="s">
        <v>57</v>
      </c>
      <c r="AE274" s="32" t="str">
        <f t="shared" si="22"/>
        <v>✓ OK</v>
      </c>
      <c r="AF274" s="33" t="s">
        <v>61</v>
      </c>
      <c r="AG274" s="33" t="s">
        <v>55</v>
      </c>
      <c r="AH274" s="33" t="s">
        <v>56</v>
      </c>
      <c r="AI274" s="33" t="s">
        <v>57</v>
      </c>
      <c r="AJ274" s="33" t="s">
        <v>58</v>
      </c>
      <c r="AK274" s="33" t="s">
        <v>56</v>
      </c>
      <c r="AL274" s="27"/>
      <c r="AM274" s="34" t="s">
        <v>57</v>
      </c>
      <c r="AN274" s="35" t="str">
        <f t="shared" si="23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6174</v>
      </c>
      <c r="C275" s="25" t="s">
        <v>6175</v>
      </c>
      <c r="D275" s="23" t="s">
        <v>5821</v>
      </c>
      <c r="E275" s="42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69">
        <v>46196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70">
        <v>46248</v>
      </c>
      <c r="X275" s="30" t="s">
        <v>55</v>
      </c>
      <c r="Y275" s="30" t="s">
        <v>56</v>
      </c>
      <c r="Z275" s="30" t="s">
        <v>57</v>
      </c>
      <c r="AA275" s="30" t="s">
        <v>58</v>
      </c>
      <c r="AB275" s="30" t="s">
        <v>56</v>
      </c>
      <c r="AC275" s="27"/>
      <c r="AD275" s="31" t="s">
        <v>57</v>
      </c>
      <c r="AE275" s="32" t="str">
        <f t="shared" si="22"/>
        <v>✓ OK</v>
      </c>
      <c r="AF275" s="33" t="s">
        <v>61</v>
      </c>
      <c r="AG275" s="33" t="s">
        <v>55</v>
      </c>
      <c r="AH275" s="33" t="s">
        <v>56</v>
      </c>
      <c r="AI275" s="33" t="s">
        <v>57</v>
      </c>
      <c r="AJ275" s="33" t="s">
        <v>58</v>
      </c>
      <c r="AK275" s="33" t="s">
        <v>56</v>
      </c>
      <c r="AL275" s="27"/>
      <c r="AM275" s="34" t="s">
        <v>57</v>
      </c>
      <c r="AN275" s="35" t="str">
        <f t="shared" si="23"/>
        <v>✓ OK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6176</v>
      </c>
      <c r="C276" s="41" t="s">
        <v>6177</v>
      </c>
      <c r="D276" s="39" t="s">
        <v>5821</v>
      </c>
      <c r="E276" s="42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69">
        <v>46196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70">
        <v>46248</v>
      </c>
      <c r="X276" s="30" t="s">
        <v>55</v>
      </c>
      <c r="Y276" s="30" t="s">
        <v>56</v>
      </c>
      <c r="Z276" s="30" t="s">
        <v>57</v>
      </c>
      <c r="AA276" s="30" t="s">
        <v>58</v>
      </c>
      <c r="AB276" s="30" t="s">
        <v>56</v>
      </c>
      <c r="AC276" s="27"/>
      <c r="AD276" s="31" t="s">
        <v>57</v>
      </c>
      <c r="AE276" s="32" t="str">
        <f t="shared" si="22"/>
        <v>✓ OK</v>
      </c>
      <c r="AF276" s="33" t="s">
        <v>61</v>
      </c>
      <c r="AG276" s="33" t="s">
        <v>55</v>
      </c>
      <c r="AH276" s="33" t="s">
        <v>56</v>
      </c>
      <c r="AI276" s="33" t="s">
        <v>57</v>
      </c>
      <c r="AJ276" s="33" t="s">
        <v>58</v>
      </c>
      <c r="AK276" s="33" t="s">
        <v>56</v>
      </c>
      <c r="AL276" s="27"/>
      <c r="AM276" s="34" t="s">
        <v>57</v>
      </c>
      <c r="AN276" s="35" t="str">
        <f t="shared" si="23"/>
        <v>✓ OK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6178</v>
      </c>
      <c r="C277" s="25" t="s">
        <v>6179</v>
      </c>
      <c r="D277" s="23" t="s">
        <v>5821</v>
      </c>
      <c r="E277" s="42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69">
        <v>46196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70">
        <v>46248</v>
      </c>
      <c r="X277" s="30" t="s">
        <v>55</v>
      </c>
      <c r="Y277" s="30" t="s">
        <v>56</v>
      </c>
      <c r="Z277" s="30" t="s">
        <v>57</v>
      </c>
      <c r="AA277" s="30" t="s">
        <v>58</v>
      </c>
      <c r="AB277" s="30" t="s">
        <v>56</v>
      </c>
      <c r="AC277" s="27"/>
      <c r="AD277" s="31" t="s">
        <v>57</v>
      </c>
      <c r="AE277" s="32" t="str">
        <f t="shared" si="22"/>
        <v>✓ OK</v>
      </c>
      <c r="AF277" s="33" t="s">
        <v>61</v>
      </c>
      <c r="AG277" s="33" t="s">
        <v>55</v>
      </c>
      <c r="AH277" s="33" t="s">
        <v>56</v>
      </c>
      <c r="AI277" s="33" t="s">
        <v>57</v>
      </c>
      <c r="AJ277" s="33" t="s">
        <v>58</v>
      </c>
      <c r="AK277" s="33" t="s">
        <v>56</v>
      </c>
      <c r="AL277" s="27"/>
      <c r="AM277" s="34" t="s">
        <v>57</v>
      </c>
      <c r="AN277" s="35" t="str">
        <f t="shared" si="23"/>
        <v>✓ OK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6180</v>
      </c>
      <c r="C278" s="41" t="s">
        <v>6181</v>
      </c>
      <c r="D278" s="39" t="s">
        <v>5821</v>
      </c>
      <c r="E278" s="42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69">
        <v>46196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70">
        <v>46248</v>
      </c>
      <c r="X278" s="30" t="s">
        <v>55</v>
      </c>
      <c r="Y278" s="30" t="s">
        <v>56</v>
      </c>
      <c r="Z278" s="30" t="s">
        <v>57</v>
      </c>
      <c r="AA278" s="30" t="s">
        <v>58</v>
      </c>
      <c r="AB278" s="30" t="s">
        <v>56</v>
      </c>
      <c r="AC278" s="27"/>
      <c r="AD278" s="31" t="s">
        <v>57</v>
      </c>
      <c r="AE278" s="32" t="str">
        <f t="shared" si="22"/>
        <v>✓ OK</v>
      </c>
      <c r="AF278" s="33" t="s">
        <v>61</v>
      </c>
      <c r="AG278" s="33" t="s">
        <v>55</v>
      </c>
      <c r="AH278" s="33" t="s">
        <v>56</v>
      </c>
      <c r="AI278" s="33" t="s">
        <v>57</v>
      </c>
      <c r="AJ278" s="33" t="s">
        <v>58</v>
      </c>
      <c r="AK278" s="33" t="s">
        <v>56</v>
      </c>
      <c r="AL278" s="27"/>
      <c r="AM278" s="34" t="s">
        <v>57</v>
      </c>
      <c r="AN278" s="35" t="str">
        <f t="shared" si="23"/>
        <v>✓ OK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6182</v>
      </c>
      <c r="C279" s="25" t="s">
        <v>6183</v>
      </c>
      <c r="D279" s="23" t="s">
        <v>5821</v>
      </c>
      <c r="E279" s="42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69">
        <v>46196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70">
        <v>46248</v>
      </c>
      <c r="X279" s="30" t="s">
        <v>55</v>
      </c>
      <c r="Y279" s="30" t="s">
        <v>56</v>
      </c>
      <c r="Z279" s="30" t="s">
        <v>57</v>
      </c>
      <c r="AA279" s="30" t="s">
        <v>58</v>
      </c>
      <c r="AB279" s="30" t="s">
        <v>56</v>
      </c>
      <c r="AC279" s="27"/>
      <c r="AD279" s="31" t="s">
        <v>57</v>
      </c>
      <c r="AE279" s="32" t="str">
        <f t="shared" si="22"/>
        <v>✓ OK</v>
      </c>
      <c r="AF279" s="33" t="s">
        <v>61</v>
      </c>
      <c r="AG279" s="33" t="s">
        <v>55</v>
      </c>
      <c r="AH279" s="33" t="s">
        <v>56</v>
      </c>
      <c r="AI279" s="33" t="s">
        <v>57</v>
      </c>
      <c r="AJ279" s="33" t="s">
        <v>58</v>
      </c>
      <c r="AK279" s="33" t="s">
        <v>56</v>
      </c>
      <c r="AL279" s="27"/>
      <c r="AM279" s="34" t="s">
        <v>57</v>
      </c>
      <c r="AN279" s="35" t="str">
        <f t="shared" si="23"/>
        <v>✓ OK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6184</v>
      </c>
      <c r="C280" s="41" t="s">
        <v>6185</v>
      </c>
      <c r="D280" s="39" t="s">
        <v>5821</v>
      </c>
      <c r="E280" s="42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69">
        <v>46196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70">
        <v>46248</v>
      </c>
      <c r="X280" s="30" t="s">
        <v>55</v>
      </c>
      <c r="Y280" s="30" t="s">
        <v>56</v>
      </c>
      <c r="Z280" s="30" t="s">
        <v>57</v>
      </c>
      <c r="AA280" s="30" t="s">
        <v>58</v>
      </c>
      <c r="AB280" s="30" t="s">
        <v>56</v>
      </c>
      <c r="AC280" s="27"/>
      <c r="AD280" s="31" t="s">
        <v>57</v>
      </c>
      <c r="AE280" s="32" t="str">
        <f t="shared" si="22"/>
        <v>✓ OK</v>
      </c>
      <c r="AF280" s="33" t="s">
        <v>61</v>
      </c>
      <c r="AG280" s="33" t="s">
        <v>55</v>
      </c>
      <c r="AH280" s="33" t="s">
        <v>56</v>
      </c>
      <c r="AI280" s="33" t="s">
        <v>57</v>
      </c>
      <c r="AJ280" s="33" t="s">
        <v>58</v>
      </c>
      <c r="AK280" s="33" t="s">
        <v>56</v>
      </c>
      <c r="AL280" s="27"/>
      <c r="AM280" s="34" t="s">
        <v>57</v>
      </c>
      <c r="AN280" s="35" t="str">
        <f t="shared" si="23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6186</v>
      </c>
      <c r="C281" s="25" t="s">
        <v>6187</v>
      </c>
      <c r="D281" s="23" t="s">
        <v>5821</v>
      </c>
      <c r="E281" s="42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69">
        <v>46196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70">
        <v>46248</v>
      </c>
      <c r="X281" s="30" t="s">
        <v>55</v>
      </c>
      <c r="Y281" s="30" t="s">
        <v>56</v>
      </c>
      <c r="Z281" s="30" t="s">
        <v>57</v>
      </c>
      <c r="AA281" s="30" t="s">
        <v>58</v>
      </c>
      <c r="AB281" s="30" t="s">
        <v>56</v>
      </c>
      <c r="AC281" s="27"/>
      <c r="AD281" s="31" t="s">
        <v>57</v>
      </c>
      <c r="AE281" s="32" t="str">
        <f t="shared" si="22"/>
        <v>✓ OK</v>
      </c>
      <c r="AF281" s="33" t="s">
        <v>61</v>
      </c>
      <c r="AG281" s="33" t="s">
        <v>55</v>
      </c>
      <c r="AH281" s="33" t="s">
        <v>56</v>
      </c>
      <c r="AI281" s="33" t="s">
        <v>57</v>
      </c>
      <c r="AJ281" s="33" t="s">
        <v>58</v>
      </c>
      <c r="AK281" s="33" t="s">
        <v>56</v>
      </c>
      <c r="AL281" s="27"/>
      <c r="AM281" s="34" t="s">
        <v>57</v>
      </c>
      <c r="AN281" s="35" t="str">
        <f t="shared" si="23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6188</v>
      </c>
      <c r="C282" s="41" t="s">
        <v>6189</v>
      </c>
      <c r="D282" s="39" t="s">
        <v>5821</v>
      </c>
      <c r="E282" s="42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69">
        <v>46196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70">
        <v>46248</v>
      </c>
      <c r="X282" s="30" t="s">
        <v>55</v>
      </c>
      <c r="Y282" s="30" t="s">
        <v>56</v>
      </c>
      <c r="Z282" s="30" t="s">
        <v>57</v>
      </c>
      <c r="AA282" s="30" t="s">
        <v>58</v>
      </c>
      <c r="AB282" s="30" t="s">
        <v>56</v>
      </c>
      <c r="AC282" s="27"/>
      <c r="AD282" s="31" t="s">
        <v>57</v>
      </c>
      <c r="AE282" s="32" t="str">
        <f t="shared" si="22"/>
        <v>✓ OK</v>
      </c>
      <c r="AF282" s="33" t="s">
        <v>61</v>
      </c>
      <c r="AG282" s="33" t="s">
        <v>55</v>
      </c>
      <c r="AH282" s="33" t="s">
        <v>56</v>
      </c>
      <c r="AI282" s="33" t="s">
        <v>57</v>
      </c>
      <c r="AJ282" s="33" t="s">
        <v>58</v>
      </c>
      <c r="AK282" s="33" t="s">
        <v>56</v>
      </c>
      <c r="AL282" s="27"/>
      <c r="AM282" s="34" t="s">
        <v>57</v>
      </c>
      <c r="AN282" s="35" t="str">
        <f t="shared" si="23"/>
        <v>✓ OK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6190</v>
      </c>
      <c r="C283" s="25" t="s">
        <v>6191</v>
      </c>
      <c r="D283" s="23" t="s">
        <v>5821</v>
      </c>
      <c r="E283" s="42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69">
        <v>46196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70">
        <v>46248</v>
      </c>
      <c r="X283" s="30" t="s">
        <v>55</v>
      </c>
      <c r="Y283" s="30" t="s">
        <v>56</v>
      </c>
      <c r="Z283" s="30" t="s">
        <v>57</v>
      </c>
      <c r="AA283" s="30" t="s">
        <v>58</v>
      </c>
      <c r="AB283" s="30" t="s">
        <v>56</v>
      </c>
      <c r="AC283" s="27"/>
      <c r="AD283" s="31" t="s">
        <v>57</v>
      </c>
      <c r="AE283" s="32" t="str">
        <f t="shared" si="22"/>
        <v>✓ OK</v>
      </c>
      <c r="AF283" s="33" t="s">
        <v>61</v>
      </c>
      <c r="AG283" s="33" t="s">
        <v>55</v>
      </c>
      <c r="AH283" s="33" t="s">
        <v>56</v>
      </c>
      <c r="AI283" s="33" t="s">
        <v>57</v>
      </c>
      <c r="AJ283" s="33" t="s">
        <v>58</v>
      </c>
      <c r="AK283" s="33" t="s">
        <v>56</v>
      </c>
      <c r="AL283" s="27"/>
      <c r="AM283" s="34" t="s">
        <v>57</v>
      </c>
      <c r="AN283" s="35" t="str">
        <f t="shared" si="23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6192</v>
      </c>
      <c r="C284" s="41" t="s">
        <v>6193</v>
      </c>
      <c r="D284" s="39" t="s">
        <v>5821</v>
      </c>
      <c r="E284" s="42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69">
        <v>46196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70">
        <v>46248</v>
      </c>
      <c r="X284" s="30" t="s">
        <v>55</v>
      </c>
      <c r="Y284" s="30" t="s">
        <v>56</v>
      </c>
      <c r="Z284" s="30" t="s">
        <v>57</v>
      </c>
      <c r="AA284" s="30" t="s">
        <v>58</v>
      </c>
      <c r="AB284" s="30" t="s">
        <v>56</v>
      </c>
      <c r="AC284" s="27"/>
      <c r="AD284" s="31" t="s">
        <v>57</v>
      </c>
      <c r="AE284" s="32" t="str">
        <f t="shared" si="22"/>
        <v>✓ OK</v>
      </c>
      <c r="AF284" s="33" t="s">
        <v>61</v>
      </c>
      <c r="AG284" s="33" t="s">
        <v>55</v>
      </c>
      <c r="AH284" s="33" t="s">
        <v>56</v>
      </c>
      <c r="AI284" s="33" t="s">
        <v>57</v>
      </c>
      <c r="AJ284" s="33" t="s">
        <v>58</v>
      </c>
      <c r="AK284" s="33" t="s">
        <v>56</v>
      </c>
      <c r="AL284" s="27"/>
      <c r="AM284" s="34" t="s">
        <v>57</v>
      </c>
      <c r="AN284" s="35" t="str">
        <f t="shared" si="23"/>
        <v>✓ OK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6194</v>
      </c>
      <c r="C285" s="25" t="s">
        <v>6195</v>
      </c>
      <c r="D285" s="23" t="s">
        <v>5821</v>
      </c>
      <c r="E285" s="42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69">
        <v>46196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70">
        <v>46248</v>
      </c>
      <c r="X285" s="30" t="s">
        <v>55</v>
      </c>
      <c r="Y285" s="30" t="s">
        <v>56</v>
      </c>
      <c r="Z285" s="30" t="s">
        <v>57</v>
      </c>
      <c r="AA285" s="30" t="s">
        <v>58</v>
      </c>
      <c r="AB285" s="30" t="s">
        <v>56</v>
      </c>
      <c r="AC285" s="27"/>
      <c r="AD285" s="31" t="s">
        <v>57</v>
      </c>
      <c r="AE285" s="32" t="str">
        <f t="shared" si="22"/>
        <v>✓ OK</v>
      </c>
      <c r="AF285" s="33" t="s">
        <v>61</v>
      </c>
      <c r="AG285" s="33" t="s">
        <v>55</v>
      </c>
      <c r="AH285" s="33" t="s">
        <v>56</v>
      </c>
      <c r="AI285" s="33" t="s">
        <v>57</v>
      </c>
      <c r="AJ285" s="33" t="s">
        <v>58</v>
      </c>
      <c r="AK285" s="33" t="s">
        <v>56</v>
      </c>
      <c r="AL285" s="27"/>
      <c r="AM285" s="34" t="s">
        <v>57</v>
      </c>
      <c r="AN285" s="35" t="str">
        <f t="shared" si="23"/>
        <v>✓ OK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6196</v>
      </c>
      <c r="C286" s="41" t="s">
        <v>6197</v>
      </c>
      <c r="D286" s="39" t="s">
        <v>5821</v>
      </c>
      <c r="E286" s="42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69">
        <v>46196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70">
        <v>46248</v>
      </c>
      <c r="X286" s="30" t="s">
        <v>55</v>
      </c>
      <c r="Y286" s="30" t="s">
        <v>56</v>
      </c>
      <c r="Z286" s="30" t="s">
        <v>57</v>
      </c>
      <c r="AA286" s="30" t="s">
        <v>58</v>
      </c>
      <c r="AB286" s="30" t="s">
        <v>56</v>
      </c>
      <c r="AC286" s="27"/>
      <c r="AD286" s="31" t="s">
        <v>57</v>
      </c>
      <c r="AE286" s="32" t="str">
        <f t="shared" si="22"/>
        <v>✓ OK</v>
      </c>
      <c r="AF286" s="33" t="s">
        <v>61</v>
      </c>
      <c r="AG286" s="33" t="s">
        <v>55</v>
      </c>
      <c r="AH286" s="33" t="s">
        <v>56</v>
      </c>
      <c r="AI286" s="33" t="s">
        <v>57</v>
      </c>
      <c r="AJ286" s="33" t="s">
        <v>58</v>
      </c>
      <c r="AK286" s="33" t="s">
        <v>56</v>
      </c>
      <c r="AL286" s="27"/>
      <c r="AM286" s="34" t="s">
        <v>57</v>
      </c>
      <c r="AN286" s="35" t="str">
        <f t="shared" si="23"/>
        <v>✓ OK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6198</v>
      </c>
      <c r="C287" s="25" t="s">
        <v>6199</v>
      </c>
      <c r="D287" s="23" t="s">
        <v>5821</v>
      </c>
      <c r="E287" s="42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69">
        <v>46196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70">
        <v>46248</v>
      </c>
      <c r="X287" s="30" t="s">
        <v>55</v>
      </c>
      <c r="Y287" s="30" t="s">
        <v>56</v>
      </c>
      <c r="Z287" s="30" t="s">
        <v>57</v>
      </c>
      <c r="AA287" s="30" t="s">
        <v>58</v>
      </c>
      <c r="AB287" s="30" t="s">
        <v>56</v>
      </c>
      <c r="AC287" s="27"/>
      <c r="AD287" s="31" t="s">
        <v>57</v>
      </c>
      <c r="AE287" s="32" t="str">
        <f t="shared" si="22"/>
        <v>✓ OK</v>
      </c>
      <c r="AF287" s="33" t="s">
        <v>61</v>
      </c>
      <c r="AG287" s="33" t="s">
        <v>55</v>
      </c>
      <c r="AH287" s="33" t="s">
        <v>56</v>
      </c>
      <c r="AI287" s="33" t="s">
        <v>57</v>
      </c>
      <c r="AJ287" s="33" t="s">
        <v>58</v>
      </c>
      <c r="AK287" s="33" t="s">
        <v>56</v>
      </c>
      <c r="AL287" s="27"/>
      <c r="AM287" s="34" t="s">
        <v>57</v>
      </c>
      <c r="AN287" s="35" t="str">
        <f t="shared" si="23"/>
        <v>✓ OK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6200</v>
      </c>
      <c r="C288" s="41" t="s">
        <v>6201</v>
      </c>
      <c r="D288" s="39" t="s">
        <v>5821</v>
      </c>
      <c r="E288" s="42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69">
        <v>46196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70">
        <v>46248</v>
      </c>
      <c r="X288" s="30" t="s">
        <v>55</v>
      </c>
      <c r="Y288" s="30" t="s">
        <v>56</v>
      </c>
      <c r="Z288" s="30" t="s">
        <v>57</v>
      </c>
      <c r="AA288" s="30" t="s">
        <v>58</v>
      </c>
      <c r="AB288" s="30" t="s">
        <v>56</v>
      </c>
      <c r="AC288" s="27"/>
      <c r="AD288" s="31" t="s">
        <v>57</v>
      </c>
      <c r="AE288" s="32" t="str">
        <f t="shared" si="22"/>
        <v>✓ OK</v>
      </c>
      <c r="AF288" s="33" t="s">
        <v>61</v>
      </c>
      <c r="AG288" s="33" t="s">
        <v>55</v>
      </c>
      <c r="AH288" s="33" t="s">
        <v>56</v>
      </c>
      <c r="AI288" s="33" t="s">
        <v>57</v>
      </c>
      <c r="AJ288" s="33" t="s">
        <v>58</v>
      </c>
      <c r="AK288" s="33" t="s">
        <v>56</v>
      </c>
      <c r="AL288" s="27"/>
      <c r="AM288" s="34" t="s">
        <v>57</v>
      </c>
      <c r="AN288" s="35" t="str">
        <f t="shared" si="23"/>
        <v>✓ OK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6202</v>
      </c>
      <c r="C289" s="25" t="s">
        <v>6203</v>
      </c>
      <c r="D289" s="23" t="s">
        <v>5821</v>
      </c>
      <c r="E289" s="42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69">
        <v>46196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70">
        <v>46248</v>
      </c>
      <c r="X289" s="30" t="s">
        <v>55</v>
      </c>
      <c r="Y289" s="30" t="s">
        <v>56</v>
      </c>
      <c r="Z289" s="30" t="s">
        <v>57</v>
      </c>
      <c r="AA289" s="30" t="s">
        <v>58</v>
      </c>
      <c r="AB289" s="30" t="s">
        <v>56</v>
      </c>
      <c r="AC289" s="27"/>
      <c r="AD289" s="31" t="s">
        <v>57</v>
      </c>
      <c r="AE289" s="32" t="str">
        <f t="shared" si="22"/>
        <v>✓ OK</v>
      </c>
      <c r="AF289" s="33" t="s">
        <v>61</v>
      </c>
      <c r="AG289" s="33" t="s">
        <v>55</v>
      </c>
      <c r="AH289" s="33" t="s">
        <v>56</v>
      </c>
      <c r="AI289" s="33" t="s">
        <v>57</v>
      </c>
      <c r="AJ289" s="33" t="s">
        <v>58</v>
      </c>
      <c r="AK289" s="33" t="s">
        <v>56</v>
      </c>
      <c r="AL289" s="27"/>
      <c r="AM289" s="34" t="s">
        <v>57</v>
      </c>
      <c r="AN289" s="35" t="str">
        <f t="shared" si="23"/>
        <v>✓ OK</v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6204</v>
      </c>
      <c r="C290" s="41" t="s">
        <v>6205</v>
      </c>
      <c r="D290" s="39" t="s">
        <v>5821</v>
      </c>
      <c r="E290" s="42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69">
        <v>46196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70">
        <v>46248</v>
      </c>
      <c r="X290" s="30" t="s">
        <v>55</v>
      </c>
      <c r="Y290" s="30" t="s">
        <v>56</v>
      </c>
      <c r="Z290" s="30" t="s">
        <v>57</v>
      </c>
      <c r="AA290" s="30" t="s">
        <v>58</v>
      </c>
      <c r="AB290" s="30" t="s">
        <v>56</v>
      </c>
      <c r="AC290" s="27"/>
      <c r="AD290" s="31" t="s">
        <v>57</v>
      </c>
      <c r="AE290" s="32" t="str">
        <f t="shared" si="22"/>
        <v>✓ OK</v>
      </c>
      <c r="AF290" s="33" t="s">
        <v>61</v>
      </c>
      <c r="AG290" s="33" t="s">
        <v>55</v>
      </c>
      <c r="AH290" s="33" t="s">
        <v>56</v>
      </c>
      <c r="AI290" s="33" t="s">
        <v>57</v>
      </c>
      <c r="AJ290" s="33" t="s">
        <v>58</v>
      </c>
      <c r="AK290" s="33" t="s">
        <v>56</v>
      </c>
      <c r="AL290" s="27"/>
      <c r="AM290" s="34" t="s">
        <v>57</v>
      </c>
      <c r="AN290" s="35" t="str">
        <f t="shared" si="23"/>
        <v>✓ OK</v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6206</v>
      </c>
      <c r="C291" s="25" t="s">
        <v>6207</v>
      </c>
      <c r="D291" s="23" t="s">
        <v>5821</v>
      </c>
      <c r="E291" s="42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69">
        <v>46196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70">
        <v>46248</v>
      </c>
      <c r="X291" s="30" t="s">
        <v>55</v>
      </c>
      <c r="Y291" s="30" t="s">
        <v>56</v>
      </c>
      <c r="Z291" s="30" t="s">
        <v>57</v>
      </c>
      <c r="AA291" s="30" t="s">
        <v>58</v>
      </c>
      <c r="AB291" s="30" t="s">
        <v>56</v>
      </c>
      <c r="AC291" s="27"/>
      <c r="AD291" s="31" t="s">
        <v>57</v>
      </c>
      <c r="AE291" s="32" t="str">
        <f t="shared" si="22"/>
        <v>✓ OK</v>
      </c>
      <c r="AF291" s="33" t="s">
        <v>61</v>
      </c>
      <c r="AG291" s="33" t="s">
        <v>55</v>
      </c>
      <c r="AH291" s="33" t="s">
        <v>56</v>
      </c>
      <c r="AI291" s="33" t="s">
        <v>57</v>
      </c>
      <c r="AJ291" s="33" t="s">
        <v>58</v>
      </c>
      <c r="AK291" s="33" t="s">
        <v>56</v>
      </c>
      <c r="AL291" s="27"/>
      <c r="AM291" s="34" t="s">
        <v>57</v>
      </c>
      <c r="AN291" s="35" t="str">
        <f t="shared" si="23"/>
        <v>✓ OK</v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6208</v>
      </c>
      <c r="C292" s="41" t="s">
        <v>6209</v>
      </c>
      <c r="D292" s="39" t="s">
        <v>5821</v>
      </c>
      <c r="E292" s="42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69">
        <v>46196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70">
        <v>46248</v>
      </c>
      <c r="X292" s="30" t="s">
        <v>55</v>
      </c>
      <c r="Y292" s="30" t="s">
        <v>56</v>
      </c>
      <c r="Z292" s="30" t="s">
        <v>57</v>
      </c>
      <c r="AA292" s="30" t="s">
        <v>58</v>
      </c>
      <c r="AB292" s="30" t="s">
        <v>56</v>
      </c>
      <c r="AC292" s="27"/>
      <c r="AD292" s="31" t="s">
        <v>57</v>
      </c>
      <c r="AE292" s="32" t="str">
        <f t="shared" si="22"/>
        <v>✓ OK</v>
      </c>
      <c r="AF292" s="33" t="s">
        <v>61</v>
      </c>
      <c r="AG292" s="33" t="s">
        <v>55</v>
      </c>
      <c r="AH292" s="33" t="s">
        <v>56</v>
      </c>
      <c r="AI292" s="33" t="s">
        <v>57</v>
      </c>
      <c r="AJ292" s="33" t="s">
        <v>58</v>
      </c>
      <c r="AK292" s="33" t="s">
        <v>56</v>
      </c>
      <c r="AL292" s="27"/>
      <c r="AM292" s="34" t="s">
        <v>57</v>
      </c>
      <c r="AN292" s="35" t="str">
        <f t="shared" si="23"/>
        <v>✓ OK</v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6210</v>
      </c>
      <c r="C293" s="25" t="s">
        <v>6211</v>
      </c>
      <c r="D293" s="23" t="s">
        <v>6212</v>
      </c>
      <c r="E293" s="42">
        <v>46128</v>
      </c>
      <c r="F293" s="26" t="s">
        <v>55</v>
      </c>
      <c r="G293" s="26" t="s">
        <v>57</v>
      </c>
      <c r="H293" s="26" t="s">
        <v>57</v>
      </c>
      <c r="I293" s="26" t="s">
        <v>90</v>
      </c>
      <c r="J293" s="26" t="s">
        <v>57</v>
      </c>
      <c r="K293" s="27" t="s">
        <v>91</v>
      </c>
      <c r="L293" s="28" t="s">
        <v>56</v>
      </c>
      <c r="M293" s="29" t="str">
        <f t="shared" si="20"/>
        <v>⚠ Missing</v>
      </c>
      <c r="N293" s="69">
        <v>46196</v>
      </c>
      <c r="O293" s="26" t="s">
        <v>55</v>
      </c>
      <c r="P293" s="26" t="s">
        <v>57</v>
      </c>
      <c r="Q293" s="26" t="s">
        <v>57</v>
      </c>
      <c r="R293" s="26" t="s">
        <v>90</v>
      </c>
      <c r="S293" s="26" t="s">
        <v>57</v>
      </c>
      <c r="T293" s="27" t="s">
        <v>91</v>
      </c>
      <c r="U293" s="28" t="s">
        <v>56</v>
      </c>
      <c r="V293" s="29" t="str">
        <f t="shared" si="21"/>
        <v>⚠ Missing</v>
      </c>
      <c r="W293" s="70">
        <v>46248</v>
      </c>
      <c r="X293" s="30" t="s">
        <v>55</v>
      </c>
      <c r="Y293" s="30" t="s">
        <v>57</v>
      </c>
      <c r="Z293" s="30" t="s">
        <v>57</v>
      </c>
      <c r="AA293" s="30" t="s">
        <v>90</v>
      </c>
      <c r="AB293" s="30" t="s">
        <v>57</v>
      </c>
      <c r="AC293" s="27" t="s">
        <v>91</v>
      </c>
      <c r="AD293" s="31" t="s">
        <v>56</v>
      </c>
      <c r="AE293" s="32" t="str">
        <f t="shared" si="22"/>
        <v>⚠ Missing</v>
      </c>
      <c r="AF293" s="33" t="s">
        <v>61</v>
      </c>
      <c r="AG293" s="33" t="s">
        <v>55</v>
      </c>
      <c r="AH293" s="33" t="s">
        <v>56</v>
      </c>
      <c r="AI293" s="33" t="s">
        <v>57</v>
      </c>
      <c r="AJ293" s="33" t="s">
        <v>58</v>
      </c>
      <c r="AK293" s="33" t="s">
        <v>56</v>
      </c>
      <c r="AL293" s="27"/>
      <c r="AM293" s="34" t="s">
        <v>57</v>
      </c>
      <c r="AN293" s="35" t="str">
        <f t="shared" si="23"/>
        <v>✓ OK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6213</v>
      </c>
      <c r="C294" s="41" t="s">
        <v>6214</v>
      </c>
      <c r="D294" s="39" t="s">
        <v>6212</v>
      </c>
      <c r="E294" s="42">
        <v>46128</v>
      </c>
      <c r="F294" s="26" t="s">
        <v>55</v>
      </c>
      <c r="G294" s="26" t="s">
        <v>57</v>
      </c>
      <c r="H294" s="26" t="s">
        <v>57</v>
      </c>
      <c r="I294" s="26" t="s">
        <v>90</v>
      </c>
      <c r="J294" s="26" t="s">
        <v>57</v>
      </c>
      <c r="K294" s="27" t="s">
        <v>91</v>
      </c>
      <c r="L294" s="28" t="s">
        <v>56</v>
      </c>
      <c r="M294" s="29" t="str">
        <f t="shared" si="20"/>
        <v>⚠ Missing</v>
      </c>
      <c r="N294" s="69">
        <v>46196</v>
      </c>
      <c r="O294" s="26" t="s">
        <v>55</v>
      </c>
      <c r="P294" s="26" t="s">
        <v>57</v>
      </c>
      <c r="Q294" s="26" t="s">
        <v>57</v>
      </c>
      <c r="R294" s="26" t="s">
        <v>90</v>
      </c>
      <c r="S294" s="26" t="s">
        <v>57</v>
      </c>
      <c r="T294" s="27" t="s">
        <v>91</v>
      </c>
      <c r="U294" s="28" t="s">
        <v>56</v>
      </c>
      <c r="V294" s="29" t="str">
        <f t="shared" si="21"/>
        <v>⚠ Missing</v>
      </c>
      <c r="W294" s="70">
        <v>46248</v>
      </c>
      <c r="X294" s="30" t="s">
        <v>55</v>
      </c>
      <c r="Y294" s="30" t="s">
        <v>57</v>
      </c>
      <c r="Z294" s="30" t="s">
        <v>57</v>
      </c>
      <c r="AA294" s="30" t="s">
        <v>90</v>
      </c>
      <c r="AB294" s="30" t="s">
        <v>57</v>
      </c>
      <c r="AC294" s="27" t="s">
        <v>91</v>
      </c>
      <c r="AD294" s="31" t="s">
        <v>56</v>
      </c>
      <c r="AE294" s="32" t="str">
        <f t="shared" si="22"/>
        <v>⚠ Missing</v>
      </c>
      <c r="AF294" s="33" t="s">
        <v>61</v>
      </c>
      <c r="AG294" s="33" t="s">
        <v>55</v>
      </c>
      <c r="AH294" s="33" t="s">
        <v>56</v>
      </c>
      <c r="AI294" s="33" t="s">
        <v>57</v>
      </c>
      <c r="AJ294" s="33" t="s">
        <v>58</v>
      </c>
      <c r="AK294" s="33" t="s">
        <v>56</v>
      </c>
      <c r="AL294" s="27"/>
      <c r="AM294" s="34" t="s">
        <v>57</v>
      </c>
      <c r="AN294" s="35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6215</v>
      </c>
      <c r="C295" s="25" t="s">
        <v>6216</v>
      </c>
      <c r="D295" s="23" t="s">
        <v>6212</v>
      </c>
      <c r="E295" s="42">
        <v>46128</v>
      </c>
      <c r="F295" s="26" t="s">
        <v>55</v>
      </c>
      <c r="G295" s="26" t="s">
        <v>57</v>
      </c>
      <c r="H295" s="26" t="s">
        <v>57</v>
      </c>
      <c r="I295" s="26" t="s">
        <v>90</v>
      </c>
      <c r="J295" s="26" t="s">
        <v>57</v>
      </c>
      <c r="K295" s="27" t="s">
        <v>91</v>
      </c>
      <c r="L295" s="28" t="s">
        <v>56</v>
      </c>
      <c r="M295" s="29" t="str">
        <f t="shared" si="20"/>
        <v>⚠ Missing</v>
      </c>
      <c r="N295" s="69">
        <v>46196</v>
      </c>
      <c r="O295" s="26" t="s">
        <v>55</v>
      </c>
      <c r="P295" s="26" t="s">
        <v>57</v>
      </c>
      <c r="Q295" s="26" t="s">
        <v>57</v>
      </c>
      <c r="R295" s="26" t="s">
        <v>90</v>
      </c>
      <c r="S295" s="26" t="s">
        <v>57</v>
      </c>
      <c r="T295" s="27" t="s">
        <v>91</v>
      </c>
      <c r="U295" s="28" t="s">
        <v>56</v>
      </c>
      <c r="V295" s="29" t="str">
        <f t="shared" si="21"/>
        <v>⚠ Missing</v>
      </c>
      <c r="W295" s="70">
        <v>46248</v>
      </c>
      <c r="X295" s="30" t="s">
        <v>55</v>
      </c>
      <c r="Y295" s="30" t="s">
        <v>57</v>
      </c>
      <c r="Z295" s="30" t="s">
        <v>57</v>
      </c>
      <c r="AA295" s="30" t="s">
        <v>90</v>
      </c>
      <c r="AB295" s="30" t="s">
        <v>57</v>
      </c>
      <c r="AC295" s="27" t="s">
        <v>91</v>
      </c>
      <c r="AD295" s="31" t="s">
        <v>56</v>
      </c>
      <c r="AE295" s="32" t="str">
        <f t="shared" si="22"/>
        <v>⚠ Missing</v>
      </c>
      <c r="AF295" s="33" t="s">
        <v>61</v>
      </c>
      <c r="AG295" s="33" t="s">
        <v>55</v>
      </c>
      <c r="AH295" s="33" t="s">
        <v>56</v>
      </c>
      <c r="AI295" s="33" t="s">
        <v>57</v>
      </c>
      <c r="AJ295" s="33" t="s">
        <v>58</v>
      </c>
      <c r="AK295" s="33" t="s">
        <v>56</v>
      </c>
      <c r="AL295" s="27"/>
      <c r="AM295" s="34" t="s">
        <v>57</v>
      </c>
      <c r="AN295" s="35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6217</v>
      </c>
      <c r="C296" s="41" t="s">
        <v>6218</v>
      </c>
      <c r="D296" s="39" t="s">
        <v>6212</v>
      </c>
      <c r="E296" s="42">
        <v>46128</v>
      </c>
      <c r="F296" s="26" t="s">
        <v>55</v>
      </c>
      <c r="G296" s="26" t="s">
        <v>57</v>
      </c>
      <c r="H296" s="26" t="s">
        <v>57</v>
      </c>
      <c r="I296" s="26" t="s">
        <v>90</v>
      </c>
      <c r="J296" s="26" t="s">
        <v>57</v>
      </c>
      <c r="K296" s="27" t="s">
        <v>91</v>
      </c>
      <c r="L296" s="28" t="s">
        <v>56</v>
      </c>
      <c r="M296" s="29" t="str">
        <f t="shared" si="20"/>
        <v>⚠ Missing</v>
      </c>
      <c r="N296" s="69">
        <v>46196</v>
      </c>
      <c r="O296" s="26" t="s">
        <v>55</v>
      </c>
      <c r="P296" s="26" t="s">
        <v>57</v>
      </c>
      <c r="Q296" s="26" t="s">
        <v>57</v>
      </c>
      <c r="R296" s="26" t="s">
        <v>90</v>
      </c>
      <c r="S296" s="26" t="s">
        <v>57</v>
      </c>
      <c r="T296" s="27" t="s">
        <v>91</v>
      </c>
      <c r="U296" s="28" t="s">
        <v>56</v>
      </c>
      <c r="V296" s="29" t="str">
        <f t="shared" si="21"/>
        <v>⚠ Missing</v>
      </c>
      <c r="W296" s="70">
        <v>46248</v>
      </c>
      <c r="X296" s="30" t="s">
        <v>55</v>
      </c>
      <c r="Y296" s="30" t="s">
        <v>57</v>
      </c>
      <c r="Z296" s="30" t="s">
        <v>57</v>
      </c>
      <c r="AA296" s="30" t="s">
        <v>90</v>
      </c>
      <c r="AB296" s="30" t="s">
        <v>57</v>
      </c>
      <c r="AC296" s="27" t="s">
        <v>91</v>
      </c>
      <c r="AD296" s="31" t="s">
        <v>56</v>
      </c>
      <c r="AE296" s="32" t="str">
        <f t="shared" si="22"/>
        <v>⚠ Missing</v>
      </c>
      <c r="AF296" s="33" t="s">
        <v>61</v>
      </c>
      <c r="AG296" s="33" t="s">
        <v>55</v>
      </c>
      <c r="AH296" s="33" t="s">
        <v>56</v>
      </c>
      <c r="AI296" s="33" t="s">
        <v>57</v>
      </c>
      <c r="AJ296" s="33" t="s">
        <v>58</v>
      </c>
      <c r="AK296" s="33" t="s">
        <v>56</v>
      </c>
      <c r="AL296" s="27"/>
      <c r="AM296" s="34" t="s">
        <v>57</v>
      </c>
      <c r="AN296" s="35" t="str">
        <f t="shared" si="23"/>
        <v>✓ OK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6219</v>
      </c>
      <c r="C297" s="25" t="s">
        <v>6220</v>
      </c>
      <c r="D297" s="23" t="s">
        <v>6212</v>
      </c>
      <c r="E297" s="42">
        <v>46128</v>
      </c>
      <c r="F297" s="26" t="s">
        <v>55</v>
      </c>
      <c r="G297" s="26" t="s">
        <v>57</v>
      </c>
      <c r="H297" s="26" t="s">
        <v>57</v>
      </c>
      <c r="I297" s="26" t="s">
        <v>90</v>
      </c>
      <c r="J297" s="26" t="s">
        <v>57</v>
      </c>
      <c r="K297" s="27" t="s">
        <v>91</v>
      </c>
      <c r="L297" s="28" t="s">
        <v>56</v>
      </c>
      <c r="M297" s="29" t="str">
        <f t="shared" si="20"/>
        <v>⚠ Missing</v>
      </c>
      <c r="N297" s="69">
        <v>46196</v>
      </c>
      <c r="O297" s="26" t="s">
        <v>55</v>
      </c>
      <c r="P297" s="26" t="s">
        <v>57</v>
      </c>
      <c r="Q297" s="26" t="s">
        <v>57</v>
      </c>
      <c r="R297" s="26" t="s">
        <v>90</v>
      </c>
      <c r="S297" s="26" t="s">
        <v>57</v>
      </c>
      <c r="T297" s="27" t="s">
        <v>91</v>
      </c>
      <c r="U297" s="28" t="s">
        <v>56</v>
      </c>
      <c r="V297" s="29" t="str">
        <f t="shared" si="21"/>
        <v>⚠ Missing</v>
      </c>
      <c r="W297" s="70">
        <v>46248</v>
      </c>
      <c r="X297" s="30" t="s">
        <v>55</v>
      </c>
      <c r="Y297" s="30" t="s">
        <v>57</v>
      </c>
      <c r="Z297" s="30" t="s">
        <v>57</v>
      </c>
      <c r="AA297" s="30" t="s">
        <v>90</v>
      </c>
      <c r="AB297" s="30" t="s">
        <v>57</v>
      </c>
      <c r="AC297" s="27" t="s">
        <v>91</v>
      </c>
      <c r="AD297" s="31" t="s">
        <v>56</v>
      </c>
      <c r="AE297" s="32" t="str">
        <f t="shared" si="22"/>
        <v>⚠ Missing</v>
      </c>
      <c r="AF297" s="33" t="s">
        <v>61</v>
      </c>
      <c r="AG297" s="33" t="s">
        <v>55</v>
      </c>
      <c r="AH297" s="33" t="s">
        <v>56</v>
      </c>
      <c r="AI297" s="33" t="s">
        <v>57</v>
      </c>
      <c r="AJ297" s="33" t="s">
        <v>58</v>
      </c>
      <c r="AK297" s="33" t="s">
        <v>56</v>
      </c>
      <c r="AL297" s="27"/>
      <c r="AM297" s="34" t="s">
        <v>57</v>
      </c>
      <c r="AN297" s="35" t="str">
        <f t="shared" si="23"/>
        <v>✓ OK</v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6221</v>
      </c>
      <c r="C298" s="41" t="s">
        <v>6222</v>
      </c>
      <c r="D298" s="39" t="s">
        <v>6212</v>
      </c>
      <c r="E298" s="42">
        <v>46128</v>
      </c>
      <c r="F298" s="26" t="s">
        <v>55</v>
      </c>
      <c r="G298" s="26" t="s">
        <v>57</v>
      </c>
      <c r="H298" s="26" t="s">
        <v>57</v>
      </c>
      <c r="I298" s="26" t="s">
        <v>90</v>
      </c>
      <c r="J298" s="26" t="s">
        <v>57</v>
      </c>
      <c r="K298" s="27" t="s">
        <v>91</v>
      </c>
      <c r="L298" s="28" t="s">
        <v>56</v>
      </c>
      <c r="M298" s="29" t="str">
        <f t="shared" si="20"/>
        <v>⚠ Missing</v>
      </c>
      <c r="N298" s="69">
        <v>46196</v>
      </c>
      <c r="O298" s="26" t="s">
        <v>55</v>
      </c>
      <c r="P298" s="26" t="s">
        <v>57</v>
      </c>
      <c r="Q298" s="26" t="s">
        <v>57</v>
      </c>
      <c r="R298" s="26" t="s">
        <v>90</v>
      </c>
      <c r="S298" s="26" t="s">
        <v>57</v>
      </c>
      <c r="T298" s="27" t="s">
        <v>91</v>
      </c>
      <c r="U298" s="28" t="s">
        <v>56</v>
      </c>
      <c r="V298" s="29" t="str">
        <f t="shared" si="21"/>
        <v>⚠ Missing</v>
      </c>
      <c r="W298" s="70">
        <v>46248</v>
      </c>
      <c r="X298" s="30" t="s">
        <v>55</v>
      </c>
      <c r="Y298" s="30" t="s">
        <v>57</v>
      </c>
      <c r="Z298" s="30" t="s">
        <v>57</v>
      </c>
      <c r="AA298" s="30" t="s">
        <v>90</v>
      </c>
      <c r="AB298" s="30" t="s">
        <v>57</v>
      </c>
      <c r="AC298" s="27" t="s">
        <v>91</v>
      </c>
      <c r="AD298" s="31" t="s">
        <v>56</v>
      </c>
      <c r="AE298" s="32" t="str">
        <f t="shared" si="22"/>
        <v>⚠ Missing</v>
      </c>
      <c r="AF298" s="33" t="s">
        <v>61</v>
      </c>
      <c r="AG298" s="33" t="s">
        <v>55</v>
      </c>
      <c r="AH298" s="33" t="s">
        <v>56</v>
      </c>
      <c r="AI298" s="33" t="s">
        <v>57</v>
      </c>
      <c r="AJ298" s="33" t="s">
        <v>58</v>
      </c>
      <c r="AK298" s="33" t="s">
        <v>56</v>
      </c>
      <c r="AL298" s="27"/>
      <c r="AM298" s="34" t="s">
        <v>57</v>
      </c>
      <c r="AN298" s="35" t="str">
        <f t="shared" si="23"/>
        <v>✓ OK</v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</sheetData>
  <autoFilter ref="A4:AW298" xr:uid="{00000000-0001-0000-0C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8">
    <cfRule type="expression" dxfId="54" priority="15">
      <formula>G5="Yes"</formula>
    </cfRule>
    <cfRule type="expression" dxfId="53" priority="16">
      <formula>G5="No"</formula>
    </cfRule>
  </conditionalFormatting>
  <conditionalFormatting sqref="H5:H298">
    <cfRule type="expression" dxfId="52" priority="17">
      <formula>H5="Yes"</formula>
    </cfRule>
  </conditionalFormatting>
  <conditionalFormatting sqref="J5:J298">
    <cfRule type="expression" dxfId="51" priority="18">
      <formula>J5="Yes"</formula>
    </cfRule>
    <cfRule type="expression" dxfId="50" priority="19">
      <formula>J5="No"</formula>
    </cfRule>
  </conditionalFormatting>
  <conditionalFormatting sqref="M5:M298">
    <cfRule type="expression" dxfId="49" priority="13">
      <formula>M5="⚠ Missing"</formula>
    </cfRule>
    <cfRule type="expression" dxfId="48" priority="11">
      <formula>M5="✓ OK"</formula>
    </cfRule>
    <cfRule type="expression" dxfId="47" priority="12">
      <formula>M5="❌ Disc"</formula>
    </cfRule>
    <cfRule type="expression" dxfId="46" priority="14">
      <formula>M5="⚠ Check"</formula>
    </cfRule>
  </conditionalFormatting>
  <conditionalFormatting sqref="N5:N298">
    <cfRule type="expression" dxfId="45" priority="1">
      <formula>MOD(ROW(),2)=0</formula>
    </cfRule>
  </conditionalFormatting>
  <conditionalFormatting sqref="A5:M298 O5:AW298">
    <cfRule type="expression" dxfId="44" priority="56">
      <formula>MOD(ROW(),2)=0</formula>
    </cfRule>
  </conditionalFormatting>
  <conditionalFormatting sqref="P5:P298">
    <cfRule type="expression" dxfId="43" priority="6">
      <formula>P5="Yes"</formula>
    </cfRule>
    <cfRule type="expression" dxfId="42" priority="7">
      <formula>P5="No"</formula>
    </cfRule>
    <cfRule type="expression" dxfId="41" priority="24">
      <formula>P5="Yes"</formula>
    </cfRule>
    <cfRule type="expression" dxfId="40" priority="25">
      <formula>P5="No"</formula>
    </cfRule>
  </conditionalFormatting>
  <conditionalFormatting sqref="Q5:Q298">
    <cfRule type="expression" dxfId="39" priority="8">
      <formula>Q5="Yes"</formula>
    </cfRule>
  </conditionalFormatting>
  <conditionalFormatting sqref="S5:S298">
    <cfRule type="expression" dxfId="38" priority="9">
      <formula>S5="Yes"</formula>
    </cfRule>
    <cfRule type="expression" dxfId="37" priority="10">
      <formula>S5="No"</formula>
    </cfRule>
    <cfRule type="expression" dxfId="36" priority="27">
      <formula>S5="Yes"</formula>
    </cfRule>
    <cfRule type="expression" dxfId="35" priority="28">
      <formula>S5="No"</formula>
    </cfRule>
  </conditionalFormatting>
  <conditionalFormatting sqref="V5:V298">
    <cfRule type="expression" dxfId="34" priority="2">
      <formula>V5="✓ OK"</formula>
    </cfRule>
    <cfRule type="expression" dxfId="33" priority="3">
      <formula>V5="❌ Disc"</formula>
    </cfRule>
    <cfRule type="expression" dxfId="32" priority="4">
      <formula>V5="⚠ Missing"</formula>
    </cfRule>
    <cfRule type="expression" dxfId="31" priority="5">
      <formula>V5="⚠ Check"</formula>
    </cfRule>
    <cfRule type="expression" dxfId="30" priority="20">
      <formula>V5="✓ OK"</formula>
    </cfRule>
    <cfRule type="expression" dxfId="29" priority="21">
      <formula>V5="❌ Disc"</formula>
    </cfRule>
    <cfRule type="expression" dxfId="28" priority="22">
      <formula>V5="⚠ Missing"</formula>
    </cfRule>
    <cfRule type="expression" dxfId="27" priority="23">
      <formula>V5="⚠ Check"</formula>
    </cfRule>
  </conditionalFormatting>
  <conditionalFormatting sqref="Y5:Y298">
    <cfRule type="expression" dxfId="26" priority="33">
      <formula>Y5="Yes"</formula>
    </cfRule>
    <cfRule type="expression" dxfId="25" priority="34">
      <formula>Y5="No"</formula>
    </cfRule>
  </conditionalFormatting>
  <conditionalFormatting sqref="Z5:Z298">
    <cfRule type="expression" dxfId="24" priority="35">
      <formula>Z5="Yes"</formula>
    </cfRule>
  </conditionalFormatting>
  <conditionalFormatting sqref="AB5:AB298">
    <cfRule type="expression" dxfId="23" priority="36">
      <formula>AB5="Yes"</formula>
    </cfRule>
    <cfRule type="expression" dxfId="22" priority="37">
      <formula>AB5="No"</formula>
    </cfRule>
  </conditionalFormatting>
  <conditionalFormatting sqref="AE5:AE298">
    <cfRule type="expression" dxfId="21" priority="30">
      <formula>AE5="❌ Disc"</formula>
    </cfRule>
    <cfRule type="expression" dxfId="20" priority="31">
      <formula>AE5="⚠ Missing"</formula>
    </cfRule>
    <cfRule type="expression" dxfId="19" priority="29">
      <formula>AE5="✓ OK"</formula>
    </cfRule>
    <cfRule type="expression" dxfId="18" priority="32">
      <formula>AE5="⚠ Check"</formula>
    </cfRule>
  </conditionalFormatting>
  <conditionalFormatting sqref="AH5:AH298">
    <cfRule type="expression" dxfId="17" priority="42">
      <formula>AH5="Yes"</formula>
    </cfRule>
    <cfRule type="expression" dxfId="16" priority="43">
      <formula>AH5="No"</formula>
    </cfRule>
  </conditionalFormatting>
  <conditionalFormatting sqref="AI5:AI298">
    <cfRule type="expression" dxfId="15" priority="44">
      <formula>AI5="Yes"</formula>
    </cfRule>
  </conditionalFormatting>
  <conditionalFormatting sqref="AK5:AK298">
    <cfRule type="expression" dxfId="14" priority="45">
      <formula>AK5="Yes"</formula>
    </cfRule>
    <cfRule type="expression" dxfId="13" priority="46">
      <formula>AK5="No"</formula>
    </cfRule>
  </conditionalFormatting>
  <conditionalFormatting sqref="AN5:AN298">
    <cfRule type="expression" dxfId="12" priority="38">
      <formula>AN5="✓ OK"</formula>
    </cfRule>
    <cfRule type="expression" dxfId="11" priority="39">
      <formula>AN5="❌ Disc"</formula>
    </cfRule>
    <cfRule type="expression" dxfId="10" priority="40">
      <formula>AN5="⚠ Missing"</formula>
    </cfRule>
    <cfRule type="expression" dxfId="9" priority="41">
      <formula>AN5="⚠ Check"</formula>
    </cfRule>
  </conditionalFormatting>
  <conditionalFormatting sqref="AQ5:AQ298">
    <cfRule type="expression" dxfId="8" priority="51">
      <formula>AQ5="Yes"</formula>
    </cfRule>
    <cfRule type="expression" dxfId="7" priority="52">
      <formula>AQ5="No"</formula>
    </cfRule>
  </conditionalFormatting>
  <conditionalFormatting sqref="AR5:AR298">
    <cfRule type="expression" dxfId="6" priority="53">
      <formula>AR5="Yes"</formula>
    </cfRule>
  </conditionalFormatting>
  <conditionalFormatting sqref="AT5:AT298">
    <cfRule type="expression" dxfId="5" priority="54">
      <formula>AT5="Yes"</formula>
    </cfRule>
    <cfRule type="expression" dxfId="4" priority="55">
      <formula>AT5="No"</formula>
    </cfRule>
  </conditionalFormatting>
  <conditionalFormatting sqref="AW5:AW298">
    <cfRule type="expression" dxfId="3" priority="47">
      <formula>AW5="✓ OK"</formula>
    </cfRule>
    <cfRule type="expression" dxfId="2" priority="48">
      <formula>AW5="❌ Disc"</formula>
    </cfRule>
    <cfRule type="expression" dxfId="1" priority="49">
      <formula>AW5="⚠ Missing"</formula>
    </cfRule>
    <cfRule type="expression" dxfId="0" priority="50">
      <formula>AW5="⚠ Check"</formula>
    </cfRule>
  </conditionalFormatting>
  <dataValidations count="2">
    <dataValidation type="list" allowBlank="1" sqref="G5:H298 J5:J298 P5:Q298 S5:S298 Y5:Z298 AB5:AB298 AK5:AK298 AT5:AT298 AQ5:AR298 AH5:AI298" xr:uid="{00000000-0002-0000-0C00-000000000000}">
      <formula1>"Yes,No"</formula1>
    </dataValidation>
    <dataValidation type="list" allowBlank="1" sqref="I5:I298 R5:R298 AA5:AA298 AS5:AS298 AJ5:AJ298" xr:uid="{00000000-0002-0000-0C00-000001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2026-10-05T05:33:47Z</dcterms:modified>
  <cp:category/>
  <cp:contentStatus/>
</cp:coreProperties>
</file>